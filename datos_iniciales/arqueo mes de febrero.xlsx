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da95182cb3f82b/Desktop/Arqueo 2026/"/>
    </mc:Choice>
  </mc:AlternateContent>
  <xr:revisionPtr revIDLastSave="27" documentId="13_ncr:1_{30D2DDC3-476F-47BA-9829-C158A47E34F0}" xr6:coauthVersionLast="47" xr6:coauthVersionMax="47" xr10:uidLastSave="{8EE11E5F-D8F5-4FBA-AAF9-821B13158F4D}"/>
  <bookViews>
    <workbookView xWindow="3510" yWindow="720" windowWidth="21735" windowHeight="15480" xr2:uid="{87F22527-71AE-43F6-B2C2-611D9D5EE29D}"/>
  </bookViews>
  <sheets>
    <sheet name="fatima" sheetId="1" r:id="rId1"/>
    <sheet name="contad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1" i="2" l="1"/>
  <c r="X32" i="2"/>
  <c r="K39" i="1"/>
  <c r="L39" i="1"/>
  <c r="M39" i="1"/>
  <c r="N39" i="1"/>
  <c r="O39" i="1"/>
  <c r="P39" i="1"/>
  <c r="Q39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X18" i="2" l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17" i="2"/>
  <c r="X16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D17" i="2"/>
  <c r="Z25" i="1"/>
  <c r="S25" i="1"/>
  <c r="X15" i="2"/>
  <c r="D20" i="1"/>
  <c r="X25" i="1" l="1"/>
  <c r="U25" i="1"/>
  <c r="Y36" i="2"/>
  <c r="W36" i="2"/>
  <c r="V36" i="2"/>
  <c r="U36" i="2"/>
  <c r="T36" i="2"/>
  <c r="S36" i="2"/>
  <c r="Q36" i="2"/>
  <c r="N36" i="2"/>
  <c r="L36" i="2"/>
  <c r="I36" i="2"/>
  <c r="H36" i="2"/>
  <c r="G36" i="2"/>
  <c r="F36" i="2"/>
  <c r="E36" i="2"/>
  <c r="C36" i="2"/>
  <c r="B36" i="2"/>
  <c r="R35" i="2"/>
  <c r="J35" i="2"/>
  <c r="K35" i="2" s="1"/>
  <c r="R34" i="2"/>
  <c r="J34" i="2"/>
  <c r="D34" i="2"/>
  <c r="R33" i="2"/>
  <c r="J33" i="2"/>
  <c r="D33" i="2"/>
  <c r="K33" i="2" s="1"/>
  <c r="R32" i="2"/>
  <c r="J32" i="2"/>
  <c r="D32" i="2"/>
  <c r="R31" i="2"/>
  <c r="J31" i="2"/>
  <c r="D31" i="2"/>
  <c r="R30" i="2"/>
  <c r="J30" i="2"/>
  <c r="D30" i="2"/>
  <c r="R29" i="2"/>
  <c r="J29" i="2"/>
  <c r="D29" i="2"/>
  <c r="J28" i="2"/>
  <c r="D28" i="2"/>
  <c r="J27" i="2"/>
  <c r="D27" i="2"/>
  <c r="J26" i="2"/>
  <c r="D26" i="2"/>
  <c r="R25" i="2"/>
  <c r="J25" i="2"/>
  <c r="D25" i="2"/>
  <c r="R24" i="2"/>
  <c r="J24" i="2"/>
  <c r="D24" i="2"/>
  <c r="R23" i="2"/>
  <c r="J23" i="2"/>
  <c r="D23" i="2"/>
  <c r="R22" i="2"/>
  <c r="J22" i="2"/>
  <c r="D22" i="2"/>
  <c r="R21" i="2"/>
  <c r="J21" i="2"/>
  <c r="D21" i="2"/>
  <c r="R20" i="2"/>
  <c r="J20" i="2"/>
  <c r="D20" i="2"/>
  <c r="R19" i="2"/>
  <c r="J19" i="2"/>
  <c r="D19" i="2"/>
  <c r="R18" i="2"/>
  <c r="J18" i="2"/>
  <c r="D18" i="2"/>
  <c r="R17" i="2"/>
  <c r="J17" i="2"/>
  <c r="K17" i="2" s="1"/>
  <c r="R16" i="2"/>
  <c r="J16" i="2"/>
  <c r="D16" i="2"/>
  <c r="R15" i="2"/>
  <c r="J15" i="2"/>
  <c r="D15" i="2"/>
  <c r="R14" i="2"/>
  <c r="J14" i="2"/>
  <c r="D14" i="2"/>
  <c r="R13" i="2"/>
  <c r="J13" i="2"/>
  <c r="D13" i="2"/>
  <c r="R12" i="2"/>
  <c r="J12" i="2"/>
  <c r="D12" i="2"/>
  <c r="R11" i="2"/>
  <c r="J11" i="2"/>
  <c r="D11" i="2"/>
  <c r="R10" i="2"/>
  <c r="J10" i="2"/>
  <c r="D10" i="2"/>
  <c r="R9" i="2"/>
  <c r="J9" i="2"/>
  <c r="D9" i="2"/>
  <c r="R8" i="2"/>
  <c r="J8" i="2"/>
  <c r="D8" i="2"/>
  <c r="R7" i="2"/>
  <c r="J7" i="2"/>
  <c r="D7" i="2"/>
  <c r="R6" i="2"/>
  <c r="J6" i="2"/>
  <c r="D6" i="2"/>
  <c r="R5" i="2"/>
  <c r="J5" i="2"/>
  <c r="D5" i="2"/>
  <c r="K5" i="2" s="1"/>
  <c r="K27" i="2" l="1"/>
  <c r="P27" i="2" s="1"/>
  <c r="K28" i="2"/>
  <c r="K29" i="2"/>
  <c r="P29" i="2" s="1"/>
  <c r="K26" i="2"/>
  <c r="P26" i="2" s="1"/>
  <c r="K24" i="2"/>
  <c r="P24" i="2" s="1"/>
  <c r="K22" i="2"/>
  <c r="P22" i="2" s="1"/>
  <c r="K20" i="2"/>
  <c r="P20" i="2" s="1"/>
  <c r="K18" i="2"/>
  <c r="P18" i="2" s="1"/>
  <c r="K12" i="2"/>
  <c r="K13" i="2"/>
  <c r="P13" i="2" s="1"/>
  <c r="K9" i="2"/>
  <c r="K8" i="2"/>
  <c r="M8" i="2" s="1"/>
  <c r="K6" i="2"/>
  <c r="K25" i="2"/>
  <c r="M25" i="2" s="1"/>
  <c r="K30" i="2"/>
  <c r="P30" i="2" s="1"/>
  <c r="K34" i="2"/>
  <c r="K31" i="2"/>
  <c r="M31" i="2" s="1"/>
  <c r="K15" i="2"/>
  <c r="M15" i="2" s="1"/>
  <c r="K19" i="2"/>
  <c r="P19" i="2" s="1"/>
  <c r="K23" i="2"/>
  <c r="P23" i="2" s="1"/>
  <c r="K32" i="2"/>
  <c r="P32" i="2" s="1"/>
  <c r="K21" i="2"/>
  <c r="M21" i="2" s="1"/>
  <c r="K16" i="2"/>
  <c r="P16" i="2" s="1"/>
  <c r="K14" i="2"/>
  <c r="M14" i="2" s="1"/>
  <c r="K11" i="2"/>
  <c r="M11" i="2" s="1"/>
  <c r="R36" i="2"/>
  <c r="K10" i="2"/>
  <c r="M10" i="2" s="1"/>
  <c r="D36" i="2"/>
  <c r="J36" i="2"/>
  <c r="M5" i="2"/>
  <c r="P5" i="2"/>
  <c r="P9" i="2"/>
  <c r="M9" i="2"/>
  <c r="P17" i="2"/>
  <c r="M17" i="2"/>
  <c r="P34" i="2"/>
  <c r="M34" i="2"/>
  <c r="P6" i="2"/>
  <c r="M6" i="2"/>
  <c r="P35" i="2"/>
  <c r="M35" i="2"/>
  <c r="P15" i="2"/>
  <c r="P12" i="2"/>
  <c r="M12" i="2"/>
  <c r="P28" i="2"/>
  <c r="M28" i="2"/>
  <c r="M33" i="2"/>
  <c r="P33" i="2"/>
  <c r="K7" i="2"/>
  <c r="AG39" i="1"/>
  <c r="AE39" i="1"/>
  <c r="AD39" i="1"/>
  <c r="AC39" i="1"/>
  <c r="AB39" i="1"/>
  <c r="AA39" i="1"/>
  <c r="Y39" i="1"/>
  <c r="V39" i="1"/>
  <c r="T39" i="1"/>
  <c r="J39" i="1"/>
  <c r="I39" i="1"/>
  <c r="G39" i="1"/>
  <c r="F39" i="1"/>
  <c r="E39" i="1"/>
  <c r="C39" i="1"/>
  <c r="B39" i="1"/>
  <c r="Z38" i="1"/>
  <c r="R38" i="1"/>
  <c r="S38" i="1" s="1"/>
  <c r="Z37" i="1"/>
  <c r="R37" i="1"/>
  <c r="D37" i="1"/>
  <c r="Z36" i="1"/>
  <c r="D36" i="1"/>
  <c r="Z35" i="1"/>
  <c r="D35" i="1"/>
  <c r="Z34" i="1"/>
  <c r="D34" i="1"/>
  <c r="Z33" i="1"/>
  <c r="D33" i="1"/>
  <c r="Z32" i="1"/>
  <c r="D32" i="1"/>
  <c r="D31" i="1"/>
  <c r="D30" i="1"/>
  <c r="D29" i="1"/>
  <c r="Z28" i="1"/>
  <c r="D28" i="1"/>
  <c r="Z27" i="1"/>
  <c r="D27" i="1"/>
  <c r="Z26" i="1"/>
  <c r="D26" i="1"/>
  <c r="Z24" i="1"/>
  <c r="D24" i="1"/>
  <c r="Z23" i="1"/>
  <c r="D23" i="1"/>
  <c r="Z22" i="1"/>
  <c r="D22" i="1"/>
  <c r="Z21" i="1"/>
  <c r="D21" i="1"/>
  <c r="Z20" i="1"/>
  <c r="S20" i="1"/>
  <c r="Z19" i="1"/>
  <c r="D19" i="1"/>
  <c r="Z18" i="1"/>
  <c r="D18" i="1"/>
  <c r="Z17" i="1"/>
  <c r="D17" i="1"/>
  <c r="Z16" i="1"/>
  <c r="D16" i="1"/>
  <c r="Z15" i="1"/>
  <c r="D15" i="1"/>
  <c r="Z14" i="1"/>
  <c r="D14" i="1"/>
  <c r="Z13" i="1"/>
  <c r="D13" i="1"/>
  <c r="Z12" i="1"/>
  <c r="D12" i="1"/>
  <c r="Z11" i="1"/>
  <c r="D11" i="1"/>
  <c r="Z10" i="1"/>
  <c r="D10" i="1"/>
  <c r="Z9" i="1"/>
  <c r="D9" i="1"/>
  <c r="Z8" i="1"/>
  <c r="D8" i="1"/>
  <c r="P31" i="2" l="1"/>
  <c r="M24" i="2"/>
  <c r="M29" i="2"/>
  <c r="M27" i="2"/>
  <c r="M26" i="2"/>
  <c r="M30" i="2"/>
  <c r="S31" i="1"/>
  <c r="X31" i="1" s="1"/>
  <c r="P25" i="2"/>
  <c r="O24" i="2"/>
  <c r="O25" i="2" s="1"/>
  <c r="X30" i="2"/>
  <c r="M18" i="2"/>
  <c r="M22" i="2"/>
  <c r="P21" i="2"/>
  <c r="M20" i="2"/>
  <c r="M16" i="2"/>
  <c r="M13" i="2"/>
  <c r="P8" i="2"/>
  <c r="P11" i="2"/>
  <c r="P14" i="2"/>
  <c r="M32" i="2"/>
  <c r="M23" i="2"/>
  <c r="M19" i="2"/>
  <c r="P10" i="2"/>
  <c r="S36" i="1"/>
  <c r="X36" i="1" s="1"/>
  <c r="P7" i="2"/>
  <c r="M7" i="2"/>
  <c r="X5" i="2"/>
  <c r="X6" i="2" s="1"/>
  <c r="X7" i="2" s="1"/>
  <c r="X8" i="2" s="1"/>
  <c r="X9" i="2" s="1"/>
  <c r="X10" i="2" s="1"/>
  <c r="X11" i="2" s="1"/>
  <c r="X12" i="2" s="1"/>
  <c r="X13" i="2" s="1"/>
  <c r="X14" i="2" s="1"/>
  <c r="O5" i="2"/>
  <c r="O6" i="2" s="1"/>
  <c r="K36" i="2"/>
  <c r="S24" i="1"/>
  <c r="U24" i="1" s="1"/>
  <c r="S28" i="1"/>
  <c r="X28" i="1" s="1"/>
  <c r="S33" i="1"/>
  <c r="X33" i="1" s="1"/>
  <c r="S37" i="1"/>
  <c r="X37" i="1" s="1"/>
  <c r="S13" i="1"/>
  <c r="U13" i="1" s="1"/>
  <c r="S17" i="1"/>
  <c r="U17" i="1" s="1"/>
  <c r="S19" i="1"/>
  <c r="X19" i="1" s="1"/>
  <c r="S30" i="1"/>
  <c r="S22" i="1"/>
  <c r="X22" i="1" s="1"/>
  <c r="S11" i="1"/>
  <c r="X11" i="1" s="1"/>
  <c r="S10" i="1"/>
  <c r="U10" i="1" s="1"/>
  <c r="Z39" i="1"/>
  <c r="S34" i="1"/>
  <c r="X34" i="1" s="1"/>
  <c r="U38" i="1"/>
  <c r="X38" i="1"/>
  <c r="S27" i="1"/>
  <c r="X27" i="1" s="1"/>
  <c r="S14" i="1"/>
  <c r="X14" i="1" s="1"/>
  <c r="S21" i="1"/>
  <c r="U21" i="1" s="1"/>
  <c r="S8" i="1"/>
  <c r="U8" i="1" s="1"/>
  <c r="S16" i="1"/>
  <c r="U16" i="1" s="1"/>
  <c r="S35" i="1"/>
  <c r="U35" i="1" s="1"/>
  <c r="S9" i="1"/>
  <c r="X9" i="1" s="1"/>
  <c r="S32" i="1"/>
  <c r="X32" i="1" s="1"/>
  <c r="S29" i="1"/>
  <c r="X29" i="1" s="1"/>
  <c r="S15" i="1"/>
  <c r="X15" i="1" s="1"/>
  <c r="S26" i="1"/>
  <c r="U26" i="1" s="1"/>
  <c r="S23" i="1"/>
  <c r="U23" i="1" s="1"/>
  <c r="S12" i="1"/>
  <c r="X12" i="1" s="1"/>
  <c r="S18" i="1"/>
  <c r="U18" i="1" s="1"/>
  <c r="U20" i="1"/>
  <c r="X20" i="1"/>
  <c r="D39" i="1"/>
  <c r="R39" i="1"/>
  <c r="X16" i="1" l="1"/>
  <c r="U36" i="1"/>
  <c r="X21" i="1"/>
  <c r="X8" i="1"/>
  <c r="X30" i="1"/>
  <c r="U30" i="1"/>
  <c r="O26" i="2"/>
  <c r="O27" i="2" s="1"/>
  <c r="O28" i="2" s="1"/>
  <c r="O29" i="2" s="1"/>
  <c r="O30" i="2" s="1"/>
  <c r="U31" i="1"/>
  <c r="M36" i="2"/>
  <c r="P36" i="2"/>
  <c r="O7" i="2"/>
  <c r="O8" i="2" s="1"/>
  <c r="O9" i="2" s="1"/>
  <c r="O10" i="2" s="1"/>
  <c r="U27" i="1"/>
  <c r="U34" i="1"/>
  <c r="U22" i="1"/>
  <c r="X17" i="1"/>
  <c r="X13" i="1"/>
  <c r="U37" i="1"/>
  <c r="U33" i="1"/>
  <c r="X24" i="1"/>
  <c r="U28" i="1"/>
  <c r="U19" i="1"/>
  <c r="X23" i="1"/>
  <c r="U29" i="1"/>
  <c r="U11" i="1"/>
  <c r="X10" i="1"/>
  <c r="X18" i="1"/>
  <c r="U14" i="1"/>
  <c r="U12" i="1"/>
  <c r="X26" i="1"/>
  <c r="U9" i="1"/>
  <c r="X35" i="1"/>
  <c r="U32" i="1"/>
  <c r="S39" i="1"/>
  <c r="U15" i="1"/>
  <c r="AF8" i="1"/>
  <c r="W8" i="1"/>
  <c r="AF9" i="1" l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W9" i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U39" i="1"/>
  <c r="X39" i="1"/>
</calcChain>
</file>

<file path=xl/sharedStrings.xml><?xml version="1.0" encoding="utf-8"?>
<sst xmlns="http://schemas.openxmlformats.org/spreadsheetml/2006/main" count="71" uniqueCount="41">
  <si>
    <t>COOPERATIVA DE SERVICIOS ESPECIALES PRIMERO DE MAYO LTDA</t>
  </si>
  <si>
    <t>FÁTIMA</t>
  </si>
  <si>
    <t>TATIANA</t>
  </si>
  <si>
    <t>FATIMA</t>
  </si>
  <si>
    <t>FECHA</t>
  </si>
  <si>
    <t xml:space="preserve">COBRADOR - </t>
  </si>
  <si>
    <t>TOTAL COBRADOR</t>
  </si>
  <si>
    <t>SECRETARIA</t>
  </si>
  <si>
    <t>TOTAL INGRESO SECRETARIA</t>
  </si>
  <si>
    <t>TOTAL. INGR. OFICINA</t>
  </si>
  <si>
    <t>EGRESO</t>
  </si>
  <si>
    <t>SALDO DIARIO DE CAJA</t>
  </si>
  <si>
    <t>SALDO ACUM. CAJA. FÁTIMA</t>
  </si>
  <si>
    <t>SALDO ACUM. TOTAL</t>
  </si>
  <si>
    <t>SOCIOS</t>
  </si>
  <si>
    <t>INQUILINOS</t>
  </si>
  <si>
    <t>SS.HH 1er PISO</t>
  </si>
  <si>
    <t>OTROS</t>
  </si>
  <si>
    <t>TICKET</t>
  </si>
  <si>
    <t>PARQUEO</t>
  </si>
  <si>
    <t>Deposito en el QR</t>
  </si>
  <si>
    <t>INGRESO CAJA Y BANCO</t>
  </si>
  <si>
    <t>GASTO DE LA CTA. CTE.</t>
  </si>
  <si>
    <t>GASTO CAJA Y BANCO</t>
  </si>
  <si>
    <t>BOVEDA PRESIDENTE</t>
  </si>
  <si>
    <t>ACTIVIDAD SATA ROSA 2024</t>
  </si>
  <si>
    <t>ACTIVIDAD SATA ROSA 2025</t>
  </si>
  <si>
    <t>LIMOSNA STA ROSA</t>
  </si>
  <si>
    <t>DEPOSITO AL BANCO</t>
  </si>
  <si>
    <t>DOLARES</t>
  </si>
  <si>
    <t>EF. Fátima</t>
  </si>
  <si>
    <t>ARQUEO MES DE FEBRERO 2026</t>
  </si>
  <si>
    <t>Alquiler</t>
  </si>
  <si>
    <t>Alquiler 2do piso</t>
  </si>
  <si>
    <t>Espacio</t>
  </si>
  <si>
    <t>Deposito</t>
  </si>
  <si>
    <t>luz</t>
  </si>
  <si>
    <t>agua</t>
  </si>
  <si>
    <t>fumigación</t>
  </si>
  <si>
    <t>Multa Adm.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</si>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</sst>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3" fontId="3" fillId="0" borderId="13" xfId="2" applyFont="1" applyFill="1" applyBorder="1" applyAlignment="1">
      <alignment horizontal="center" vertical="center" wrapText="1"/>
    </xf>
    <xf numFmtId="43" fontId="3" fillId="0" borderId="14" xfId="2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3" fontId="3" fillId="0" borderId="14" xfId="2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8" xfId="0" applyBorder="1"/>
    <xf numFmtId="0" fontId="5" fillId="0" borderId="19" xfId="0" applyFont="1" applyBorder="1"/>
    <xf numFmtId="43" fontId="5" fillId="0" borderId="19" xfId="2" applyFont="1" applyFill="1" applyBorder="1"/>
    <xf numFmtId="43" fontId="3" fillId="0" borderId="19" xfId="2" applyFont="1" applyFill="1" applyBorder="1"/>
    <xf numFmtId="43" fontId="8" fillId="0" borderId="19" xfId="2" applyFont="1" applyFill="1" applyBorder="1"/>
    <xf numFmtId="43" fontId="9" fillId="0" borderId="18" xfId="2" applyFont="1" applyFill="1" applyBorder="1"/>
    <xf numFmtId="43" fontId="0" fillId="0" borderId="18" xfId="0" applyNumberFormat="1" applyBorder="1"/>
    <xf numFmtId="43" fontId="9" fillId="0" borderId="20" xfId="2" applyFont="1" applyFill="1" applyBorder="1"/>
    <xf numFmtId="14" fontId="10" fillId="0" borderId="18" xfId="0" applyNumberFormat="1" applyFont="1" applyBorder="1"/>
    <xf numFmtId="43" fontId="11" fillId="0" borderId="18" xfId="2" applyFont="1" applyFill="1" applyBorder="1"/>
    <xf numFmtId="43" fontId="12" fillId="0" borderId="18" xfId="2" applyFont="1" applyFill="1" applyBorder="1"/>
    <xf numFmtId="43" fontId="5" fillId="0" borderId="0" xfId="1" applyFont="1"/>
    <xf numFmtId="43" fontId="12" fillId="2" borderId="18" xfId="2" applyFont="1" applyFill="1" applyBorder="1"/>
    <xf numFmtId="43" fontId="13" fillId="0" borderId="18" xfId="0" applyNumberFormat="1" applyFont="1" applyBorder="1"/>
    <xf numFmtId="43" fontId="12" fillId="0" borderId="18" xfId="1" applyFont="1" applyFill="1" applyBorder="1"/>
    <xf numFmtId="43" fontId="14" fillId="0" borderId="18" xfId="2" applyFont="1" applyFill="1" applyBorder="1"/>
    <xf numFmtId="43" fontId="10" fillId="0" borderId="18" xfId="2" applyFont="1" applyFill="1" applyBorder="1"/>
    <xf numFmtId="43" fontId="0" fillId="0" borderId="0" xfId="1" applyFont="1"/>
    <xf numFmtId="43" fontId="13" fillId="0" borderId="0" xfId="1" applyFont="1"/>
    <xf numFmtId="43" fontId="12" fillId="0" borderId="20" xfId="2" applyFont="1" applyFill="1" applyBorder="1"/>
    <xf numFmtId="43" fontId="13" fillId="0" borderId="21" xfId="0" applyNumberFormat="1" applyFont="1" applyBorder="1"/>
    <xf numFmtId="43" fontId="13" fillId="0" borderId="22" xfId="0" applyNumberFormat="1" applyFont="1" applyBorder="1"/>
    <xf numFmtId="43" fontId="12" fillId="0" borderId="19" xfId="2" applyFont="1" applyFill="1" applyBorder="1"/>
    <xf numFmtId="0" fontId="13" fillId="0" borderId="0" xfId="0" applyFont="1"/>
    <xf numFmtId="43" fontId="13" fillId="0" borderId="0" xfId="0" applyNumberFormat="1" applyFont="1"/>
    <xf numFmtId="0" fontId="3" fillId="0" borderId="14" xfId="0" applyFont="1" applyBorder="1" applyAlignment="1">
      <alignment horizontal="center" vertical="center" wrapText="1"/>
    </xf>
    <xf numFmtId="43" fontId="5" fillId="0" borderId="18" xfId="2" applyFont="1" applyFill="1" applyBorder="1"/>
    <xf numFmtId="43" fontId="3" fillId="0" borderId="9" xfId="2" applyFont="1" applyFill="1" applyBorder="1" applyAlignment="1">
      <alignment horizontal="center" vertical="center" wrapText="1"/>
    </xf>
    <xf numFmtId="43" fontId="3" fillId="0" borderId="14" xfId="2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3" fontId="5" fillId="0" borderId="0" xfId="2" applyFont="1" applyFill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3" fontId="3" fillId="0" borderId="6" xfId="2" applyFont="1" applyFill="1" applyBorder="1" applyAlignment="1">
      <alignment horizontal="center" vertical="center" wrapText="1"/>
    </xf>
    <xf numFmtId="43" fontId="3" fillId="0" borderId="7" xfId="2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3">
    <cellStyle name="Millares" xfId="1" builtinId="3"/>
    <cellStyle name="Millares 2" xfId="2" xr:uid="{C4387FB5-66F9-4F22-ABFC-261E523513D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75C6-9B04-4DF0-B6A2-B0450B65E9DD}">
  <dimension ref="A1:AH39"/>
  <sheetViews>
    <sheetView tabSelected="1" topLeftCell="A13" workbookViewId="0">
      <selection activeCell="I9" sqref="I9:J9"/>
    </sheetView>
  </sheetViews>
  <sheetFormatPr baseColWidth="10" defaultRowHeight="15" x14ac:dyDescent="0.25"/>
  <cols>
    <col min="1" max="1" width="9.28515625" customWidth="1"/>
    <col min="2" max="2" width="9.5703125" customWidth="1"/>
    <col min="3" max="3" width="10.5703125" customWidth="1"/>
    <col min="4" max="4" width="10.42578125" customWidth="1"/>
    <col min="5" max="5" width="10" customWidth="1"/>
    <col min="6" max="6" width="9.5703125" customWidth="1"/>
    <col min="7" max="8" width="9.7109375" customWidth="1"/>
    <col min="12" max="12" width="9" customWidth="1"/>
    <col min="13" max="13" width="7.7109375" customWidth="1"/>
    <col min="14" max="14" width="7.85546875" customWidth="1"/>
    <col min="15" max="15" width="9.28515625" customWidth="1"/>
    <col min="16" max="16" width="7" customWidth="1"/>
    <col min="17" max="17" width="6.5703125" customWidth="1"/>
    <col min="18" max="18" width="9.42578125" customWidth="1"/>
    <col min="19" max="19" width="10" customWidth="1"/>
    <col min="28" max="28" width="9" customWidth="1"/>
    <col min="29" max="29" width="9.7109375" customWidth="1"/>
    <col min="30" max="30" width="8.42578125" customWidth="1"/>
  </cols>
  <sheetData>
    <row r="1" spans="1:34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1"/>
      <c r="Y1" s="1"/>
      <c r="Z1" s="1"/>
      <c r="AA1" s="1"/>
      <c r="AB1" s="1"/>
      <c r="AC1" s="1"/>
      <c r="AD1" s="1"/>
      <c r="AE1" s="1"/>
    </row>
    <row r="2" spans="1:34" ht="15.75" thickBot="1" x14ac:dyDescent="0.3">
      <c r="A2" s="2" t="s">
        <v>1</v>
      </c>
    </row>
    <row r="3" spans="1:34" ht="15.75" thickBot="1" x14ac:dyDescent="0.3">
      <c r="A3" s="58" t="s">
        <v>31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3"/>
      <c r="Y3" s="3"/>
      <c r="Z3" s="3"/>
      <c r="AA3" s="3"/>
      <c r="AB3" s="3"/>
      <c r="AC3" s="3"/>
      <c r="AD3" s="3"/>
      <c r="AE3" s="3"/>
    </row>
    <row r="4" spans="1:34" ht="15.75" thickBot="1" x14ac:dyDescent="0.3">
      <c r="B4" s="61" t="s">
        <v>2</v>
      </c>
      <c r="C4" s="61"/>
      <c r="D4" s="4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4" ht="15.75" customHeight="1" thickBot="1" x14ac:dyDescent="0.3">
      <c r="A5" s="62" t="s">
        <v>4</v>
      </c>
      <c r="B5" s="64" t="s">
        <v>5</v>
      </c>
      <c r="C5" s="65"/>
      <c r="D5" s="66" t="s">
        <v>6</v>
      </c>
      <c r="E5" s="68" t="s">
        <v>7</v>
      </c>
      <c r="F5" s="69"/>
      <c r="G5" s="72" t="s">
        <v>15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0" t="s">
        <v>8</v>
      </c>
      <c r="S5" s="52" t="s">
        <v>9</v>
      </c>
      <c r="T5" s="50" t="s">
        <v>10</v>
      </c>
      <c r="U5" s="52" t="s">
        <v>11</v>
      </c>
      <c r="V5" s="8"/>
      <c r="W5" s="54" t="s">
        <v>12</v>
      </c>
      <c r="X5" s="9"/>
      <c r="Y5" s="9"/>
      <c r="Z5" s="9"/>
      <c r="AA5" s="10"/>
      <c r="AB5" s="10"/>
      <c r="AC5" s="10"/>
      <c r="AD5" s="10"/>
      <c r="AE5" s="10"/>
      <c r="AF5" s="54" t="s">
        <v>13</v>
      </c>
    </row>
    <row r="6" spans="1:34" ht="39" thickBot="1" x14ac:dyDescent="0.3">
      <c r="A6" s="63"/>
      <c r="B6" s="11" t="s">
        <v>14</v>
      </c>
      <c r="C6" s="12" t="s">
        <v>15</v>
      </c>
      <c r="D6" s="67"/>
      <c r="E6" s="13" t="s">
        <v>14</v>
      </c>
      <c r="F6" s="15" t="s">
        <v>16</v>
      </c>
      <c r="G6" s="15" t="s">
        <v>36</v>
      </c>
      <c r="H6" s="48" t="s">
        <v>37</v>
      </c>
      <c r="I6" s="15" t="s">
        <v>18</v>
      </c>
      <c r="J6" s="15" t="s">
        <v>19</v>
      </c>
      <c r="K6" s="48" t="s">
        <v>32</v>
      </c>
      <c r="L6" s="48" t="s">
        <v>33</v>
      </c>
      <c r="M6" s="48" t="s">
        <v>40</v>
      </c>
      <c r="N6" s="48" t="s">
        <v>34</v>
      </c>
      <c r="O6" s="48" t="s">
        <v>35</v>
      </c>
      <c r="P6" s="48" t="s">
        <v>38</v>
      </c>
      <c r="Q6" s="48" t="s">
        <v>39</v>
      </c>
      <c r="R6" s="71"/>
      <c r="S6" s="53"/>
      <c r="T6" s="51"/>
      <c r="U6" s="53"/>
      <c r="V6" s="18" t="s">
        <v>20</v>
      </c>
      <c r="W6" s="55"/>
      <c r="X6" s="19" t="s">
        <v>21</v>
      </c>
      <c r="Y6" s="19" t="s">
        <v>22</v>
      </c>
      <c r="Z6" s="19" t="s">
        <v>23</v>
      </c>
      <c r="AA6" s="20" t="s">
        <v>24</v>
      </c>
      <c r="AB6" s="20" t="s">
        <v>25</v>
      </c>
      <c r="AC6" s="20" t="s">
        <v>26</v>
      </c>
      <c r="AD6" s="21" t="s">
        <v>27</v>
      </c>
      <c r="AE6" s="21" t="s">
        <v>28</v>
      </c>
      <c r="AF6" s="56"/>
      <c r="AG6" t="s">
        <v>29</v>
      </c>
      <c r="AH6" s="23" t="s">
        <v>30</v>
      </c>
    </row>
    <row r="7" spans="1:34" x14ac:dyDescent="0.25">
      <c r="A7" s="24"/>
      <c r="B7" s="25"/>
      <c r="C7" s="25"/>
      <c r="D7" s="26"/>
      <c r="E7" s="25"/>
      <c r="F7" s="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25"/>
      <c r="T7" s="25"/>
      <c r="U7" s="25"/>
      <c r="V7" s="25"/>
      <c r="W7" s="27">
        <v>21744.7</v>
      </c>
      <c r="X7" s="27"/>
      <c r="Y7" s="27"/>
      <c r="Z7" s="27"/>
      <c r="AA7" s="28">
        <v>44358.3</v>
      </c>
      <c r="AB7" s="28">
        <v>1221.2</v>
      </c>
      <c r="AC7" s="28">
        <v>7931.4</v>
      </c>
      <c r="AD7" s="28">
        <v>1440.1</v>
      </c>
      <c r="AE7" s="28"/>
      <c r="AF7" s="29">
        <v>76685.7</v>
      </c>
      <c r="AG7" s="30">
        <v>5266</v>
      </c>
    </row>
    <row r="8" spans="1:34" x14ac:dyDescent="0.25">
      <c r="A8" s="31">
        <v>46054</v>
      </c>
      <c r="B8" s="32"/>
      <c r="C8" s="33"/>
      <c r="D8" s="32">
        <f>SUM(B8+C8)</f>
        <v>0</v>
      </c>
      <c r="F8" s="34">
        <v>444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2">
        <f>SUM(E8:Q8)</f>
        <v>444</v>
      </c>
      <c r="S8" s="33">
        <f>SUM(D8+R8)</f>
        <v>444</v>
      </c>
      <c r="T8" s="33"/>
      <c r="U8" s="33">
        <f t="shared" ref="U8:U38" si="0">SUM(S8-T8)</f>
        <v>444</v>
      </c>
      <c r="V8" s="33"/>
      <c r="W8" s="27">
        <f t="shared" ref="W8:W35" si="1">SUM(W7+U8-AA8)</f>
        <v>22188.7</v>
      </c>
      <c r="X8" s="35">
        <f>SUM(S8+V8)</f>
        <v>444</v>
      </c>
      <c r="Y8" s="33"/>
      <c r="Z8" s="35">
        <f>SUM(T8+Y8)</f>
        <v>0</v>
      </c>
      <c r="AA8" s="33"/>
      <c r="AB8" s="33"/>
      <c r="AC8" s="33"/>
      <c r="AD8" s="33"/>
      <c r="AE8" s="28"/>
      <c r="AF8" s="36">
        <f>SUM(AF7+U8)</f>
        <v>77129.7</v>
      </c>
    </row>
    <row r="9" spans="1:34" x14ac:dyDescent="0.25">
      <c r="A9" s="31">
        <v>46055</v>
      </c>
      <c r="B9" s="33"/>
      <c r="C9" s="33"/>
      <c r="D9" s="32">
        <f>SUM(B9+C9)</f>
        <v>0</v>
      </c>
      <c r="E9" s="33">
        <v>187.5</v>
      </c>
      <c r="F9" s="33">
        <v>450</v>
      </c>
      <c r="G9" s="33">
        <v>38.6</v>
      </c>
      <c r="H9" s="33">
        <v>10</v>
      </c>
      <c r="I9" s="33">
        <v>48</v>
      </c>
      <c r="J9" s="33">
        <v>111.9</v>
      </c>
      <c r="K9" s="33">
        <v>3130</v>
      </c>
      <c r="L9" s="33">
        <v>650</v>
      </c>
      <c r="M9" s="33"/>
      <c r="N9" s="33"/>
      <c r="O9" s="33"/>
      <c r="P9" s="33"/>
      <c r="Q9" s="33"/>
      <c r="R9" s="32">
        <f>SUM(E9:Q9)</f>
        <v>4626</v>
      </c>
      <c r="S9" s="33">
        <f>SUM(D9+R9)</f>
        <v>4626</v>
      </c>
      <c r="T9" s="33">
        <v>13074.9</v>
      </c>
      <c r="U9" s="33">
        <f t="shared" si="0"/>
        <v>-8448.9</v>
      </c>
      <c r="V9" s="33">
        <v>1197.5999999999999</v>
      </c>
      <c r="W9" s="27">
        <f t="shared" si="1"/>
        <v>3739.8000000000011</v>
      </c>
      <c r="X9" s="35">
        <f t="shared" ref="X9:X38" si="2">SUM(S9+V9)</f>
        <v>5823.6</v>
      </c>
      <c r="Y9" s="33"/>
      <c r="Z9" s="35">
        <f t="shared" ref="Z9:Z38" si="3">SUM(T9+Y9)</f>
        <v>13074.9</v>
      </c>
      <c r="AA9" s="33">
        <v>10000</v>
      </c>
      <c r="AB9" s="33"/>
      <c r="AC9" s="33"/>
      <c r="AD9" s="33"/>
      <c r="AE9" s="28"/>
      <c r="AF9" s="36">
        <f t="shared" ref="AF9:AF11" si="4">SUM(AF8+U9)</f>
        <v>68680.800000000003</v>
      </c>
    </row>
    <row r="10" spans="1:34" x14ac:dyDescent="0.25">
      <c r="A10" s="31">
        <v>46056</v>
      </c>
      <c r="B10" s="33"/>
      <c r="C10" s="33"/>
      <c r="D10" s="32">
        <f t="shared" ref="D10:D37" si="5">SUM(B10+C10)</f>
        <v>0</v>
      </c>
      <c r="E10" s="33">
        <v>786.5</v>
      </c>
      <c r="F10" s="33">
        <v>465.5</v>
      </c>
      <c r="G10" s="28">
        <v>54</v>
      </c>
      <c r="H10" s="28">
        <v>10</v>
      </c>
      <c r="I10" s="49">
        <v>10</v>
      </c>
      <c r="J10" s="49">
        <v>61</v>
      </c>
      <c r="K10" s="49">
        <v>430</v>
      </c>
      <c r="L10" s="49"/>
      <c r="M10" s="49"/>
      <c r="N10" s="49">
        <v>200</v>
      </c>
      <c r="O10" s="49"/>
      <c r="P10" s="49"/>
      <c r="Q10" s="49"/>
      <c r="R10" s="32">
        <f>SUM(E10:Q10)</f>
        <v>2017</v>
      </c>
      <c r="S10" s="49">
        <f>SUM(D10+R10)</f>
        <v>2017</v>
      </c>
      <c r="T10" s="49">
        <v>696</v>
      </c>
      <c r="U10" s="33">
        <f t="shared" si="0"/>
        <v>1321</v>
      </c>
      <c r="V10" s="33">
        <v>668</v>
      </c>
      <c r="W10" s="27">
        <f t="shared" si="1"/>
        <v>1060.8000000000011</v>
      </c>
      <c r="X10" s="35">
        <f t="shared" si="2"/>
        <v>2685</v>
      </c>
      <c r="Y10" s="33"/>
      <c r="Z10" s="35">
        <f t="shared" si="3"/>
        <v>696</v>
      </c>
      <c r="AA10" s="33">
        <v>4000</v>
      </c>
      <c r="AB10" s="33"/>
      <c r="AC10" s="33"/>
      <c r="AD10" s="33"/>
      <c r="AE10" s="28"/>
      <c r="AF10" s="36">
        <f t="shared" si="4"/>
        <v>70001.8</v>
      </c>
    </row>
    <row r="11" spans="1:34" x14ac:dyDescent="0.25">
      <c r="A11" s="31">
        <v>46057</v>
      </c>
      <c r="B11" s="33"/>
      <c r="C11" s="33"/>
      <c r="D11" s="32">
        <f t="shared" si="5"/>
        <v>0</v>
      </c>
      <c r="E11" s="33">
        <v>1804.2</v>
      </c>
      <c r="F11" s="33">
        <v>474</v>
      </c>
      <c r="G11" s="33">
        <v>77.099999999999994</v>
      </c>
      <c r="H11" s="33">
        <v>58.5</v>
      </c>
      <c r="I11" s="33">
        <v>10</v>
      </c>
      <c r="J11" s="33">
        <v>61.5</v>
      </c>
      <c r="K11" s="33">
        <v>1650</v>
      </c>
      <c r="L11" s="33"/>
      <c r="M11" s="33"/>
      <c r="N11" s="33"/>
      <c r="O11" s="33"/>
      <c r="P11" s="33"/>
      <c r="Q11" s="33"/>
      <c r="R11" s="32">
        <f>SUM(E11:Q11)</f>
        <v>4135.2999999999993</v>
      </c>
      <c r="S11" s="33">
        <f>SUM(D11+R11)</f>
        <v>4135.2999999999993</v>
      </c>
      <c r="T11" s="33">
        <v>1395</v>
      </c>
      <c r="U11" s="33">
        <f t="shared" si="0"/>
        <v>2740.2999999999993</v>
      </c>
      <c r="V11" s="33">
        <v>3126.3</v>
      </c>
      <c r="W11" s="27">
        <f t="shared" si="1"/>
        <v>3801.1000000000004</v>
      </c>
      <c r="X11" s="35">
        <f t="shared" si="2"/>
        <v>7261.5999999999995</v>
      </c>
      <c r="Y11" s="33"/>
      <c r="Z11" s="35">
        <f t="shared" si="3"/>
        <v>1395</v>
      </c>
      <c r="AA11" s="33"/>
      <c r="AB11" s="33"/>
      <c r="AC11" s="33"/>
      <c r="AD11" s="33"/>
      <c r="AE11" s="28"/>
      <c r="AF11" s="36">
        <f t="shared" si="4"/>
        <v>72742.100000000006</v>
      </c>
    </row>
    <row r="12" spans="1:34" x14ac:dyDescent="0.25">
      <c r="A12" s="31">
        <v>46058</v>
      </c>
      <c r="B12" s="33"/>
      <c r="C12" s="33"/>
      <c r="D12" s="32">
        <f t="shared" si="5"/>
        <v>0</v>
      </c>
      <c r="E12" s="33">
        <v>700.8</v>
      </c>
      <c r="F12" s="33">
        <v>472</v>
      </c>
      <c r="G12" s="28">
        <v>10</v>
      </c>
      <c r="H12" s="28">
        <v>5</v>
      </c>
      <c r="I12" s="28">
        <v>10</v>
      </c>
      <c r="J12" s="28">
        <v>51</v>
      </c>
      <c r="K12" s="28">
        <v>1100</v>
      </c>
      <c r="L12" s="28"/>
      <c r="M12" s="28"/>
      <c r="N12" s="28"/>
      <c r="O12" s="28"/>
      <c r="P12" s="28"/>
      <c r="Q12" s="28"/>
      <c r="R12" s="32">
        <f>SUM(E12:Q12)</f>
        <v>2348.8000000000002</v>
      </c>
      <c r="S12" s="33">
        <f>SUM(D12+R12)</f>
        <v>2348.8000000000002</v>
      </c>
      <c r="T12" s="33">
        <v>508.5</v>
      </c>
      <c r="U12" s="28">
        <f t="shared" si="0"/>
        <v>1840.3000000000002</v>
      </c>
      <c r="V12" s="33">
        <v>36.1</v>
      </c>
      <c r="W12" s="27">
        <f t="shared" si="1"/>
        <v>5641.4000000000005</v>
      </c>
      <c r="X12" s="35">
        <f t="shared" si="2"/>
        <v>2384.9</v>
      </c>
      <c r="Y12" s="33"/>
      <c r="Z12" s="35">
        <f t="shared" si="3"/>
        <v>508.5</v>
      </c>
      <c r="AA12" s="28"/>
      <c r="AB12" s="28"/>
      <c r="AC12" s="28"/>
      <c r="AD12" s="28"/>
      <c r="AE12" s="28"/>
      <c r="AF12" s="36">
        <f t="shared" ref="AF12:AF18" si="6">SUM(AF11+U12)</f>
        <v>74582.400000000009</v>
      </c>
    </row>
    <row r="13" spans="1:34" x14ac:dyDescent="0.25">
      <c r="A13" s="31">
        <v>46059</v>
      </c>
      <c r="B13" s="33">
        <v>1100</v>
      </c>
      <c r="C13" s="33">
        <v>2040</v>
      </c>
      <c r="D13" s="32">
        <f t="shared" si="5"/>
        <v>3140</v>
      </c>
      <c r="E13" s="33">
        <v>1294.2</v>
      </c>
      <c r="F13" s="33">
        <v>488.5</v>
      </c>
      <c r="G13" s="33">
        <v>25.5</v>
      </c>
      <c r="H13" s="33">
        <v>10</v>
      </c>
      <c r="I13" s="33">
        <v>10</v>
      </c>
      <c r="J13" s="33">
        <v>75</v>
      </c>
      <c r="K13" s="33">
        <v>1800</v>
      </c>
      <c r="L13" s="33"/>
      <c r="M13" s="33"/>
      <c r="N13" s="33">
        <v>30</v>
      </c>
      <c r="O13" s="33"/>
      <c r="P13" s="33"/>
      <c r="Q13" s="33"/>
      <c r="R13" s="32">
        <f>SUM(E13:Q13)</f>
        <v>3733.2</v>
      </c>
      <c r="S13" s="33">
        <f>SUM(D13+R13)</f>
        <v>6873.2</v>
      </c>
      <c r="T13" s="33">
        <v>430</v>
      </c>
      <c r="U13" s="33">
        <f t="shared" si="0"/>
        <v>6443.2</v>
      </c>
      <c r="V13" s="33">
        <v>84.6</v>
      </c>
      <c r="W13" s="27">
        <f t="shared" si="1"/>
        <v>12084.6</v>
      </c>
      <c r="X13" s="35">
        <f t="shared" si="2"/>
        <v>6957.8</v>
      </c>
      <c r="Y13" s="33"/>
      <c r="Z13" s="35">
        <f t="shared" si="3"/>
        <v>430</v>
      </c>
      <c r="AA13" s="33"/>
      <c r="AB13" s="33"/>
      <c r="AC13" s="33"/>
      <c r="AD13" s="33"/>
      <c r="AE13" s="28"/>
      <c r="AF13" s="36">
        <f t="shared" si="6"/>
        <v>81025.600000000006</v>
      </c>
    </row>
    <row r="14" spans="1:34" x14ac:dyDescent="0.25">
      <c r="A14" s="31">
        <v>46060</v>
      </c>
      <c r="B14" s="33"/>
      <c r="C14" s="33"/>
      <c r="D14" s="32">
        <f t="shared" si="5"/>
        <v>0</v>
      </c>
      <c r="E14" s="33">
        <v>130</v>
      </c>
      <c r="F14" s="33">
        <v>505.5</v>
      </c>
      <c r="G14" s="33"/>
      <c r="H14" s="33"/>
      <c r="I14" s="33">
        <v>16</v>
      </c>
      <c r="J14" s="33"/>
      <c r="K14" s="33">
        <v>490</v>
      </c>
      <c r="L14" s="33">
        <v>500</v>
      </c>
      <c r="M14" s="33"/>
      <c r="N14" s="33"/>
      <c r="O14" s="33"/>
      <c r="P14" s="33"/>
      <c r="Q14" s="33"/>
      <c r="R14" s="32">
        <f>SUM(E14:Q14)</f>
        <v>1641.5</v>
      </c>
      <c r="S14" s="33">
        <f>SUM(D14+R14)</f>
        <v>1641.5</v>
      </c>
      <c r="T14" s="33">
        <v>166</v>
      </c>
      <c r="U14" s="33">
        <f t="shared" si="0"/>
        <v>1475.5</v>
      </c>
      <c r="V14" s="33">
        <v>30</v>
      </c>
      <c r="W14" s="27">
        <f t="shared" si="1"/>
        <v>13560.1</v>
      </c>
      <c r="X14" s="35">
        <f t="shared" si="2"/>
        <v>1671.5</v>
      </c>
      <c r="Y14" s="33"/>
      <c r="Z14" s="35">
        <f t="shared" si="3"/>
        <v>166</v>
      </c>
      <c r="AA14" s="33"/>
      <c r="AB14" s="33"/>
      <c r="AC14" s="33"/>
      <c r="AD14" s="33"/>
      <c r="AE14" s="28"/>
      <c r="AF14" s="36">
        <f t="shared" si="6"/>
        <v>82501.100000000006</v>
      </c>
    </row>
    <row r="15" spans="1:34" x14ac:dyDescent="0.25">
      <c r="A15" s="31">
        <v>46061</v>
      </c>
      <c r="B15" s="33"/>
      <c r="C15" s="33"/>
      <c r="D15" s="32">
        <f t="shared" si="5"/>
        <v>0</v>
      </c>
      <c r="E15" s="33"/>
      <c r="F15" s="33">
        <v>460</v>
      </c>
      <c r="G15" s="33"/>
      <c r="H15" s="33"/>
      <c r="I15" s="33">
        <v>20</v>
      </c>
      <c r="J15" s="33"/>
      <c r="K15" s="33"/>
      <c r="L15" s="33"/>
      <c r="M15" s="33"/>
      <c r="N15" s="33"/>
      <c r="O15" s="33"/>
      <c r="P15" s="33"/>
      <c r="Q15" s="33"/>
      <c r="R15" s="32">
        <f>SUM(E15:Q15)</f>
        <v>480</v>
      </c>
      <c r="S15" s="33">
        <f>SUM(D15+R15)</f>
        <v>480</v>
      </c>
      <c r="T15" s="33"/>
      <c r="U15" s="33">
        <f t="shared" si="0"/>
        <v>480</v>
      </c>
      <c r="V15" s="33"/>
      <c r="W15" s="27">
        <f t="shared" si="1"/>
        <v>14040.1</v>
      </c>
      <c r="X15" s="35">
        <f t="shared" si="2"/>
        <v>480</v>
      </c>
      <c r="Y15" s="33"/>
      <c r="Z15" s="35">
        <f t="shared" si="3"/>
        <v>0</v>
      </c>
      <c r="AA15" s="33"/>
      <c r="AB15" s="33"/>
      <c r="AC15" s="33"/>
      <c r="AD15" s="33"/>
      <c r="AE15" s="28"/>
      <c r="AF15" s="36">
        <f t="shared" si="6"/>
        <v>82981.100000000006</v>
      </c>
    </row>
    <row r="16" spans="1:34" x14ac:dyDescent="0.25">
      <c r="A16" s="31">
        <v>46062</v>
      </c>
      <c r="B16" s="33"/>
      <c r="C16" s="33"/>
      <c r="D16" s="32">
        <f t="shared" si="5"/>
        <v>0</v>
      </c>
      <c r="E16" s="33">
        <v>692.4</v>
      </c>
      <c r="F16" s="33">
        <v>323</v>
      </c>
      <c r="G16" s="33"/>
      <c r="H16" s="33"/>
      <c r="I16" s="33">
        <v>10</v>
      </c>
      <c r="J16" s="33">
        <v>110</v>
      </c>
      <c r="K16" s="33"/>
      <c r="L16" s="33"/>
      <c r="M16" s="33"/>
      <c r="N16" s="33">
        <v>100</v>
      </c>
      <c r="O16" s="33"/>
      <c r="P16" s="33"/>
      <c r="Q16" s="33"/>
      <c r="R16" s="32">
        <f>SUM(E16:Q16)</f>
        <v>1235.4000000000001</v>
      </c>
      <c r="S16" s="33">
        <f>SUM(D16+R16)</f>
        <v>1235.4000000000001</v>
      </c>
      <c r="T16" s="33">
        <v>3181.5</v>
      </c>
      <c r="U16" s="33">
        <f t="shared" si="0"/>
        <v>-1946.1</v>
      </c>
      <c r="V16" s="33">
        <v>60</v>
      </c>
      <c r="W16" s="27">
        <f t="shared" si="1"/>
        <v>5094</v>
      </c>
      <c r="X16" s="35">
        <f t="shared" si="2"/>
        <v>1295.4000000000001</v>
      </c>
      <c r="Y16" s="33"/>
      <c r="Z16" s="35">
        <f t="shared" si="3"/>
        <v>3181.5</v>
      </c>
      <c r="AA16" s="33">
        <v>7000</v>
      </c>
      <c r="AB16" s="33"/>
      <c r="AC16" s="33"/>
      <c r="AD16" s="33"/>
      <c r="AE16" s="28"/>
      <c r="AF16" s="36">
        <f t="shared" si="6"/>
        <v>81035</v>
      </c>
    </row>
    <row r="17" spans="1:34" x14ac:dyDescent="0.25">
      <c r="A17" s="31">
        <v>46063</v>
      </c>
      <c r="B17" s="33"/>
      <c r="C17" s="33"/>
      <c r="D17" s="32">
        <f t="shared" si="5"/>
        <v>0</v>
      </c>
      <c r="E17" s="33">
        <v>427.8</v>
      </c>
      <c r="F17" s="33">
        <v>531.5</v>
      </c>
      <c r="G17" s="33">
        <v>26.5</v>
      </c>
      <c r="H17" s="33">
        <v>15</v>
      </c>
      <c r="I17" s="33">
        <v>10</v>
      </c>
      <c r="J17" s="33">
        <v>68</v>
      </c>
      <c r="K17" s="33">
        <v>2120</v>
      </c>
      <c r="L17" s="33"/>
      <c r="M17" s="33"/>
      <c r="N17" s="33">
        <v>30</v>
      </c>
      <c r="O17" s="33"/>
      <c r="P17" s="33"/>
      <c r="Q17" s="33"/>
      <c r="R17" s="32">
        <f>SUM(E17:Q17)</f>
        <v>3228.8</v>
      </c>
      <c r="S17" s="33">
        <f>SUM(D17+R17)</f>
        <v>3228.8</v>
      </c>
      <c r="T17" s="33">
        <v>1182.5999999999999</v>
      </c>
      <c r="U17" s="33">
        <f t="shared" si="0"/>
        <v>2046.2000000000003</v>
      </c>
      <c r="V17" s="33">
        <v>1467.2</v>
      </c>
      <c r="W17" s="27">
        <f t="shared" si="1"/>
        <v>7140.2000000000007</v>
      </c>
      <c r="X17" s="35">
        <f t="shared" si="2"/>
        <v>4696</v>
      </c>
      <c r="Y17" s="33"/>
      <c r="Z17" s="35">
        <f t="shared" si="3"/>
        <v>1182.5999999999999</v>
      </c>
      <c r="AA17" s="33"/>
      <c r="AB17" s="33"/>
      <c r="AC17" s="33"/>
      <c r="AD17" s="33"/>
      <c r="AE17" s="28"/>
      <c r="AF17" s="36">
        <f t="shared" si="6"/>
        <v>83081.2</v>
      </c>
    </row>
    <row r="18" spans="1:34" x14ac:dyDescent="0.25">
      <c r="A18" s="31">
        <v>46064</v>
      </c>
      <c r="B18" s="33"/>
      <c r="C18" s="33"/>
      <c r="D18" s="32">
        <f t="shared" si="5"/>
        <v>0</v>
      </c>
      <c r="E18" s="33">
        <v>1993.4</v>
      </c>
      <c r="F18" s="33">
        <v>477</v>
      </c>
      <c r="G18" s="33"/>
      <c r="H18" s="33"/>
      <c r="I18" s="33"/>
      <c r="J18" s="33"/>
      <c r="K18" s="33">
        <v>562</v>
      </c>
      <c r="L18" s="33"/>
      <c r="M18" s="33"/>
      <c r="N18" s="33"/>
      <c r="O18" s="33">
        <v>200</v>
      </c>
      <c r="P18" s="33">
        <v>5</v>
      </c>
      <c r="Q18" s="33"/>
      <c r="R18" s="32">
        <f>SUM(E18:Q18)</f>
        <v>3237.4</v>
      </c>
      <c r="S18" s="33">
        <f>SUM(D18+R18)</f>
        <v>3237.4</v>
      </c>
      <c r="T18" s="33">
        <v>14</v>
      </c>
      <c r="U18" s="33">
        <f t="shared" si="0"/>
        <v>3223.4</v>
      </c>
      <c r="V18" s="33">
        <v>1718.4</v>
      </c>
      <c r="W18" s="27">
        <f t="shared" si="1"/>
        <v>7163.6</v>
      </c>
      <c r="X18" s="35">
        <f t="shared" si="2"/>
        <v>4955.8</v>
      </c>
      <c r="Y18" s="33"/>
      <c r="Z18" s="35">
        <f t="shared" si="3"/>
        <v>14</v>
      </c>
      <c r="AA18" s="33">
        <v>3200</v>
      </c>
      <c r="AB18" s="33"/>
      <c r="AC18" s="33"/>
      <c r="AD18" s="33"/>
      <c r="AE18" s="28"/>
      <c r="AF18" s="36">
        <f t="shared" si="6"/>
        <v>86304.599999999991</v>
      </c>
    </row>
    <row r="19" spans="1:34" x14ac:dyDescent="0.25">
      <c r="A19" s="31">
        <v>46065</v>
      </c>
      <c r="B19" s="33"/>
      <c r="C19" s="33"/>
      <c r="D19" s="32">
        <f t="shared" si="5"/>
        <v>0</v>
      </c>
      <c r="E19" s="33">
        <v>43.6</v>
      </c>
      <c r="F19" s="33">
        <v>455</v>
      </c>
      <c r="G19" s="33"/>
      <c r="H19" s="33"/>
      <c r="I19" s="33">
        <v>10</v>
      </c>
      <c r="J19" s="33">
        <v>46.5</v>
      </c>
      <c r="K19" s="33">
        <v>1670</v>
      </c>
      <c r="L19" s="33"/>
      <c r="M19" s="33"/>
      <c r="N19" s="33"/>
      <c r="O19" s="33"/>
      <c r="P19" s="33"/>
      <c r="Q19" s="33"/>
      <c r="R19" s="32">
        <f>SUM(E19:Q19)</f>
        <v>2225.1</v>
      </c>
      <c r="S19" s="33">
        <f>SUM(D19+R19)</f>
        <v>2225.1</v>
      </c>
      <c r="T19" s="33">
        <v>1514.5</v>
      </c>
      <c r="U19" s="33">
        <f t="shared" si="0"/>
        <v>710.59999999999991</v>
      </c>
      <c r="V19" s="33">
        <v>90</v>
      </c>
      <c r="W19" s="27">
        <f t="shared" si="1"/>
        <v>7874.2000000000007</v>
      </c>
      <c r="X19" s="35">
        <f t="shared" si="2"/>
        <v>2315.1</v>
      </c>
      <c r="Y19" s="33"/>
      <c r="Z19" s="35">
        <f t="shared" si="3"/>
        <v>1514.5</v>
      </c>
      <c r="AA19" s="33"/>
      <c r="AB19" s="39"/>
      <c r="AC19" s="39"/>
      <c r="AD19" s="33">
        <v>90.6</v>
      </c>
      <c r="AE19" s="28"/>
      <c r="AF19" s="36">
        <f>SUM(AF18+U19-AE19)</f>
        <v>87015.2</v>
      </c>
      <c r="AG19" s="40"/>
      <c r="AH19" s="39"/>
    </row>
    <row r="20" spans="1:34" x14ac:dyDescent="0.25">
      <c r="A20" s="31">
        <v>46066</v>
      </c>
      <c r="B20" s="33">
        <v>1428</v>
      </c>
      <c r="C20" s="33">
        <v>2385</v>
      </c>
      <c r="D20" s="32">
        <f t="shared" si="5"/>
        <v>3813</v>
      </c>
      <c r="E20" s="33">
        <v>1114</v>
      </c>
      <c r="F20" s="33">
        <v>447.5</v>
      </c>
      <c r="G20" s="33">
        <v>40</v>
      </c>
      <c r="H20" s="33">
        <v>20</v>
      </c>
      <c r="I20" s="33">
        <v>10</v>
      </c>
      <c r="J20" s="33">
        <v>48</v>
      </c>
      <c r="K20" s="33"/>
      <c r="L20" s="33"/>
      <c r="M20" s="33"/>
      <c r="N20" s="33">
        <v>30</v>
      </c>
      <c r="O20" s="33"/>
      <c r="P20" s="33"/>
      <c r="Q20" s="33"/>
      <c r="R20" s="32">
        <f>SUM(E20:Q20)</f>
        <v>1709.5</v>
      </c>
      <c r="S20" s="33">
        <f>SUM(D20+R20)</f>
        <v>5522.5</v>
      </c>
      <c r="T20" s="33">
        <v>78</v>
      </c>
      <c r="U20" s="33">
        <f t="shared" si="0"/>
        <v>5444.5</v>
      </c>
      <c r="V20" s="33"/>
      <c r="W20" s="27">
        <f t="shared" si="1"/>
        <v>13318.7</v>
      </c>
      <c r="X20" s="35">
        <f t="shared" si="2"/>
        <v>5522.5</v>
      </c>
      <c r="Y20" s="33"/>
      <c r="Z20" s="35">
        <f t="shared" si="3"/>
        <v>78</v>
      </c>
      <c r="AA20" s="33"/>
      <c r="AB20" s="33"/>
      <c r="AC20" s="33"/>
      <c r="AD20" s="33"/>
      <c r="AE20" s="28">
        <v>30000</v>
      </c>
      <c r="AF20" s="36">
        <f t="shared" ref="AF20:AF35" si="7">SUM(AF19+U20-AE20)</f>
        <v>62459.7</v>
      </c>
    </row>
    <row r="21" spans="1:34" x14ac:dyDescent="0.25">
      <c r="A21" s="31">
        <v>46067</v>
      </c>
      <c r="B21" s="33"/>
      <c r="C21" s="33"/>
      <c r="D21" s="32">
        <f t="shared" si="5"/>
        <v>0</v>
      </c>
      <c r="E21" s="33"/>
      <c r="F21" s="33">
        <v>724.5</v>
      </c>
      <c r="G21" s="33"/>
      <c r="H21" s="33"/>
      <c r="I21" s="33"/>
      <c r="J21" s="33">
        <v>63</v>
      </c>
      <c r="K21" s="33">
        <v>300</v>
      </c>
      <c r="L21" s="33"/>
      <c r="M21" s="33"/>
      <c r="N21" s="33">
        <v>55</v>
      </c>
      <c r="O21" s="33"/>
      <c r="P21" s="33"/>
      <c r="Q21" s="33"/>
      <c r="R21" s="32">
        <f>SUM(E21:Q21)</f>
        <v>1142.5</v>
      </c>
      <c r="S21" s="33">
        <f>SUM(D21+R21)</f>
        <v>1142.5</v>
      </c>
      <c r="T21" s="33">
        <v>5000</v>
      </c>
      <c r="U21" s="33">
        <f t="shared" si="0"/>
        <v>-3857.5</v>
      </c>
      <c r="V21" s="33"/>
      <c r="W21" s="27">
        <f t="shared" si="1"/>
        <v>9461.2000000000007</v>
      </c>
      <c r="X21" s="35">
        <f t="shared" si="2"/>
        <v>1142.5</v>
      </c>
      <c r="Y21" s="33"/>
      <c r="Z21" s="35">
        <f t="shared" si="3"/>
        <v>5000</v>
      </c>
      <c r="AA21" s="33"/>
      <c r="AB21" s="33"/>
      <c r="AC21" s="33"/>
      <c r="AD21" s="33"/>
      <c r="AE21" s="28"/>
      <c r="AF21" s="36">
        <f t="shared" si="7"/>
        <v>58602.2</v>
      </c>
      <c r="AH21" s="41"/>
    </row>
    <row r="22" spans="1:34" x14ac:dyDescent="0.25">
      <c r="A22" s="31">
        <v>46068</v>
      </c>
      <c r="B22" s="33"/>
      <c r="C22" s="33"/>
      <c r="D22" s="32">
        <f t="shared" si="5"/>
        <v>0</v>
      </c>
      <c r="E22" s="33"/>
      <c r="F22" s="33">
        <v>216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2">
        <f>SUM(E22:Q22)</f>
        <v>216</v>
      </c>
      <c r="S22" s="33">
        <f>SUM(D22+R22)</f>
        <v>216</v>
      </c>
      <c r="T22" s="33"/>
      <c r="U22" s="33">
        <f t="shared" si="0"/>
        <v>216</v>
      </c>
      <c r="V22" s="28"/>
      <c r="W22" s="27">
        <f t="shared" si="1"/>
        <v>9677.2000000000007</v>
      </c>
      <c r="X22" s="35">
        <f t="shared" si="2"/>
        <v>216</v>
      </c>
      <c r="Y22" s="33"/>
      <c r="Z22" s="35">
        <f t="shared" si="3"/>
        <v>0</v>
      </c>
      <c r="AA22" s="33"/>
      <c r="AB22" s="33"/>
      <c r="AC22" s="33"/>
      <c r="AD22" s="33"/>
      <c r="AE22" s="28"/>
      <c r="AF22" s="36">
        <f>SUM(AF21+U22-AE22)</f>
        <v>58818.2</v>
      </c>
    </row>
    <row r="23" spans="1:34" x14ac:dyDescent="0.25">
      <c r="A23" s="31">
        <v>46069</v>
      </c>
      <c r="B23" s="33"/>
      <c r="C23" s="33"/>
      <c r="D23" s="32">
        <f t="shared" si="5"/>
        <v>0</v>
      </c>
      <c r="E23" s="33">
        <v>758.4</v>
      </c>
      <c r="F23" s="33">
        <v>323</v>
      </c>
      <c r="G23" s="33"/>
      <c r="H23" s="33"/>
      <c r="I23" s="33"/>
      <c r="J23" s="33">
        <v>51.5</v>
      </c>
      <c r="K23" s="33">
        <v>50</v>
      </c>
      <c r="L23" s="33"/>
      <c r="M23" s="33"/>
      <c r="N23" s="33">
        <v>60</v>
      </c>
      <c r="O23" s="33"/>
      <c r="P23" s="33"/>
      <c r="Q23" s="33">
        <v>28.3</v>
      </c>
      <c r="R23" s="32">
        <f>SUM(E23:Q23)</f>
        <v>1271.2</v>
      </c>
      <c r="S23" s="33">
        <f>SUM(D23+R23)</f>
        <v>1271.2</v>
      </c>
      <c r="T23" s="33">
        <v>80</v>
      </c>
      <c r="U23" s="33">
        <f t="shared" si="0"/>
        <v>1191.2</v>
      </c>
      <c r="V23" s="28">
        <v>510</v>
      </c>
      <c r="W23" s="27">
        <f t="shared" si="1"/>
        <v>6868.4000000000015</v>
      </c>
      <c r="X23" s="35">
        <f t="shared" si="2"/>
        <v>1781.2</v>
      </c>
      <c r="Y23" s="33"/>
      <c r="Z23" s="35">
        <f t="shared" si="3"/>
        <v>80</v>
      </c>
      <c r="AA23" s="33">
        <v>4000</v>
      </c>
      <c r="AB23" s="33"/>
      <c r="AC23" s="33"/>
      <c r="AD23" s="33"/>
      <c r="AE23" s="28"/>
      <c r="AF23" s="36">
        <f t="shared" si="7"/>
        <v>60009.399999999994</v>
      </c>
    </row>
    <row r="24" spans="1:34" x14ac:dyDescent="0.25">
      <c r="A24" s="31">
        <v>46070</v>
      </c>
      <c r="B24" s="33"/>
      <c r="C24" s="33"/>
      <c r="D24" s="32">
        <f t="shared" si="5"/>
        <v>0</v>
      </c>
      <c r="E24" s="33">
        <v>861.2</v>
      </c>
      <c r="F24" s="33">
        <v>437.5</v>
      </c>
      <c r="G24" s="33">
        <v>71</v>
      </c>
      <c r="H24" s="33">
        <v>34</v>
      </c>
      <c r="I24" s="33">
        <v>30</v>
      </c>
      <c r="J24" s="33">
        <v>45</v>
      </c>
      <c r="K24" s="33">
        <v>1150</v>
      </c>
      <c r="L24" s="33"/>
      <c r="M24" s="33"/>
      <c r="N24" s="33"/>
      <c r="O24" s="33"/>
      <c r="P24" s="33"/>
      <c r="Q24" s="33"/>
      <c r="R24" s="32">
        <f>SUM(E24:Q24)</f>
        <v>2628.7</v>
      </c>
      <c r="S24" s="33">
        <f>SUM(D24+R24)</f>
        <v>2628.7</v>
      </c>
      <c r="T24" s="33">
        <v>155</v>
      </c>
      <c r="U24" s="33">
        <f t="shared" si="0"/>
        <v>2473.6999999999998</v>
      </c>
      <c r="V24" s="33">
        <v>462.4</v>
      </c>
      <c r="W24" s="27">
        <f t="shared" si="1"/>
        <v>9342.1000000000022</v>
      </c>
      <c r="X24" s="35">
        <f t="shared" si="2"/>
        <v>3091.1</v>
      </c>
      <c r="Y24" s="33"/>
      <c r="Z24" s="35">
        <f t="shared" si="3"/>
        <v>155</v>
      </c>
      <c r="AA24" s="33"/>
      <c r="AB24" s="33"/>
      <c r="AC24" s="33"/>
      <c r="AD24" s="33"/>
      <c r="AE24" s="28"/>
      <c r="AF24" s="36">
        <f t="shared" si="7"/>
        <v>62483.099999999991</v>
      </c>
      <c r="AH24" s="41"/>
    </row>
    <row r="25" spans="1:34" x14ac:dyDescent="0.25">
      <c r="A25" s="31">
        <v>46071</v>
      </c>
      <c r="B25" s="33"/>
      <c r="C25" s="33"/>
      <c r="D25" s="32"/>
      <c r="E25" s="33">
        <v>1289.4000000000001</v>
      </c>
      <c r="F25" s="33">
        <v>429.5</v>
      </c>
      <c r="G25" s="33">
        <v>19.2</v>
      </c>
      <c r="H25" s="33">
        <v>8</v>
      </c>
      <c r="I25" s="33">
        <v>10</v>
      </c>
      <c r="J25" s="33">
        <v>53</v>
      </c>
      <c r="K25" s="33">
        <v>2013.4</v>
      </c>
      <c r="L25" s="33"/>
      <c r="M25" s="33"/>
      <c r="N25" s="33"/>
      <c r="O25" s="33"/>
      <c r="P25" s="33"/>
      <c r="Q25" s="33"/>
      <c r="R25" s="32">
        <f>SUM(E25:Q25)</f>
        <v>3822.5</v>
      </c>
      <c r="S25" s="33">
        <f>SUM(D25+R25)</f>
        <v>3822.5</v>
      </c>
      <c r="T25" s="33">
        <v>2329.4</v>
      </c>
      <c r="U25" s="33">
        <f t="shared" si="0"/>
        <v>1493.1</v>
      </c>
      <c r="V25" s="28">
        <v>1592.9</v>
      </c>
      <c r="W25" s="27">
        <f t="shared" si="1"/>
        <v>5835.2000000000025</v>
      </c>
      <c r="X25" s="35">
        <f t="shared" si="2"/>
        <v>5415.4</v>
      </c>
      <c r="Y25" s="33"/>
      <c r="Z25" s="35">
        <f t="shared" si="3"/>
        <v>2329.4</v>
      </c>
      <c r="AA25" s="33">
        <v>5000</v>
      </c>
      <c r="AB25" s="33"/>
      <c r="AC25" s="33"/>
      <c r="AD25" s="33"/>
      <c r="AE25" s="28"/>
      <c r="AF25" s="36">
        <f t="shared" si="7"/>
        <v>63976.19999999999</v>
      </c>
    </row>
    <row r="26" spans="1:34" x14ac:dyDescent="0.25">
      <c r="A26" s="31">
        <v>46072</v>
      </c>
      <c r="B26" s="33"/>
      <c r="C26" s="33"/>
      <c r="D26" s="32">
        <f t="shared" si="5"/>
        <v>0</v>
      </c>
      <c r="E26" s="33">
        <v>107.4</v>
      </c>
      <c r="F26" s="33">
        <v>463.5</v>
      </c>
      <c r="G26" s="33">
        <v>48</v>
      </c>
      <c r="H26" s="33">
        <v>29</v>
      </c>
      <c r="I26" s="33">
        <v>10</v>
      </c>
      <c r="J26" s="33">
        <v>70.3</v>
      </c>
      <c r="K26" s="33">
        <v>350</v>
      </c>
      <c r="L26" s="33"/>
      <c r="M26" s="33"/>
      <c r="N26" s="33"/>
      <c r="O26" s="33"/>
      <c r="P26" s="33"/>
      <c r="Q26" s="33"/>
      <c r="R26" s="32">
        <f>SUM(E26:Q26)</f>
        <v>1078.1999999999998</v>
      </c>
      <c r="S26" s="33">
        <f>SUM(D26+R26)</f>
        <v>1078.1999999999998</v>
      </c>
      <c r="T26" s="33">
        <v>691</v>
      </c>
      <c r="U26" s="33">
        <f t="shared" si="0"/>
        <v>387.19999999999982</v>
      </c>
      <c r="V26" s="33">
        <v>450</v>
      </c>
      <c r="W26" s="27">
        <f t="shared" si="1"/>
        <v>6222.4000000000024</v>
      </c>
      <c r="X26" s="35">
        <f t="shared" si="2"/>
        <v>1528.1999999999998</v>
      </c>
      <c r="Y26" s="33"/>
      <c r="Z26" s="35">
        <f t="shared" si="3"/>
        <v>691</v>
      </c>
      <c r="AA26" s="33"/>
      <c r="AB26" s="33"/>
      <c r="AC26" s="33"/>
      <c r="AD26" s="33"/>
      <c r="AE26" s="28"/>
      <c r="AF26" s="36">
        <f t="shared" si="7"/>
        <v>64363.399999999987</v>
      </c>
      <c r="AH26" s="41"/>
    </row>
    <row r="27" spans="1:34" x14ac:dyDescent="0.25">
      <c r="A27" s="31">
        <v>46073</v>
      </c>
      <c r="B27" s="33">
        <v>1472</v>
      </c>
      <c r="C27" s="33">
        <v>1975</v>
      </c>
      <c r="D27" s="32">
        <f t="shared" si="5"/>
        <v>3447</v>
      </c>
      <c r="E27" s="33">
        <v>58.9</v>
      </c>
      <c r="F27" s="33">
        <v>408.5</v>
      </c>
      <c r="G27" s="33">
        <v>117.2</v>
      </c>
      <c r="H27" s="33">
        <v>3</v>
      </c>
      <c r="I27" s="33">
        <v>10</v>
      </c>
      <c r="J27" s="33">
        <v>59</v>
      </c>
      <c r="K27" s="33">
        <v>100</v>
      </c>
      <c r="L27" s="33"/>
      <c r="M27" s="33">
        <v>45.2</v>
      </c>
      <c r="N27" s="33"/>
      <c r="O27" s="33"/>
      <c r="P27" s="33"/>
      <c r="Q27" s="33"/>
      <c r="R27" s="32">
        <f>SUM(E27:Q27)</f>
        <v>801.80000000000007</v>
      </c>
      <c r="S27" s="33">
        <f>SUM(D27+R27)</f>
        <v>4248.8</v>
      </c>
      <c r="T27" s="33">
        <v>1338.2</v>
      </c>
      <c r="U27" s="33">
        <f t="shared" si="0"/>
        <v>2910.6000000000004</v>
      </c>
      <c r="V27" s="33">
        <v>1294.2</v>
      </c>
      <c r="W27" s="27">
        <f t="shared" si="1"/>
        <v>6133.0000000000036</v>
      </c>
      <c r="X27" s="35">
        <f t="shared" si="2"/>
        <v>5543</v>
      </c>
      <c r="Y27" s="33"/>
      <c r="Z27" s="35">
        <f t="shared" si="3"/>
        <v>1338.2</v>
      </c>
      <c r="AA27" s="33">
        <v>3000</v>
      </c>
      <c r="AB27" s="33"/>
      <c r="AC27" s="33"/>
      <c r="AD27" s="33"/>
      <c r="AE27" s="28"/>
      <c r="AF27" s="36">
        <f t="shared" si="7"/>
        <v>67273.999999999985</v>
      </c>
    </row>
    <row r="28" spans="1:34" x14ac:dyDescent="0.25">
      <c r="A28" s="31">
        <v>46074</v>
      </c>
      <c r="B28" s="33"/>
      <c r="C28" s="33"/>
      <c r="D28" s="32">
        <f t="shared" si="5"/>
        <v>0</v>
      </c>
      <c r="E28" s="33">
        <v>371.6</v>
      </c>
      <c r="F28" s="33">
        <v>728.5</v>
      </c>
      <c r="G28" s="33">
        <v>39.1</v>
      </c>
      <c r="H28" s="33">
        <v>8</v>
      </c>
      <c r="I28" s="33">
        <v>10</v>
      </c>
      <c r="J28" s="33"/>
      <c r="K28" s="33">
        <v>650</v>
      </c>
      <c r="L28" s="33"/>
      <c r="M28" s="33"/>
      <c r="N28" s="33">
        <v>30</v>
      </c>
      <c r="O28" s="33"/>
      <c r="P28" s="33"/>
      <c r="Q28" s="33"/>
      <c r="R28" s="32">
        <f>SUM(E28:Q28)</f>
        <v>1837.1999999999998</v>
      </c>
      <c r="S28" s="33">
        <f>SUM(D28+R28)</f>
        <v>1837.1999999999998</v>
      </c>
      <c r="T28" s="33"/>
      <c r="U28" s="33">
        <f t="shared" si="0"/>
        <v>1837.1999999999998</v>
      </c>
      <c r="V28" s="33"/>
      <c r="W28" s="27">
        <f t="shared" si="1"/>
        <v>7970.2000000000035</v>
      </c>
      <c r="X28" s="35">
        <f t="shared" si="2"/>
        <v>1837.1999999999998</v>
      </c>
      <c r="Y28" s="33"/>
      <c r="Z28" s="35">
        <f t="shared" si="3"/>
        <v>0</v>
      </c>
      <c r="AA28" s="33"/>
      <c r="AB28" s="33"/>
      <c r="AC28" s="33"/>
      <c r="AD28" s="33"/>
      <c r="AE28" s="28"/>
      <c r="AF28" s="36">
        <f t="shared" si="7"/>
        <v>69111.199999999983</v>
      </c>
      <c r="AH28" s="40"/>
    </row>
    <row r="29" spans="1:34" x14ac:dyDescent="0.25">
      <c r="A29" s="31">
        <v>46075</v>
      </c>
      <c r="B29" s="33"/>
      <c r="C29" s="33"/>
      <c r="D29" s="32">
        <f t="shared" si="5"/>
        <v>0</v>
      </c>
      <c r="E29" s="33"/>
      <c r="F29" s="42">
        <v>145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2">
        <f>SUM(E29:Q29)</f>
        <v>145</v>
      </c>
      <c r="S29" s="33">
        <f>SUM(D29+R29)</f>
        <v>145</v>
      </c>
      <c r="T29" s="33"/>
      <c r="U29" s="33">
        <f t="shared" si="0"/>
        <v>145</v>
      </c>
      <c r="V29" s="33"/>
      <c r="W29" s="27">
        <f t="shared" si="1"/>
        <v>8115.2000000000035</v>
      </c>
      <c r="X29" s="35">
        <f t="shared" si="2"/>
        <v>145</v>
      </c>
      <c r="Y29" s="33"/>
      <c r="Z29" s="35"/>
      <c r="AA29" s="33"/>
      <c r="AB29" s="33"/>
      <c r="AC29" s="33"/>
      <c r="AD29" s="33"/>
      <c r="AE29" s="28"/>
      <c r="AF29" s="36">
        <f t="shared" si="7"/>
        <v>69256.199999999983</v>
      </c>
    </row>
    <row r="30" spans="1:34" x14ac:dyDescent="0.25">
      <c r="A30" s="31">
        <v>46076</v>
      </c>
      <c r="B30" s="43"/>
      <c r="C30" s="44"/>
      <c r="D30" s="32">
        <f t="shared" si="5"/>
        <v>0</v>
      </c>
      <c r="E30" s="33">
        <v>5707.7</v>
      </c>
      <c r="F30" s="33">
        <v>319</v>
      </c>
      <c r="G30" s="33">
        <v>13.3</v>
      </c>
      <c r="H30" s="33">
        <v>3</v>
      </c>
      <c r="I30" s="33"/>
      <c r="J30" s="33">
        <v>121.7</v>
      </c>
      <c r="K30" s="33">
        <v>850</v>
      </c>
      <c r="L30" s="33">
        <v>200</v>
      </c>
      <c r="M30" s="33"/>
      <c r="N30" s="33">
        <v>60</v>
      </c>
      <c r="O30" s="33"/>
      <c r="P30" s="33"/>
      <c r="Q30" s="33"/>
      <c r="R30" s="32">
        <f>SUM(E30:Q30)</f>
        <v>7274.7</v>
      </c>
      <c r="S30" s="33">
        <f>SUM(D30+R30)</f>
        <v>7274.7</v>
      </c>
      <c r="T30" s="33">
        <v>80</v>
      </c>
      <c r="U30" s="33">
        <f t="shared" si="0"/>
        <v>7194.7</v>
      </c>
      <c r="V30" s="33">
        <v>1347.6</v>
      </c>
      <c r="W30" s="27">
        <f t="shared" si="1"/>
        <v>8309.9000000000033</v>
      </c>
      <c r="X30" s="35">
        <f t="shared" si="2"/>
        <v>8622.2999999999993</v>
      </c>
      <c r="Y30" s="33"/>
      <c r="Z30" s="35"/>
      <c r="AA30" s="33">
        <v>7000</v>
      </c>
      <c r="AB30" s="33"/>
      <c r="AC30" s="33"/>
      <c r="AD30" s="33"/>
      <c r="AE30" s="28"/>
      <c r="AF30" s="36">
        <f t="shared" si="7"/>
        <v>76450.89999999998</v>
      </c>
    </row>
    <row r="31" spans="1:34" x14ac:dyDescent="0.25">
      <c r="A31" s="31">
        <v>46077</v>
      </c>
      <c r="B31" s="43"/>
      <c r="C31" s="44"/>
      <c r="D31" s="32">
        <f t="shared" si="5"/>
        <v>0</v>
      </c>
      <c r="E31" s="33">
        <v>1209.2</v>
      </c>
      <c r="F31" s="33">
        <v>414</v>
      </c>
      <c r="G31" s="33"/>
      <c r="H31" s="33"/>
      <c r="I31" s="33">
        <v>20</v>
      </c>
      <c r="J31" s="33">
        <v>55.2</v>
      </c>
      <c r="K31" s="33"/>
      <c r="L31" s="33"/>
      <c r="M31" s="33"/>
      <c r="N31" s="33"/>
      <c r="O31" s="33"/>
      <c r="P31" s="33"/>
      <c r="Q31" s="33"/>
      <c r="R31" s="32">
        <f>SUM(E31:Q31)</f>
        <v>1698.4</v>
      </c>
      <c r="S31" s="33">
        <f>SUM(D31+R31)</f>
        <v>1698.4</v>
      </c>
      <c r="T31" s="33">
        <v>35.200000000000003</v>
      </c>
      <c r="U31" s="33">
        <f t="shared" si="0"/>
        <v>1663.2</v>
      </c>
      <c r="V31" s="33">
        <v>230</v>
      </c>
      <c r="W31" s="27">
        <f t="shared" si="1"/>
        <v>9973.100000000004</v>
      </c>
      <c r="X31" s="35">
        <f t="shared" si="2"/>
        <v>1928.4</v>
      </c>
      <c r="Y31" s="33"/>
      <c r="Z31" s="35"/>
      <c r="AA31" s="33"/>
      <c r="AB31" s="33"/>
      <c r="AC31" s="33"/>
      <c r="AD31" s="33"/>
      <c r="AE31" s="28"/>
      <c r="AF31" s="36">
        <f t="shared" si="7"/>
        <v>78114.099999999977</v>
      </c>
    </row>
    <row r="32" spans="1:34" x14ac:dyDescent="0.25">
      <c r="A32" s="31">
        <v>46078</v>
      </c>
      <c r="B32" s="43"/>
      <c r="C32" s="44"/>
      <c r="D32" s="32">
        <f t="shared" si="5"/>
        <v>0</v>
      </c>
      <c r="E32" s="33">
        <v>279.60000000000002</v>
      </c>
      <c r="F32" s="33">
        <v>426</v>
      </c>
      <c r="G32" s="33">
        <v>80.099999999999994</v>
      </c>
      <c r="H32" s="33">
        <v>22</v>
      </c>
      <c r="I32" s="33">
        <v>10</v>
      </c>
      <c r="J32" s="33">
        <v>63.5</v>
      </c>
      <c r="K32" s="33">
        <v>1200</v>
      </c>
      <c r="L32" s="33"/>
      <c r="M32" s="33"/>
      <c r="N32" s="33"/>
      <c r="O32" s="33"/>
      <c r="P32" s="33"/>
      <c r="Q32" s="33"/>
      <c r="R32" s="32">
        <f>SUM(E32:Q32)</f>
        <v>2081.1999999999998</v>
      </c>
      <c r="S32" s="33">
        <f>SUM(D32+R32)</f>
        <v>2081.1999999999998</v>
      </c>
      <c r="T32" s="33">
        <v>563</v>
      </c>
      <c r="U32" s="33">
        <f t="shared" si="0"/>
        <v>1518.1999999999998</v>
      </c>
      <c r="V32" s="33"/>
      <c r="W32" s="27">
        <f t="shared" si="1"/>
        <v>11491.300000000003</v>
      </c>
      <c r="X32" s="35">
        <f t="shared" si="2"/>
        <v>2081.1999999999998</v>
      </c>
      <c r="Y32" s="33"/>
      <c r="Z32" s="35">
        <f t="shared" si="3"/>
        <v>563</v>
      </c>
      <c r="AA32" s="33"/>
      <c r="AB32" s="33"/>
      <c r="AC32" s="33"/>
      <c r="AD32" s="33">
        <v>209.2</v>
      </c>
      <c r="AE32" s="28"/>
      <c r="AF32" s="36">
        <f t="shared" si="7"/>
        <v>79632.299999999974</v>
      </c>
    </row>
    <row r="33" spans="1:34" x14ac:dyDescent="0.25">
      <c r="A33" s="31">
        <v>46079</v>
      </c>
      <c r="B33" s="43"/>
      <c r="C33" s="44"/>
      <c r="D33" s="32">
        <f t="shared" si="5"/>
        <v>0</v>
      </c>
      <c r="E33" s="33">
        <v>571.20000000000005</v>
      </c>
      <c r="F33" s="33">
        <v>413</v>
      </c>
      <c r="G33" s="33"/>
      <c r="H33" s="33"/>
      <c r="I33" s="33">
        <v>10</v>
      </c>
      <c r="J33" s="33">
        <v>62.7</v>
      </c>
      <c r="K33" s="33"/>
      <c r="L33" s="33"/>
      <c r="M33" s="33"/>
      <c r="N33" s="33"/>
      <c r="O33" s="33"/>
      <c r="P33" s="33"/>
      <c r="Q33" s="33"/>
      <c r="R33" s="32">
        <f>SUM(E33:Q33)</f>
        <v>1056.9000000000001</v>
      </c>
      <c r="S33" s="33">
        <f>SUM(D33+R33)</f>
        <v>1056.9000000000001</v>
      </c>
      <c r="T33" s="28">
        <v>515.20000000000005</v>
      </c>
      <c r="U33" s="33">
        <f t="shared" si="0"/>
        <v>541.70000000000005</v>
      </c>
      <c r="V33" s="28"/>
      <c r="W33" s="27">
        <f t="shared" si="1"/>
        <v>12033.000000000004</v>
      </c>
      <c r="X33" s="35">
        <f t="shared" si="2"/>
        <v>1056.9000000000001</v>
      </c>
      <c r="Y33" s="33"/>
      <c r="Z33" s="35">
        <f t="shared" si="3"/>
        <v>515.20000000000005</v>
      </c>
      <c r="AA33" s="33"/>
      <c r="AB33" s="33"/>
      <c r="AC33" s="33"/>
      <c r="AD33" s="33"/>
      <c r="AE33" s="28"/>
      <c r="AF33" s="36">
        <f t="shared" si="7"/>
        <v>80173.999999999971</v>
      </c>
      <c r="AG33" s="40"/>
    </row>
    <row r="34" spans="1:34" x14ac:dyDescent="0.25">
      <c r="A34" s="31">
        <v>46080</v>
      </c>
      <c r="B34" s="43">
        <v>2069</v>
      </c>
      <c r="C34" s="44">
        <v>2650</v>
      </c>
      <c r="D34" s="32">
        <f t="shared" si="5"/>
        <v>4719</v>
      </c>
      <c r="E34" s="42">
        <v>3176.1</v>
      </c>
      <c r="F34" s="33">
        <v>452</v>
      </c>
      <c r="G34" s="33">
        <v>100</v>
      </c>
      <c r="H34" s="33"/>
      <c r="I34" s="33">
        <v>10</v>
      </c>
      <c r="J34" s="33">
        <v>62</v>
      </c>
      <c r="K34" s="33">
        <v>2250</v>
      </c>
      <c r="L34" s="33"/>
      <c r="M34" s="33"/>
      <c r="N34" s="33"/>
      <c r="O34" s="33"/>
      <c r="P34" s="33"/>
      <c r="Q34" s="33"/>
      <c r="R34" s="32">
        <f>SUM(E34:Q34)</f>
        <v>6050.1</v>
      </c>
      <c r="S34" s="33">
        <f>SUM(D34+R34)</f>
        <v>10769.1</v>
      </c>
      <c r="T34" s="33">
        <v>2554</v>
      </c>
      <c r="U34" s="33">
        <f t="shared" si="0"/>
        <v>8215.1</v>
      </c>
      <c r="V34" s="33">
        <v>332.8</v>
      </c>
      <c r="W34" s="27">
        <f t="shared" si="1"/>
        <v>20248.100000000006</v>
      </c>
      <c r="X34" s="35">
        <f t="shared" si="2"/>
        <v>11101.9</v>
      </c>
      <c r="Y34" s="33"/>
      <c r="Z34" s="35">
        <f t="shared" si="3"/>
        <v>2554</v>
      </c>
      <c r="AA34" s="33"/>
      <c r="AB34" s="33"/>
      <c r="AC34" s="33"/>
      <c r="AD34" s="33"/>
      <c r="AE34" s="28"/>
      <c r="AF34" s="36">
        <f t="shared" si="7"/>
        <v>88389.099999999977</v>
      </c>
      <c r="AG34" s="40"/>
    </row>
    <row r="35" spans="1:34" x14ac:dyDescent="0.25">
      <c r="A35" s="31">
        <v>46081</v>
      </c>
      <c r="B35" s="43"/>
      <c r="C35" s="44"/>
      <c r="D35" s="32">
        <f t="shared" si="5"/>
        <v>0</v>
      </c>
      <c r="E35" s="33">
        <v>192.6</v>
      </c>
      <c r="F35" s="33">
        <v>630</v>
      </c>
      <c r="G35" s="33"/>
      <c r="H35" s="33"/>
      <c r="I35" s="33">
        <v>10</v>
      </c>
      <c r="J35" s="33"/>
      <c r="K35" s="33">
        <v>500</v>
      </c>
      <c r="L35" s="33"/>
      <c r="M35" s="33"/>
      <c r="N35" s="33">
        <v>30</v>
      </c>
      <c r="O35" s="33"/>
      <c r="P35" s="33"/>
      <c r="Q35" s="33"/>
      <c r="R35" s="32">
        <f>SUM(E35:Q35)</f>
        <v>1362.6</v>
      </c>
      <c r="S35" s="33">
        <f>SUM(D35+R35)</f>
        <v>1362.6</v>
      </c>
      <c r="T35" s="33">
        <v>11595.7</v>
      </c>
      <c r="U35" s="33">
        <f t="shared" si="0"/>
        <v>-10233.1</v>
      </c>
      <c r="V35" s="33"/>
      <c r="W35" s="27">
        <f t="shared" si="1"/>
        <v>4415.0000000000055</v>
      </c>
      <c r="X35" s="35">
        <f t="shared" si="2"/>
        <v>1362.6</v>
      </c>
      <c r="Y35" s="33"/>
      <c r="Z35" s="35">
        <f t="shared" si="3"/>
        <v>11595.7</v>
      </c>
      <c r="AA35" s="33">
        <v>5600</v>
      </c>
      <c r="AB35" s="33"/>
      <c r="AC35" s="33"/>
      <c r="AD35" s="33"/>
      <c r="AE35" s="28"/>
      <c r="AF35" s="36">
        <f t="shared" si="7"/>
        <v>78155.999999999971</v>
      </c>
    </row>
    <row r="36" spans="1:34" x14ac:dyDescent="0.25">
      <c r="A36" s="31">
        <v>46082</v>
      </c>
      <c r="B36" s="43"/>
      <c r="C36" s="44"/>
      <c r="D36" s="32">
        <f t="shared" si="5"/>
        <v>0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2">
        <f>SUM(E36:Q36)</f>
        <v>0</v>
      </c>
      <c r="S36" s="33">
        <f>SUM(D36+R36)</f>
        <v>0</v>
      </c>
      <c r="T36" s="33"/>
      <c r="U36" s="33">
        <f t="shared" si="0"/>
        <v>0</v>
      </c>
      <c r="V36" s="33"/>
      <c r="W36" s="27"/>
      <c r="X36" s="35">
        <f t="shared" si="2"/>
        <v>0</v>
      </c>
      <c r="Y36" s="33"/>
      <c r="Z36" s="35">
        <f t="shared" si="3"/>
        <v>0</v>
      </c>
      <c r="AA36" s="33"/>
      <c r="AB36" s="33"/>
      <c r="AC36" s="33"/>
      <c r="AD36" s="33"/>
      <c r="AE36" s="28"/>
      <c r="AF36" s="36"/>
      <c r="AH36" s="40"/>
    </row>
    <row r="37" spans="1:34" x14ac:dyDescent="0.25">
      <c r="A37" s="31">
        <v>46083</v>
      </c>
      <c r="B37" s="43"/>
      <c r="C37" s="44"/>
      <c r="D37" s="32">
        <f t="shared" si="5"/>
        <v>0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2">
        <f>SUM(E37:J37)</f>
        <v>0</v>
      </c>
      <c r="S37" s="33">
        <f>SUM(D37+R37)</f>
        <v>0</v>
      </c>
      <c r="T37" s="33"/>
      <c r="U37" s="33">
        <f t="shared" si="0"/>
        <v>0</v>
      </c>
      <c r="V37" s="33"/>
      <c r="W37" s="27"/>
      <c r="X37" s="35">
        <f t="shared" si="2"/>
        <v>0</v>
      </c>
      <c r="Y37" s="33"/>
      <c r="Z37" s="35">
        <f t="shared" si="3"/>
        <v>0</v>
      </c>
      <c r="AA37" s="33"/>
      <c r="AB37" s="33"/>
      <c r="AC37" s="33"/>
      <c r="AD37" s="33"/>
      <c r="AE37" s="28"/>
      <c r="AF37" s="36"/>
    </row>
    <row r="38" spans="1:34" x14ac:dyDescent="0.25">
      <c r="A38" s="31">
        <v>46084</v>
      </c>
      <c r="B38" s="43"/>
      <c r="C38" s="44"/>
      <c r="D38" s="32"/>
      <c r="E38" s="33"/>
      <c r="F38" s="33"/>
      <c r="G38" s="33"/>
      <c r="H38" s="33"/>
      <c r="I38" s="33"/>
      <c r="J38" s="42"/>
      <c r="K38" s="42"/>
      <c r="L38" s="42"/>
      <c r="M38" s="42"/>
      <c r="N38" s="42"/>
      <c r="O38" s="42"/>
      <c r="P38" s="42"/>
      <c r="Q38" s="42"/>
      <c r="R38" s="32">
        <f>SUM(E38:J38)</f>
        <v>0</v>
      </c>
      <c r="S38" s="33">
        <f>SUM(D38+R38)</f>
        <v>0</v>
      </c>
      <c r="T38" s="33"/>
      <c r="U38" s="33">
        <f t="shared" si="0"/>
        <v>0</v>
      </c>
      <c r="V38" s="33"/>
      <c r="W38" s="27"/>
      <c r="X38" s="35">
        <f t="shared" si="2"/>
        <v>0</v>
      </c>
      <c r="Y38" s="45"/>
      <c r="Z38" s="35">
        <f t="shared" si="3"/>
        <v>0</v>
      </c>
      <c r="AA38" s="45"/>
      <c r="AB38" s="45"/>
      <c r="AC38" s="45"/>
      <c r="AD38" s="45"/>
      <c r="AE38" s="28"/>
      <c r="AF38" s="36"/>
    </row>
    <row r="39" spans="1:34" x14ac:dyDescent="0.25">
      <c r="A39" s="31"/>
      <c r="B39" s="32">
        <f t="shared" ref="B39:D39" si="8">SUM(B7:B37)</f>
        <v>6069</v>
      </c>
      <c r="C39" s="32">
        <f t="shared" si="8"/>
        <v>9050</v>
      </c>
      <c r="D39" s="32">
        <f t="shared" si="8"/>
        <v>15119</v>
      </c>
      <c r="E39" s="32">
        <f>SUM(E7:E38)</f>
        <v>23757.699999999997</v>
      </c>
      <c r="F39" s="32">
        <f>SUM(F7:F38)</f>
        <v>12523.5</v>
      </c>
      <c r="G39" s="32">
        <f t="shared" ref="G39:S39" si="9">SUM(G7:G38)</f>
        <v>759.6</v>
      </c>
      <c r="H39" s="32"/>
      <c r="I39" s="32">
        <f t="shared" si="9"/>
        <v>294</v>
      </c>
      <c r="J39" s="32">
        <f t="shared" si="9"/>
        <v>1339.8</v>
      </c>
      <c r="K39" s="32">
        <f t="shared" si="9"/>
        <v>22365.4</v>
      </c>
      <c r="L39" s="32">
        <f t="shared" si="9"/>
        <v>1350</v>
      </c>
      <c r="M39" s="32">
        <f t="shared" si="9"/>
        <v>45.2</v>
      </c>
      <c r="N39" s="32">
        <f t="shared" si="9"/>
        <v>625</v>
      </c>
      <c r="O39" s="32">
        <f t="shared" si="9"/>
        <v>200</v>
      </c>
      <c r="P39" s="32">
        <f t="shared" si="9"/>
        <v>5</v>
      </c>
      <c r="Q39" s="32">
        <f t="shared" si="9"/>
        <v>28.3</v>
      </c>
      <c r="R39" s="32">
        <f t="shared" si="9"/>
        <v>63528.999999999985</v>
      </c>
      <c r="S39" s="32">
        <f t="shared" si="9"/>
        <v>78648</v>
      </c>
      <c r="T39" s="32">
        <f>SUM(T7:T38)</f>
        <v>47177.7</v>
      </c>
      <c r="U39" s="32">
        <f>SUM(U7:U38)</f>
        <v>31470.300000000003</v>
      </c>
      <c r="V39" s="32">
        <f>SUM(V7:V38)</f>
        <v>14698.1</v>
      </c>
      <c r="W39" s="32"/>
      <c r="X39" s="45">
        <f>SUM(X7:X37)</f>
        <v>93346.099999999991</v>
      </c>
      <c r="Y39" s="45">
        <f>SUM(Y7:Y37)</f>
        <v>0</v>
      </c>
      <c r="Z39" s="45">
        <f>SUM(Z7:Z37)</f>
        <v>47062.5</v>
      </c>
      <c r="AA39" s="45">
        <f>SUM(AA7:AA38)</f>
        <v>93158.3</v>
      </c>
      <c r="AB39" s="45">
        <f t="shared" ref="AB39:AD39" si="10">SUM(AB7:AB38)</f>
        <v>1221.2</v>
      </c>
      <c r="AC39" s="45">
        <f t="shared" si="10"/>
        <v>7931.4</v>
      </c>
      <c r="AD39" s="45">
        <f t="shared" si="10"/>
        <v>1739.8999999999999</v>
      </c>
      <c r="AE39" s="28">
        <f>SUM(AE8:AE37)</f>
        <v>30000</v>
      </c>
      <c r="AF39" s="46"/>
      <c r="AG39" s="47">
        <f>SUM(AG7:AG37)</f>
        <v>5266</v>
      </c>
    </row>
  </sheetData>
  <mergeCells count="14">
    <mergeCell ref="T5:T6"/>
    <mergeCell ref="U5:U6"/>
    <mergeCell ref="W5:W6"/>
    <mergeCell ref="AF5:AF6"/>
    <mergeCell ref="A1:W1"/>
    <mergeCell ref="A3:W3"/>
    <mergeCell ref="B4:C4"/>
    <mergeCell ref="A5:A6"/>
    <mergeCell ref="B5:C5"/>
    <mergeCell ref="D5:D6"/>
    <mergeCell ref="E5:F5"/>
    <mergeCell ref="R5:R6"/>
    <mergeCell ref="S5:S6"/>
    <mergeCell ref="G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15F-D2D7-4C12-B42A-ACACB3CBAB29}">
  <dimension ref="A1:Z36"/>
  <sheetViews>
    <sheetView topLeftCell="A7" workbookViewId="0">
      <selection activeCell="X30" sqref="X30:X32"/>
    </sheetView>
  </sheetViews>
  <sheetFormatPr baseColWidth="10" defaultRowHeight="15" x14ac:dyDescent="0.25"/>
  <cols>
    <col min="1" max="1" width="9.85546875" customWidth="1"/>
    <col min="2" max="2" width="10.5703125" customWidth="1"/>
    <col min="3" max="3" width="9.7109375" customWidth="1"/>
    <col min="4" max="4" width="10.140625" customWidth="1"/>
    <col min="5" max="5" width="10" customWidth="1"/>
    <col min="6" max="7" width="10.140625" customWidth="1"/>
    <col min="8" max="8" width="10.5703125" customWidth="1"/>
    <col min="9" max="9" width="8.85546875" customWidth="1"/>
    <col min="10" max="10" width="10.7109375" customWidth="1"/>
    <col min="11" max="11" width="10.28515625" customWidth="1"/>
    <col min="12" max="12" width="10.42578125" customWidth="1"/>
    <col min="14" max="14" width="10" customWidth="1"/>
  </cols>
  <sheetData>
    <row r="1" spans="1:26" ht="15.75" thickBot="1" x14ac:dyDescent="0.3">
      <c r="B1" s="61" t="s">
        <v>2</v>
      </c>
      <c r="C1" s="61"/>
      <c r="D1" s="4"/>
      <c r="E1" s="5"/>
      <c r="F1" s="6" t="s">
        <v>3</v>
      </c>
      <c r="G1" s="6"/>
      <c r="H1" s="5"/>
      <c r="I1" s="5"/>
      <c r="J1" s="4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6" ht="15.75" thickBot="1" x14ac:dyDescent="0.3">
      <c r="A2" s="62" t="s">
        <v>4</v>
      </c>
      <c r="B2" s="64" t="s">
        <v>5</v>
      </c>
      <c r="C2" s="65"/>
      <c r="D2" s="66" t="s">
        <v>6</v>
      </c>
      <c r="E2" s="68" t="s">
        <v>7</v>
      </c>
      <c r="F2" s="69"/>
      <c r="G2" s="69"/>
      <c r="H2" s="7"/>
      <c r="I2" s="7"/>
      <c r="J2" s="70" t="s">
        <v>8</v>
      </c>
      <c r="K2" s="52" t="s">
        <v>9</v>
      </c>
      <c r="L2" s="50" t="s">
        <v>10</v>
      </c>
      <c r="M2" s="52" t="s">
        <v>11</v>
      </c>
      <c r="N2" s="8"/>
      <c r="O2" s="54" t="s">
        <v>12</v>
      </c>
      <c r="P2" s="9"/>
      <c r="Q2" s="9"/>
      <c r="R2" s="9"/>
      <c r="S2" s="10"/>
      <c r="T2" s="10"/>
      <c r="U2" s="10"/>
      <c r="V2" s="10"/>
      <c r="W2" s="10"/>
      <c r="X2" s="54" t="s">
        <v>13</v>
      </c>
    </row>
    <row r="3" spans="1:26" ht="39" thickBot="1" x14ac:dyDescent="0.3">
      <c r="A3" s="63"/>
      <c r="B3" s="11" t="s">
        <v>14</v>
      </c>
      <c r="C3" s="17" t="s">
        <v>15</v>
      </c>
      <c r="D3" s="67"/>
      <c r="E3" s="13" t="s">
        <v>14</v>
      </c>
      <c r="F3" s="14" t="s">
        <v>15</v>
      </c>
      <c r="G3" s="16" t="s">
        <v>16</v>
      </c>
      <c r="H3" s="16" t="s">
        <v>17</v>
      </c>
      <c r="I3" s="16" t="s">
        <v>18</v>
      </c>
      <c r="J3" s="71"/>
      <c r="K3" s="53"/>
      <c r="L3" s="51"/>
      <c r="M3" s="53"/>
      <c r="N3" s="18" t="s">
        <v>20</v>
      </c>
      <c r="O3" s="55"/>
      <c r="P3" s="22" t="s">
        <v>21</v>
      </c>
      <c r="Q3" s="22" t="s">
        <v>22</v>
      </c>
      <c r="R3" s="22" t="s">
        <v>23</v>
      </c>
      <c r="S3" s="20" t="s">
        <v>24</v>
      </c>
      <c r="T3" s="20" t="s">
        <v>25</v>
      </c>
      <c r="U3" s="20" t="s">
        <v>26</v>
      </c>
      <c r="V3" s="21" t="s">
        <v>27</v>
      </c>
      <c r="W3" s="21" t="s">
        <v>28</v>
      </c>
      <c r="X3" s="56"/>
      <c r="Y3" t="s">
        <v>29</v>
      </c>
      <c r="Z3" s="23" t="s">
        <v>30</v>
      </c>
    </row>
    <row r="4" spans="1:26" x14ac:dyDescent="0.25">
      <c r="A4" s="24"/>
      <c r="B4" s="25"/>
      <c r="C4" s="25"/>
      <c r="D4" s="26"/>
      <c r="E4" s="25"/>
      <c r="F4" s="25"/>
      <c r="G4" s="5"/>
      <c r="H4" s="25"/>
      <c r="I4" s="25"/>
      <c r="J4" s="26"/>
      <c r="K4" s="25"/>
      <c r="L4" s="25"/>
      <c r="M4" s="25"/>
      <c r="N4" s="25"/>
      <c r="O4" s="27">
        <v>21744.800000000003</v>
      </c>
      <c r="P4" s="27"/>
      <c r="Q4" s="27"/>
      <c r="R4" s="27"/>
      <c r="S4" s="28">
        <v>44358.3</v>
      </c>
      <c r="T4" s="28">
        <v>1221.2</v>
      </c>
      <c r="U4" s="28">
        <v>7931.4</v>
      </c>
      <c r="V4" s="28">
        <v>1440.1</v>
      </c>
      <c r="W4" s="28"/>
      <c r="X4" s="29">
        <v>76685.7</v>
      </c>
      <c r="Y4" s="30">
        <v>5266</v>
      </c>
    </row>
    <row r="5" spans="1:26" x14ac:dyDescent="0.25">
      <c r="A5" s="31">
        <v>46054</v>
      </c>
      <c r="B5" s="32"/>
      <c r="C5" s="33"/>
      <c r="D5" s="32">
        <f>SUM(B5+C5)</f>
        <v>0</v>
      </c>
      <c r="F5" s="33"/>
      <c r="G5" s="34">
        <v>444</v>
      </c>
      <c r="H5" s="33"/>
      <c r="I5" s="33"/>
      <c r="J5" s="32">
        <f t="shared" ref="J5:J35" si="0">SUM(E5:I5)</f>
        <v>444</v>
      </c>
      <c r="K5" s="33">
        <f t="shared" ref="K5:K35" si="1">SUM(D5+J5)</f>
        <v>444</v>
      </c>
      <c r="L5" s="33"/>
      <c r="M5" s="33">
        <f t="shared" ref="M5:M35" si="2">SUM(K5-L5)</f>
        <v>444</v>
      </c>
      <c r="N5" s="33"/>
      <c r="O5" s="27">
        <f t="shared" ref="O5:O30" si="3">SUM(O4+M5-S5)</f>
        <v>22188.800000000003</v>
      </c>
      <c r="P5" s="35">
        <f>SUM(K5+N5)</f>
        <v>444</v>
      </c>
      <c r="Q5" s="33"/>
      <c r="R5" s="35">
        <f>SUM(L5+Q5)</f>
        <v>0</v>
      </c>
      <c r="S5" s="33"/>
      <c r="T5" s="33"/>
      <c r="U5" s="33"/>
      <c r="V5" s="33"/>
      <c r="W5" s="28"/>
      <c r="X5" s="36">
        <f>SUM(X4+M5)</f>
        <v>77129.7</v>
      </c>
    </row>
    <row r="6" spans="1:26" x14ac:dyDescent="0.25">
      <c r="A6" s="31">
        <v>46055</v>
      </c>
      <c r="B6" s="33"/>
      <c r="C6" s="33"/>
      <c r="D6" s="32">
        <f>SUM(B6+C6)</f>
        <v>0</v>
      </c>
      <c r="E6" s="33">
        <v>187.5</v>
      </c>
      <c r="F6" s="37">
        <v>3940.5</v>
      </c>
      <c r="G6" s="33">
        <v>450</v>
      </c>
      <c r="H6" s="33"/>
      <c r="I6" s="33">
        <v>48</v>
      </c>
      <c r="J6" s="32">
        <f t="shared" si="0"/>
        <v>4626</v>
      </c>
      <c r="K6" s="33">
        <f t="shared" si="1"/>
        <v>4626</v>
      </c>
      <c r="L6" s="33">
        <v>13074.9</v>
      </c>
      <c r="M6" s="33">
        <f t="shared" si="2"/>
        <v>-8448.9</v>
      </c>
      <c r="N6" s="33">
        <v>1197.5999999999999</v>
      </c>
      <c r="O6" s="27">
        <f t="shared" si="3"/>
        <v>3739.9000000000033</v>
      </c>
      <c r="P6" s="35">
        <f t="shared" ref="P6:P35" si="4">SUM(K6+N6)</f>
        <v>5823.6</v>
      </c>
      <c r="Q6" s="33"/>
      <c r="R6" s="35">
        <f t="shared" ref="R6:R35" si="5">SUM(L6+Q6)</f>
        <v>13074.9</v>
      </c>
      <c r="S6" s="33">
        <v>10000</v>
      </c>
      <c r="T6" s="33"/>
      <c r="U6" s="33"/>
      <c r="V6" s="33"/>
      <c r="W6" s="28"/>
      <c r="X6" s="36">
        <f t="shared" ref="X6:X32" si="6">SUM(X5+M6)</f>
        <v>68680.800000000003</v>
      </c>
    </row>
    <row r="7" spans="1:26" x14ac:dyDescent="0.25">
      <c r="A7" s="31">
        <v>46056</v>
      </c>
      <c r="B7" s="33"/>
      <c r="C7" s="33"/>
      <c r="D7" s="32">
        <f t="shared" ref="D7:D34" si="7">SUM(B7+C7)</f>
        <v>0</v>
      </c>
      <c r="E7" s="33">
        <v>786.5</v>
      </c>
      <c r="F7" s="37">
        <v>755</v>
      </c>
      <c r="G7" s="33">
        <v>465.5</v>
      </c>
      <c r="H7" s="28"/>
      <c r="I7" s="28">
        <v>10</v>
      </c>
      <c r="J7" s="32">
        <f t="shared" si="0"/>
        <v>2017</v>
      </c>
      <c r="K7" s="28">
        <f t="shared" si="1"/>
        <v>2017</v>
      </c>
      <c r="L7" s="38">
        <v>696</v>
      </c>
      <c r="M7" s="33">
        <f t="shared" si="2"/>
        <v>1321</v>
      </c>
      <c r="N7" s="33">
        <v>668</v>
      </c>
      <c r="O7" s="27">
        <f t="shared" si="3"/>
        <v>1060.9000000000033</v>
      </c>
      <c r="P7" s="35">
        <f t="shared" si="4"/>
        <v>2685</v>
      </c>
      <c r="Q7" s="33"/>
      <c r="R7" s="35">
        <f t="shared" si="5"/>
        <v>696</v>
      </c>
      <c r="S7" s="33">
        <v>4000</v>
      </c>
      <c r="T7" s="33"/>
      <c r="U7" s="33"/>
      <c r="V7" s="33"/>
      <c r="W7" s="28"/>
      <c r="X7" s="36">
        <f t="shared" si="6"/>
        <v>70001.8</v>
      </c>
    </row>
    <row r="8" spans="1:26" x14ac:dyDescent="0.25">
      <c r="A8" s="31">
        <v>46057</v>
      </c>
      <c r="B8" s="33"/>
      <c r="C8" s="33"/>
      <c r="D8" s="32">
        <f t="shared" si="7"/>
        <v>0</v>
      </c>
      <c r="E8" s="33">
        <v>1804.2</v>
      </c>
      <c r="F8" s="33">
        <v>1847.1</v>
      </c>
      <c r="G8" s="33">
        <v>474</v>
      </c>
      <c r="H8" s="33"/>
      <c r="I8" s="33">
        <v>10</v>
      </c>
      <c r="J8" s="32">
        <f t="shared" si="0"/>
        <v>4135.3</v>
      </c>
      <c r="K8" s="33">
        <f t="shared" si="1"/>
        <v>4135.3</v>
      </c>
      <c r="L8" s="33">
        <v>1395</v>
      </c>
      <c r="M8" s="33">
        <f t="shared" si="2"/>
        <v>2740.3</v>
      </c>
      <c r="N8" s="33"/>
      <c r="O8" s="27">
        <f t="shared" si="3"/>
        <v>3801.2000000000035</v>
      </c>
      <c r="P8" s="35">
        <f t="shared" si="4"/>
        <v>4135.3</v>
      </c>
      <c r="Q8" s="33"/>
      <c r="R8" s="35">
        <f t="shared" si="5"/>
        <v>1395</v>
      </c>
      <c r="S8" s="33"/>
      <c r="T8" s="33"/>
      <c r="U8" s="33"/>
      <c r="V8" s="33"/>
      <c r="W8" s="28"/>
      <c r="X8" s="36">
        <f t="shared" si="6"/>
        <v>72742.100000000006</v>
      </c>
    </row>
    <row r="9" spans="1:26" x14ac:dyDescent="0.25">
      <c r="A9" s="31">
        <v>46058</v>
      </c>
      <c r="B9" s="33"/>
      <c r="C9" s="33"/>
      <c r="D9" s="32">
        <f t="shared" si="7"/>
        <v>0</v>
      </c>
      <c r="E9" s="33">
        <v>700.8</v>
      </c>
      <c r="F9" s="33">
        <v>1166</v>
      </c>
      <c r="G9" s="33">
        <v>472</v>
      </c>
      <c r="H9" s="28">
        <v>110.6</v>
      </c>
      <c r="I9" s="28">
        <v>10</v>
      </c>
      <c r="J9" s="32">
        <f t="shared" si="0"/>
        <v>2459.4</v>
      </c>
      <c r="K9" s="33">
        <f t="shared" si="1"/>
        <v>2459.4</v>
      </c>
      <c r="L9" s="33">
        <v>518.5</v>
      </c>
      <c r="M9" s="33">
        <f t="shared" si="2"/>
        <v>1940.9</v>
      </c>
      <c r="N9" s="33">
        <v>36.1</v>
      </c>
      <c r="O9" s="27">
        <f t="shared" si="3"/>
        <v>5742.100000000004</v>
      </c>
      <c r="P9" s="35">
        <f t="shared" si="4"/>
        <v>2495.5</v>
      </c>
      <c r="Q9" s="33"/>
      <c r="R9" s="35">
        <f t="shared" si="5"/>
        <v>518.5</v>
      </c>
      <c r="S9" s="28"/>
      <c r="T9" s="28"/>
      <c r="U9" s="28"/>
      <c r="V9" s="28"/>
      <c r="W9" s="28"/>
      <c r="X9" s="36">
        <f t="shared" si="6"/>
        <v>74683</v>
      </c>
    </row>
    <row r="10" spans="1:26" x14ac:dyDescent="0.25">
      <c r="A10" s="31">
        <v>46059</v>
      </c>
      <c r="B10" s="33">
        <v>1100</v>
      </c>
      <c r="C10" s="33">
        <v>2040</v>
      </c>
      <c r="D10" s="32">
        <f t="shared" si="7"/>
        <v>3140</v>
      </c>
      <c r="E10" s="33">
        <v>1294.2</v>
      </c>
      <c r="F10" s="33">
        <v>1940.5</v>
      </c>
      <c r="G10" s="33">
        <v>488.5</v>
      </c>
      <c r="H10" s="33"/>
      <c r="I10" s="33">
        <v>10</v>
      </c>
      <c r="J10" s="32">
        <f t="shared" si="0"/>
        <v>3733.2</v>
      </c>
      <c r="K10" s="33">
        <f t="shared" si="1"/>
        <v>6873.2</v>
      </c>
      <c r="L10" s="33">
        <v>430</v>
      </c>
      <c r="M10" s="33">
        <f t="shared" si="2"/>
        <v>6443.2</v>
      </c>
      <c r="N10" s="33">
        <v>84.6</v>
      </c>
      <c r="O10" s="27">
        <f t="shared" si="3"/>
        <v>12185.300000000003</v>
      </c>
      <c r="P10" s="35">
        <f t="shared" si="4"/>
        <v>6957.8</v>
      </c>
      <c r="Q10" s="33"/>
      <c r="R10" s="35">
        <f t="shared" si="5"/>
        <v>430</v>
      </c>
      <c r="S10" s="33"/>
      <c r="T10" s="33"/>
      <c r="U10" s="33"/>
      <c r="V10" s="33"/>
      <c r="W10" s="28"/>
      <c r="X10" s="36">
        <f t="shared" si="6"/>
        <v>81126.2</v>
      </c>
    </row>
    <row r="11" spans="1:26" x14ac:dyDescent="0.25">
      <c r="A11" s="31">
        <v>46060</v>
      </c>
      <c r="B11" s="33"/>
      <c r="C11" s="33"/>
      <c r="D11" s="32">
        <f t="shared" si="7"/>
        <v>0</v>
      </c>
      <c r="E11" s="33">
        <v>130</v>
      </c>
      <c r="F11" s="33">
        <v>990</v>
      </c>
      <c r="G11" s="33">
        <v>505.5</v>
      </c>
      <c r="H11" s="33"/>
      <c r="I11" s="33">
        <v>16</v>
      </c>
      <c r="J11" s="32">
        <f t="shared" si="0"/>
        <v>1641.5</v>
      </c>
      <c r="K11" s="33">
        <f t="shared" si="1"/>
        <v>1641.5</v>
      </c>
      <c r="L11" s="33">
        <v>166</v>
      </c>
      <c r="M11" s="33">
        <f t="shared" si="2"/>
        <v>1475.5</v>
      </c>
      <c r="N11" s="33">
        <v>30</v>
      </c>
      <c r="O11" s="27">
        <f t="shared" si="3"/>
        <v>13660.800000000003</v>
      </c>
      <c r="P11" s="35">
        <f t="shared" si="4"/>
        <v>1671.5</v>
      </c>
      <c r="Q11" s="33"/>
      <c r="R11" s="35">
        <f t="shared" si="5"/>
        <v>166</v>
      </c>
      <c r="S11" s="33"/>
      <c r="T11" s="33"/>
      <c r="U11" s="33"/>
      <c r="V11" s="33"/>
      <c r="W11" s="28"/>
      <c r="X11" s="36">
        <f t="shared" si="6"/>
        <v>82601.7</v>
      </c>
    </row>
    <row r="12" spans="1:26" x14ac:dyDescent="0.25">
      <c r="A12" s="31">
        <v>46061</v>
      </c>
      <c r="B12" s="33"/>
      <c r="C12" s="33"/>
      <c r="D12" s="32">
        <f t="shared" si="7"/>
        <v>0</v>
      </c>
      <c r="E12" s="33"/>
      <c r="F12" s="33"/>
      <c r="G12" s="33">
        <v>460</v>
      </c>
      <c r="H12" s="33"/>
      <c r="I12" s="33">
        <v>20</v>
      </c>
      <c r="J12" s="32">
        <f t="shared" si="0"/>
        <v>480</v>
      </c>
      <c r="K12" s="33">
        <f t="shared" si="1"/>
        <v>480</v>
      </c>
      <c r="L12" s="33"/>
      <c r="M12" s="33">
        <f t="shared" si="2"/>
        <v>480</v>
      </c>
      <c r="N12" s="33"/>
      <c r="O12" s="27">
        <f t="shared" si="3"/>
        <v>14140.800000000003</v>
      </c>
      <c r="P12" s="35">
        <f t="shared" si="4"/>
        <v>480</v>
      </c>
      <c r="Q12" s="33"/>
      <c r="R12" s="35">
        <f t="shared" si="5"/>
        <v>0</v>
      </c>
      <c r="S12" s="33"/>
      <c r="T12" s="33"/>
      <c r="U12" s="33"/>
      <c r="V12" s="33"/>
      <c r="W12" s="28"/>
      <c r="X12" s="36">
        <f t="shared" si="6"/>
        <v>83081.7</v>
      </c>
    </row>
    <row r="13" spans="1:26" x14ac:dyDescent="0.25">
      <c r="A13" s="31">
        <v>46062</v>
      </c>
      <c r="B13" s="33"/>
      <c r="C13" s="33"/>
      <c r="D13" s="32">
        <f t="shared" si="7"/>
        <v>0</v>
      </c>
      <c r="E13" s="33">
        <v>692.4</v>
      </c>
      <c r="F13" s="33">
        <v>210</v>
      </c>
      <c r="G13" s="33">
        <v>323</v>
      </c>
      <c r="H13" s="33"/>
      <c r="I13" s="33">
        <v>10</v>
      </c>
      <c r="J13" s="32">
        <f t="shared" si="0"/>
        <v>1235.4000000000001</v>
      </c>
      <c r="K13" s="33">
        <f t="shared" si="1"/>
        <v>1235.4000000000001</v>
      </c>
      <c r="L13" s="33">
        <v>3181.5</v>
      </c>
      <c r="M13" s="33">
        <f t="shared" si="2"/>
        <v>-1946.1</v>
      </c>
      <c r="N13" s="33">
        <v>60</v>
      </c>
      <c r="O13" s="27">
        <f t="shared" si="3"/>
        <v>5194.7000000000025</v>
      </c>
      <c r="P13" s="35">
        <f t="shared" si="4"/>
        <v>1295.4000000000001</v>
      </c>
      <c r="Q13" s="33"/>
      <c r="R13" s="35">
        <f t="shared" si="5"/>
        <v>3181.5</v>
      </c>
      <c r="S13" s="33">
        <v>7000</v>
      </c>
      <c r="T13" s="33"/>
      <c r="U13" s="33"/>
      <c r="V13" s="33"/>
      <c r="W13" s="28"/>
      <c r="X13" s="36">
        <f t="shared" si="6"/>
        <v>81135.599999999991</v>
      </c>
    </row>
    <row r="14" spans="1:26" x14ac:dyDescent="0.25">
      <c r="A14" s="31">
        <v>46063</v>
      </c>
      <c r="B14" s="33"/>
      <c r="C14" s="33"/>
      <c r="D14" s="32">
        <f t="shared" si="7"/>
        <v>0</v>
      </c>
      <c r="E14" s="33">
        <v>427.8</v>
      </c>
      <c r="F14" s="33">
        <v>2259.5</v>
      </c>
      <c r="G14" s="33">
        <v>531.5</v>
      </c>
      <c r="H14" s="33"/>
      <c r="I14" s="33">
        <v>10</v>
      </c>
      <c r="J14" s="32">
        <f t="shared" si="0"/>
        <v>3228.8</v>
      </c>
      <c r="K14" s="33">
        <f t="shared" si="1"/>
        <v>3228.8</v>
      </c>
      <c r="L14" s="33">
        <v>1182.5999999999999</v>
      </c>
      <c r="M14" s="33">
        <f t="shared" si="2"/>
        <v>2046.2000000000003</v>
      </c>
      <c r="N14" s="33">
        <v>1467.2</v>
      </c>
      <c r="O14" s="27">
        <f t="shared" si="3"/>
        <v>7240.9000000000033</v>
      </c>
      <c r="P14" s="35">
        <f t="shared" si="4"/>
        <v>4696</v>
      </c>
      <c r="Q14" s="33"/>
      <c r="R14" s="35">
        <f t="shared" si="5"/>
        <v>1182.5999999999999</v>
      </c>
      <c r="S14" s="33"/>
      <c r="T14" s="33"/>
      <c r="U14" s="33"/>
      <c r="V14" s="33"/>
      <c r="W14" s="28"/>
      <c r="X14" s="36">
        <f t="shared" si="6"/>
        <v>83181.799999999988</v>
      </c>
    </row>
    <row r="15" spans="1:26" x14ac:dyDescent="0.25">
      <c r="A15" s="31">
        <v>46064</v>
      </c>
      <c r="B15" s="33"/>
      <c r="C15" s="33"/>
      <c r="D15" s="32">
        <f t="shared" si="7"/>
        <v>0</v>
      </c>
      <c r="E15" s="33">
        <v>1993.4</v>
      </c>
      <c r="F15" s="33">
        <v>767</v>
      </c>
      <c r="G15" s="33">
        <v>477</v>
      </c>
      <c r="H15" s="33"/>
      <c r="I15" s="33"/>
      <c r="J15" s="32">
        <f t="shared" si="0"/>
        <v>3237.4</v>
      </c>
      <c r="K15" s="33">
        <f t="shared" si="1"/>
        <v>3237.4</v>
      </c>
      <c r="L15" s="33">
        <v>14</v>
      </c>
      <c r="M15" s="33">
        <f t="shared" si="2"/>
        <v>3223.4</v>
      </c>
      <c r="N15" s="33">
        <v>1718.4</v>
      </c>
      <c r="O15" s="27">
        <f t="shared" si="3"/>
        <v>7264.3000000000029</v>
      </c>
      <c r="P15" s="35">
        <f t="shared" si="4"/>
        <v>4955.8</v>
      </c>
      <c r="Q15" s="33"/>
      <c r="R15" s="35">
        <f t="shared" si="5"/>
        <v>14</v>
      </c>
      <c r="S15" s="33">
        <v>3200</v>
      </c>
      <c r="T15" s="33"/>
      <c r="U15" s="33"/>
      <c r="V15" s="33"/>
      <c r="W15" s="28"/>
      <c r="X15" s="36">
        <f t="shared" si="6"/>
        <v>86405.199999999983</v>
      </c>
    </row>
    <row r="16" spans="1:26" x14ac:dyDescent="0.25">
      <c r="A16" s="31">
        <v>46065</v>
      </c>
      <c r="B16" s="33"/>
      <c r="C16" s="33"/>
      <c r="D16" s="32">
        <f t="shared" si="7"/>
        <v>0</v>
      </c>
      <c r="E16" s="33">
        <v>43.6</v>
      </c>
      <c r="F16" s="33">
        <v>1716.5</v>
      </c>
      <c r="G16" s="33">
        <v>455</v>
      </c>
      <c r="H16" s="33"/>
      <c r="I16" s="33">
        <v>10</v>
      </c>
      <c r="J16" s="32">
        <f t="shared" si="0"/>
        <v>2225.1</v>
      </c>
      <c r="K16" s="33">
        <f t="shared" si="1"/>
        <v>2225.1</v>
      </c>
      <c r="L16" s="33">
        <v>1514.5</v>
      </c>
      <c r="M16" s="33">
        <f t="shared" si="2"/>
        <v>710.59999999999991</v>
      </c>
      <c r="N16" s="33">
        <v>90</v>
      </c>
      <c r="O16" s="27">
        <f t="shared" si="3"/>
        <v>7974.9000000000033</v>
      </c>
      <c r="P16" s="35">
        <f t="shared" si="4"/>
        <v>2315.1</v>
      </c>
      <c r="Q16" s="33"/>
      <c r="R16" s="35">
        <f t="shared" si="5"/>
        <v>1514.5</v>
      </c>
      <c r="S16" s="33"/>
      <c r="T16" s="39"/>
      <c r="U16" s="39"/>
      <c r="V16" s="33">
        <v>90.6</v>
      </c>
      <c r="W16" s="28"/>
      <c r="X16" s="36">
        <f>SUM(X15+M16-W16)</f>
        <v>87115.799999999988</v>
      </c>
      <c r="Y16" s="40"/>
      <c r="Z16" s="39"/>
    </row>
    <row r="17" spans="1:26" x14ac:dyDescent="0.25">
      <c r="A17" s="31">
        <v>46066</v>
      </c>
      <c r="B17" s="33">
        <v>1428</v>
      </c>
      <c r="C17" s="33">
        <v>2385</v>
      </c>
      <c r="D17" s="32">
        <f t="shared" si="7"/>
        <v>3813</v>
      </c>
      <c r="E17" s="33">
        <v>1114</v>
      </c>
      <c r="F17" s="33">
        <v>138</v>
      </c>
      <c r="G17" s="33">
        <v>447.5</v>
      </c>
      <c r="H17" s="33"/>
      <c r="I17" s="33">
        <v>10</v>
      </c>
      <c r="J17" s="32">
        <f t="shared" si="0"/>
        <v>1709.5</v>
      </c>
      <c r="K17" s="33">
        <f t="shared" si="1"/>
        <v>5522.5</v>
      </c>
      <c r="L17" s="33">
        <v>78</v>
      </c>
      <c r="M17" s="33">
        <f t="shared" si="2"/>
        <v>5444.5</v>
      </c>
      <c r="N17" s="33"/>
      <c r="O17" s="27">
        <f t="shared" si="3"/>
        <v>13419.400000000003</v>
      </c>
      <c r="P17" s="35">
        <f t="shared" si="4"/>
        <v>5522.5</v>
      </c>
      <c r="Q17" s="33"/>
      <c r="R17" s="35">
        <f t="shared" si="5"/>
        <v>78</v>
      </c>
      <c r="S17" s="33"/>
      <c r="T17" s="33"/>
      <c r="U17" s="33"/>
      <c r="V17" s="33"/>
      <c r="W17" s="28">
        <v>30000</v>
      </c>
      <c r="X17" s="36">
        <f>SUM(X16+M17-W17)</f>
        <v>62560.299999999988</v>
      </c>
    </row>
    <row r="18" spans="1:26" x14ac:dyDescent="0.25">
      <c r="A18" s="31">
        <v>46067</v>
      </c>
      <c r="B18" s="33"/>
      <c r="C18" s="33"/>
      <c r="D18" s="32">
        <f t="shared" si="7"/>
        <v>0</v>
      </c>
      <c r="E18" s="33"/>
      <c r="F18" s="33">
        <v>393</v>
      </c>
      <c r="G18" s="33">
        <v>724.5</v>
      </c>
      <c r="H18" s="33"/>
      <c r="I18" s="33">
        <v>25</v>
      </c>
      <c r="J18" s="32">
        <f t="shared" si="0"/>
        <v>1142.5</v>
      </c>
      <c r="K18" s="33">
        <f t="shared" si="1"/>
        <v>1142.5</v>
      </c>
      <c r="L18" s="33">
        <v>5000</v>
      </c>
      <c r="M18" s="33">
        <f t="shared" si="2"/>
        <v>-3857.5</v>
      </c>
      <c r="N18" s="33"/>
      <c r="O18" s="27">
        <f t="shared" si="3"/>
        <v>9561.9000000000033</v>
      </c>
      <c r="P18" s="35">
        <f t="shared" si="4"/>
        <v>1142.5</v>
      </c>
      <c r="Q18" s="33"/>
      <c r="R18" s="35">
        <f t="shared" si="5"/>
        <v>5000</v>
      </c>
      <c r="S18" s="33"/>
      <c r="T18" s="33"/>
      <c r="U18" s="33"/>
      <c r="V18" s="33"/>
      <c r="W18" s="28"/>
      <c r="X18" s="36">
        <f t="shared" ref="X18:X29" si="8">SUM(X17+M18-W18)</f>
        <v>58702.799999999988</v>
      </c>
      <c r="Z18" s="41"/>
    </row>
    <row r="19" spans="1:26" x14ac:dyDescent="0.25">
      <c r="A19" s="31">
        <v>46068</v>
      </c>
      <c r="B19" s="33"/>
      <c r="C19" s="33"/>
      <c r="D19" s="32">
        <f t="shared" si="7"/>
        <v>0</v>
      </c>
      <c r="E19" s="33"/>
      <c r="F19" s="33"/>
      <c r="G19" s="33">
        <v>216</v>
      </c>
      <c r="H19" s="33"/>
      <c r="I19" s="33"/>
      <c r="J19" s="32">
        <f t="shared" si="0"/>
        <v>216</v>
      </c>
      <c r="K19" s="33">
        <f t="shared" si="1"/>
        <v>216</v>
      </c>
      <c r="L19" s="33"/>
      <c r="M19" s="33">
        <f t="shared" si="2"/>
        <v>216</v>
      </c>
      <c r="N19" s="28"/>
      <c r="O19" s="27">
        <f t="shared" si="3"/>
        <v>9777.9000000000033</v>
      </c>
      <c r="P19" s="35">
        <f t="shared" si="4"/>
        <v>216</v>
      </c>
      <c r="Q19" s="33"/>
      <c r="R19" s="35">
        <f t="shared" si="5"/>
        <v>0</v>
      </c>
      <c r="S19" s="33"/>
      <c r="T19" s="33"/>
      <c r="U19" s="33"/>
      <c r="V19" s="33"/>
      <c r="W19" s="28"/>
      <c r="X19" s="36">
        <f t="shared" si="8"/>
        <v>58918.799999999988</v>
      </c>
    </row>
    <row r="20" spans="1:26" x14ac:dyDescent="0.25">
      <c r="A20" s="31">
        <v>46069</v>
      </c>
      <c r="B20" s="33"/>
      <c r="C20" s="33"/>
      <c r="D20" s="32">
        <f t="shared" si="7"/>
        <v>0</v>
      </c>
      <c r="E20" s="33">
        <v>758.4</v>
      </c>
      <c r="F20" s="33">
        <v>189.8</v>
      </c>
      <c r="G20" s="33">
        <v>323</v>
      </c>
      <c r="H20" s="33"/>
      <c r="I20" s="33"/>
      <c r="J20" s="32">
        <f t="shared" si="0"/>
        <v>1271.2</v>
      </c>
      <c r="K20" s="33">
        <f t="shared" si="1"/>
        <v>1271.2</v>
      </c>
      <c r="L20" s="33">
        <v>80</v>
      </c>
      <c r="M20" s="33">
        <f t="shared" si="2"/>
        <v>1191.2</v>
      </c>
      <c r="N20" s="28">
        <v>510</v>
      </c>
      <c r="O20" s="27">
        <f t="shared" si="3"/>
        <v>6969.100000000004</v>
      </c>
      <c r="P20" s="35">
        <f t="shared" si="4"/>
        <v>1781.2</v>
      </c>
      <c r="Q20" s="33"/>
      <c r="R20" s="35">
        <f t="shared" si="5"/>
        <v>80</v>
      </c>
      <c r="S20" s="33">
        <v>4000</v>
      </c>
      <c r="T20" s="33"/>
      <c r="U20" s="33"/>
      <c r="V20" s="33"/>
      <c r="W20" s="28"/>
      <c r="X20" s="36">
        <f t="shared" si="8"/>
        <v>60109.999999999985</v>
      </c>
    </row>
    <row r="21" spans="1:26" x14ac:dyDescent="0.25">
      <c r="A21" s="31">
        <v>46070</v>
      </c>
      <c r="B21" s="33"/>
      <c r="C21" s="33"/>
      <c r="D21" s="32">
        <f t="shared" si="7"/>
        <v>0</v>
      </c>
      <c r="E21" s="33">
        <v>861.2</v>
      </c>
      <c r="F21" s="33">
        <v>1300</v>
      </c>
      <c r="G21" s="33">
        <v>437.5</v>
      </c>
      <c r="H21" s="33"/>
      <c r="I21" s="33">
        <v>30</v>
      </c>
      <c r="J21" s="32">
        <f t="shared" si="0"/>
        <v>2628.7</v>
      </c>
      <c r="K21" s="33">
        <f t="shared" si="1"/>
        <v>2628.7</v>
      </c>
      <c r="L21" s="33">
        <v>155</v>
      </c>
      <c r="M21" s="33">
        <f t="shared" si="2"/>
        <v>2473.6999999999998</v>
      </c>
      <c r="N21" s="33">
        <v>462.4</v>
      </c>
      <c r="O21" s="27">
        <f t="shared" si="3"/>
        <v>9442.8000000000029</v>
      </c>
      <c r="P21" s="35">
        <f t="shared" si="4"/>
        <v>3091.1</v>
      </c>
      <c r="Q21" s="33"/>
      <c r="R21" s="35">
        <f t="shared" si="5"/>
        <v>155</v>
      </c>
      <c r="S21" s="33"/>
      <c r="T21" s="33"/>
      <c r="U21" s="33"/>
      <c r="V21" s="33"/>
      <c r="W21" s="28"/>
      <c r="X21" s="36">
        <f t="shared" si="8"/>
        <v>62583.699999999983</v>
      </c>
      <c r="Z21" s="41"/>
    </row>
    <row r="22" spans="1:26" x14ac:dyDescent="0.25">
      <c r="A22" s="31">
        <v>46071</v>
      </c>
      <c r="B22" s="33"/>
      <c r="C22" s="33"/>
      <c r="D22" s="32">
        <f t="shared" si="7"/>
        <v>0</v>
      </c>
      <c r="E22" s="33">
        <v>1289.4000000000001</v>
      </c>
      <c r="F22" s="33">
        <v>2093.6</v>
      </c>
      <c r="G22" s="33">
        <v>429.5</v>
      </c>
      <c r="H22" s="33"/>
      <c r="I22" s="33">
        <v>10</v>
      </c>
      <c r="J22" s="32">
        <f t="shared" si="0"/>
        <v>3822.5</v>
      </c>
      <c r="K22" s="33">
        <f t="shared" si="1"/>
        <v>3822.5</v>
      </c>
      <c r="L22" s="33">
        <v>2329.4</v>
      </c>
      <c r="M22" s="33">
        <f t="shared" si="2"/>
        <v>1493.1</v>
      </c>
      <c r="N22" s="28">
        <v>1592.5</v>
      </c>
      <c r="O22" s="27">
        <f t="shared" si="3"/>
        <v>5935.9000000000033</v>
      </c>
      <c r="P22" s="35">
        <f t="shared" si="4"/>
        <v>5415</v>
      </c>
      <c r="Q22" s="33"/>
      <c r="R22" s="35">
        <f t="shared" si="5"/>
        <v>2329.4</v>
      </c>
      <c r="S22" s="33">
        <v>5000</v>
      </c>
      <c r="T22" s="33"/>
      <c r="U22" s="33"/>
      <c r="V22" s="33"/>
      <c r="W22" s="28"/>
      <c r="X22" s="36">
        <f t="shared" si="8"/>
        <v>64076.799999999981</v>
      </c>
    </row>
    <row r="23" spans="1:26" x14ac:dyDescent="0.25">
      <c r="A23" s="31">
        <v>46072</v>
      </c>
      <c r="B23" s="33"/>
      <c r="C23" s="33"/>
      <c r="D23" s="32">
        <f t="shared" si="7"/>
        <v>0</v>
      </c>
      <c r="E23" s="33">
        <v>107.4</v>
      </c>
      <c r="F23" s="33">
        <v>497.3</v>
      </c>
      <c r="G23" s="33">
        <v>463.5</v>
      </c>
      <c r="H23" s="33"/>
      <c r="I23" s="33">
        <v>10</v>
      </c>
      <c r="J23" s="32">
        <f t="shared" si="0"/>
        <v>1078.2</v>
      </c>
      <c r="K23" s="33">
        <f t="shared" si="1"/>
        <v>1078.2</v>
      </c>
      <c r="L23" s="33">
        <v>691</v>
      </c>
      <c r="M23" s="33">
        <f t="shared" si="2"/>
        <v>387.20000000000005</v>
      </c>
      <c r="N23" s="33">
        <v>450</v>
      </c>
      <c r="O23" s="27">
        <f t="shared" si="3"/>
        <v>6323.1000000000031</v>
      </c>
      <c r="P23" s="35">
        <f t="shared" si="4"/>
        <v>1528.2</v>
      </c>
      <c r="Q23" s="33"/>
      <c r="R23" s="35">
        <f t="shared" si="5"/>
        <v>691</v>
      </c>
      <c r="S23" s="33"/>
      <c r="T23" s="33"/>
      <c r="U23" s="33"/>
      <c r="V23" s="33"/>
      <c r="W23" s="28"/>
      <c r="X23" s="36">
        <f t="shared" si="8"/>
        <v>64463.999999999978</v>
      </c>
      <c r="Z23" s="41"/>
    </row>
    <row r="24" spans="1:26" x14ac:dyDescent="0.25">
      <c r="A24" s="31">
        <v>46073</v>
      </c>
      <c r="B24" s="33">
        <v>1472</v>
      </c>
      <c r="C24" s="33">
        <v>1975</v>
      </c>
      <c r="D24" s="32">
        <f t="shared" si="7"/>
        <v>3447</v>
      </c>
      <c r="E24" s="33">
        <v>58.9</v>
      </c>
      <c r="F24" s="33">
        <v>279.2</v>
      </c>
      <c r="G24" s="33">
        <v>408.5</v>
      </c>
      <c r="H24" s="33">
        <v>45.2</v>
      </c>
      <c r="I24" s="33">
        <v>10</v>
      </c>
      <c r="J24" s="32">
        <f t="shared" si="0"/>
        <v>801.8</v>
      </c>
      <c r="K24" s="33">
        <f t="shared" si="1"/>
        <v>4248.8</v>
      </c>
      <c r="L24" s="33">
        <v>1338.2</v>
      </c>
      <c r="M24" s="33">
        <f t="shared" si="2"/>
        <v>2910.6000000000004</v>
      </c>
      <c r="N24" s="33">
        <v>1294.2</v>
      </c>
      <c r="O24" s="27">
        <f t="shared" si="3"/>
        <v>6233.7000000000044</v>
      </c>
      <c r="P24" s="35">
        <f t="shared" si="4"/>
        <v>5543</v>
      </c>
      <c r="Q24" s="33"/>
      <c r="R24" s="35">
        <f t="shared" si="5"/>
        <v>1338.2</v>
      </c>
      <c r="S24" s="33">
        <v>3000</v>
      </c>
      <c r="T24" s="33"/>
      <c r="U24" s="33"/>
      <c r="V24" s="33"/>
      <c r="W24" s="28"/>
      <c r="X24" s="36">
        <f t="shared" si="8"/>
        <v>67374.599999999977</v>
      </c>
    </row>
    <row r="25" spans="1:26" x14ac:dyDescent="0.25">
      <c r="A25" s="31">
        <v>46074</v>
      </c>
      <c r="B25" s="33"/>
      <c r="C25" s="33"/>
      <c r="D25" s="32">
        <f t="shared" si="7"/>
        <v>0</v>
      </c>
      <c r="E25" s="33">
        <v>371.6</v>
      </c>
      <c r="F25" s="33">
        <v>727.1</v>
      </c>
      <c r="G25" s="33">
        <v>728.5</v>
      </c>
      <c r="H25" s="33"/>
      <c r="I25" s="33">
        <v>10</v>
      </c>
      <c r="J25" s="32">
        <f t="shared" si="0"/>
        <v>1837.2</v>
      </c>
      <c r="K25" s="33">
        <f t="shared" si="1"/>
        <v>1837.2</v>
      </c>
      <c r="L25" s="33"/>
      <c r="M25" s="33">
        <f t="shared" si="2"/>
        <v>1837.2</v>
      </c>
      <c r="N25" s="33">
        <v>90.9</v>
      </c>
      <c r="O25" s="27">
        <f t="shared" si="3"/>
        <v>8070.9000000000042</v>
      </c>
      <c r="P25" s="35">
        <f t="shared" si="4"/>
        <v>1928.1000000000001</v>
      </c>
      <c r="Q25" s="33"/>
      <c r="R25" s="35">
        <f t="shared" si="5"/>
        <v>0</v>
      </c>
      <c r="S25" s="33"/>
      <c r="T25" s="33"/>
      <c r="U25" s="33"/>
      <c r="V25" s="33"/>
      <c r="W25" s="28"/>
      <c r="X25" s="36">
        <f t="shared" si="8"/>
        <v>69211.799999999974</v>
      </c>
      <c r="Z25" s="40"/>
    </row>
    <row r="26" spans="1:26" x14ac:dyDescent="0.25">
      <c r="A26" s="31">
        <v>46075</v>
      </c>
      <c r="B26" s="33"/>
      <c r="C26" s="33"/>
      <c r="D26" s="32">
        <f t="shared" si="7"/>
        <v>0</v>
      </c>
      <c r="E26" s="33"/>
      <c r="F26" s="33"/>
      <c r="G26" s="42">
        <v>145</v>
      </c>
      <c r="H26" s="33"/>
      <c r="I26" s="33"/>
      <c r="J26" s="32">
        <f t="shared" si="0"/>
        <v>145</v>
      </c>
      <c r="K26" s="33">
        <f t="shared" si="1"/>
        <v>145</v>
      </c>
      <c r="L26" s="33"/>
      <c r="M26" s="33">
        <f t="shared" si="2"/>
        <v>145</v>
      </c>
      <c r="N26" s="33"/>
      <c r="O26" s="27">
        <f t="shared" si="3"/>
        <v>8215.9000000000051</v>
      </c>
      <c r="P26" s="35">
        <f t="shared" si="4"/>
        <v>145</v>
      </c>
      <c r="Q26" s="33"/>
      <c r="R26" s="35"/>
      <c r="S26" s="33"/>
      <c r="T26" s="33"/>
      <c r="U26" s="33"/>
      <c r="V26" s="33"/>
      <c r="W26" s="28"/>
      <c r="X26" s="36">
        <f t="shared" si="8"/>
        <v>69356.799999999974</v>
      </c>
    </row>
    <row r="27" spans="1:26" x14ac:dyDescent="0.25">
      <c r="A27" s="31">
        <v>46076</v>
      </c>
      <c r="B27" s="43"/>
      <c r="C27" s="44"/>
      <c r="D27" s="32">
        <f t="shared" si="7"/>
        <v>0</v>
      </c>
      <c r="E27" s="33">
        <v>5707.7</v>
      </c>
      <c r="F27" s="28">
        <v>1248</v>
      </c>
      <c r="G27" s="33">
        <v>319</v>
      </c>
      <c r="H27" s="33"/>
      <c r="I27" s="33"/>
      <c r="J27" s="32">
        <f t="shared" si="0"/>
        <v>7274.7</v>
      </c>
      <c r="K27" s="33">
        <f t="shared" si="1"/>
        <v>7274.7</v>
      </c>
      <c r="L27" s="33">
        <v>80</v>
      </c>
      <c r="M27" s="33">
        <f t="shared" si="2"/>
        <v>7194.7</v>
      </c>
      <c r="N27" s="33">
        <v>1347.6</v>
      </c>
      <c r="O27" s="27">
        <f t="shared" si="3"/>
        <v>8410.6000000000058</v>
      </c>
      <c r="P27" s="35">
        <f t="shared" si="4"/>
        <v>8622.2999999999993</v>
      </c>
      <c r="Q27" s="33"/>
      <c r="R27" s="35"/>
      <c r="S27" s="33">
        <v>7000</v>
      </c>
      <c r="T27" s="33"/>
      <c r="U27" s="33"/>
      <c r="V27" s="33"/>
      <c r="W27" s="28"/>
      <c r="X27" s="36">
        <f t="shared" si="8"/>
        <v>76551.499999999971</v>
      </c>
    </row>
    <row r="28" spans="1:26" x14ac:dyDescent="0.25">
      <c r="A28" s="31">
        <v>46077</v>
      </c>
      <c r="B28" s="43"/>
      <c r="C28" s="44"/>
      <c r="D28" s="32">
        <f t="shared" si="7"/>
        <v>0</v>
      </c>
      <c r="E28" s="33">
        <v>1209.2</v>
      </c>
      <c r="F28" s="28">
        <v>55.2</v>
      </c>
      <c r="G28" s="33">
        <v>414</v>
      </c>
      <c r="H28" s="33"/>
      <c r="I28" s="33">
        <v>20</v>
      </c>
      <c r="J28" s="32">
        <f t="shared" si="0"/>
        <v>1698.4</v>
      </c>
      <c r="K28" s="33">
        <f t="shared" si="1"/>
        <v>1698.4</v>
      </c>
      <c r="L28" s="33">
        <v>35.200000000000003</v>
      </c>
      <c r="M28" s="33">
        <f t="shared" si="2"/>
        <v>1663.2</v>
      </c>
      <c r="N28" s="33">
        <v>230</v>
      </c>
      <c r="O28" s="27">
        <f t="shared" si="3"/>
        <v>10073.800000000007</v>
      </c>
      <c r="P28" s="35">
        <f t="shared" si="4"/>
        <v>1928.4</v>
      </c>
      <c r="Q28" s="33"/>
      <c r="R28" s="35"/>
      <c r="S28" s="33"/>
      <c r="T28" s="33"/>
      <c r="U28" s="33"/>
      <c r="V28" s="33"/>
      <c r="W28" s="28"/>
      <c r="X28" s="36">
        <f t="shared" si="8"/>
        <v>78214.699999999968</v>
      </c>
    </row>
    <row r="29" spans="1:26" x14ac:dyDescent="0.25">
      <c r="A29" s="31">
        <v>46078</v>
      </c>
      <c r="B29" s="43"/>
      <c r="C29" s="44"/>
      <c r="D29" s="32">
        <f t="shared" si="7"/>
        <v>0</v>
      </c>
      <c r="E29" s="33">
        <v>279.60000000000002</v>
      </c>
      <c r="F29" s="28">
        <v>1365.6</v>
      </c>
      <c r="G29" s="33">
        <v>426</v>
      </c>
      <c r="H29" s="33">
        <v>209.2</v>
      </c>
      <c r="I29" s="33">
        <v>10</v>
      </c>
      <c r="J29" s="32">
        <f t="shared" si="0"/>
        <v>2290.3999999999996</v>
      </c>
      <c r="K29" s="33">
        <f t="shared" si="1"/>
        <v>2290.3999999999996</v>
      </c>
      <c r="L29" s="33">
        <v>563</v>
      </c>
      <c r="M29" s="33">
        <f t="shared" si="2"/>
        <v>1727.3999999999996</v>
      </c>
      <c r="N29" s="33"/>
      <c r="O29" s="27">
        <f t="shared" si="3"/>
        <v>11801.200000000006</v>
      </c>
      <c r="P29" s="35">
        <f t="shared" si="4"/>
        <v>2290.3999999999996</v>
      </c>
      <c r="Q29" s="33"/>
      <c r="R29" s="35">
        <f t="shared" si="5"/>
        <v>563</v>
      </c>
      <c r="S29" s="33"/>
      <c r="T29" s="33"/>
      <c r="U29" s="33"/>
      <c r="V29" s="33">
        <v>209.2</v>
      </c>
      <c r="W29" s="28"/>
      <c r="X29" s="36">
        <f t="shared" si="8"/>
        <v>79942.099999999962</v>
      </c>
    </row>
    <row r="30" spans="1:26" x14ac:dyDescent="0.25">
      <c r="A30" s="31">
        <v>46079</v>
      </c>
      <c r="B30" s="43"/>
      <c r="C30" s="44"/>
      <c r="D30" s="32">
        <f t="shared" si="7"/>
        <v>0</v>
      </c>
      <c r="E30" s="33">
        <v>571.20000000000005</v>
      </c>
      <c r="F30" s="33">
        <v>62.7</v>
      </c>
      <c r="G30" s="33">
        <v>413</v>
      </c>
      <c r="H30" s="33"/>
      <c r="I30" s="33">
        <v>10</v>
      </c>
      <c r="J30" s="32">
        <f t="shared" si="0"/>
        <v>1056.9000000000001</v>
      </c>
      <c r="K30" s="33">
        <f t="shared" si="1"/>
        <v>1056.9000000000001</v>
      </c>
      <c r="L30" s="28">
        <v>515.20000000000005</v>
      </c>
      <c r="M30" s="33">
        <f t="shared" si="2"/>
        <v>541.70000000000005</v>
      </c>
      <c r="N30" s="28"/>
      <c r="O30" s="27">
        <f t="shared" si="3"/>
        <v>12342.900000000007</v>
      </c>
      <c r="P30" s="35">
        <f t="shared" si="4"/>
        <v>1056.9000000000001</v>
      </c>
      <c r="Q30" s="33"/>
      <c r="R30" s="35">
        <f t="shared" si="5"/>
        <v>515.20000000000005</v>
      </c>
      <c r="S30" s="33"/>
      <c r="T30" s="33"/>
      <c r="U30" s="33"/>
      <c r="V30" s="33"/>
      <c r="W30" s="28"/>
      <c r="X30" s="36">
        <f t="shared" si="6"/>
        <v>80483.799999999959</v>
      </c>
      <c r="Y30" s="40"/>
    </row>
    <row r="31" spans="1:26" x14ac:dyDescent="0.25">
      <c r="A31" s="31">
        <v>46080</v>
      </c>
      <c r="B31" s="43">
        <v>2069</v>
      </c>
      <c r="C31" s="44">
        <v>2650</v>
      </c>
      <c r="D31" s="32">
        <f t="shared" si="7"/>
        <v>4719</v>
      </c>
      <c r="E31" s="42"/>
      <c r="F31" s="33"/>
      <c r="G31" s="33"/>
      <c r="H31" s="33"/>
      <c r="I31" s="33"/>
      <c r="J31" s="32">
        <f t="shared" si="0"/>
        <v>0</v>
      </c>
      <c r="K31" s="33">
        <f t="shared" si="1"/>
        <v>4719</v>
      </c>
      <c r="L31" s="33"/>
      <c r="M31" s="33">
        <f t="shared" si="2"/>
        <v>4719</v>
      </c>
      <c r="N31" s="33"/>
      <c r="O31" s="27"/>
      <c r="P31" s="35">
        <f t="shared" si="4"/>
        <v>4719</v>
      </c>
      <c r="Q31" s="33"/>
      <c r="R31" s="35">
        <f t="shared" si="5"/>
        <v>0</v>
      </c>
      <c r="S31" s="33"/>
      <c r="T31" s="33"/>
      <c r="U31" s="33"/>
      <c r="V31" s="33"/>
      <c r="W31" s="28"/>
      <c r="X31" s="36">
        <f t="shared" si="6"/>
        <v>85202.799999999959</v>
      </c>
      <c r="Y31" s="40"/>
    </row>
    <row r="32" spans="1:26" x14ac:dyDescent="0.25">
      <c r="A32" s="31">
        <v>46081</v>
      </c>
      <c r="B32" s="43"/>
      <c r="C32" s="44"/>
      <c r="D32" s="32">
        <f t="shared" si="7"/>
        <v>0</v>
      </c>
      <c r="E32" s="33"/>
      <c r="F32" s="33"/>
      <c r="G32" s="33"/>
      <c r="H32" s="33"/>
      <c r="I32" s="33"/>
      <c r="J32" s="32">
        <f t="shared" si="0"/>
        <v>0</v>
      </c>
      <c r="K32" s="33">
        <f t="shared" si="1"/>
        <v>0</v>
      </c>
      <c r="L32" s="33"/>
      <c r="M32" s="33">
        <f t="shared" si="2"/>
        <v>0</v>
      </c>
      <c r="N32" s="33"/>
      <c r="O32" s="27"/>
      <c r="P32" s="35">
        <f t="shared" si="4"/>
        <v>0</v>
      </c>
      <c r="Q32" s="33"/>
      <c r="R32" s="35">
        <f t="shared" si="5"/>
        <v>0</v>
      </c>
      <c r="S32" s="33">
        <v>5600</v>
      </c>
      <c r="T32" s="33"/>
      <c r="U32" s="33"/>
      <c r="V32" s="33"/>
      <c r="W32" s="28"/>
      <c r="X32" s="36">
        <f t="shared" si="6"/>
        <v>85202.799999999959</v>
      </c>
    </row>
    <row r="33" spans="1:26" x14ac:dyDescent="0.25">
      <c r="A33" s="31">
        <v>46082</v>
      </c>
      <c r="B33" s="43"/>
      <c r="C33" s="44"/>
      <c r="D33" s="32">
        <f t="shared" si="7"/>
        <v>0</v>
      </c>
      <c r="E33" s="33"/>
      <c r="F33" s="33"/>
      <c r="G33" s="33"/>
      <c r="H33" s="33"/>
      <c r="I33" s="33"/>
      <c r="J33" s="32">
        <f t="shared" si="0"/>
        <v>0</v>
      </c>
      <c r="K33" s="33">
        <f t="shared" si="1"/>
        <v>0</v>
      </c>
      <c r="L33" s="33"/>
      <c r="M33" s="33">
        <f t="shared" si="2"/>
        <v>0</v>
      </c>
      <c r="N33" s="33"/>
      <c r="O33" s="27"/>
      <c r="P33" s="35">
        <f t="shared" si="4"/>
        <v>0</v>
      </c>
      <c r="Q33" s="33"/>
      <c r="R33" s="35">
        <f t="shared" si="5"/>
        <v>0</v>
      </c>
      <c r="S33" s="33"/>
      <c r="T33" s="33"/>
      <c r="U33" s="33"/>
      <c r="V33" s="33"/>
      <c r="W33" s="28"/>
      <c r="X33" s="36"/>
      <c r="Z33" s="40"/>
    </row>
    <row r="34" spans="1:26" x14ac:dyDescent="0.25">
      <c r="A34" s="31">
        <v>46083</v>
      </c>
      <c r="B34" s="43"/>
      <c r="C34" s="44"/>
      <c r="D34" s="32">
        <f t="shared" si="7"/>
        <v>0</v>
      </c>
      <c r="E34" s="33"/>
      <c r="F34" s="33"/>
      <c r="G34" s="33"/>
      <c r="H34" s="33"/>
      <c r="I34" s="33"/>
      <c r="J34" s="32">
        <f t="shared" si="0"/>
        <v>0</v>
      </c>
      <c r="K34" s="33">
        <f t="shared" si="1"/>
        <v>0</v>
      </c>
      <c r="L34" s="33"/>
      <c r="M34" s="33">
        <f t="shared" si="2"/>
        <v>0</v>
      </c>
      <c r="N34" s="33"/>
      <c r="O34" s="27"/>
      <c r="P34" s="35">
        <f t="shared" si="4"/>
        <v>0</v>
      </c>
      <c r="Q34" s="33"/>
      <c r="R34" s="35">
        <f t="shared" si="5"/>
        <v>0</v>
      </c>
      <c r="S34" s="33"/>
      <c r="T34" s="33"/>
      <c r="U34" s="33"/>
      <c r="V34" s="33"/>
      <c r="W34" s="28"/>
      <c r="X34" s="36"/>
    </row>
    <row r="35" spans="1:26" x14ac:dyDescent="0.25">
      <c r="A35" s="31">
        <v>46084</v>
      </c>
      <c r="B35" s="43"/>
      <c r="C35" s="44"/>
      <c r="D35" s="32"/>
      <c r="E35" s="33"/>
      <c r="F35" s="33"/>
      <c r="G35" s="33"/>
      <c r="H35" s="33"/>
      <c r="I35" s="33"/>
      <c r="J35" s="32">
        <f t="shared" si="0"/>
        <v>0</v>
      </c>
      <c r="K35" s="33">
        <f t="shared" si="1"/>
        <v>0</v>
      </c>
      <c r="L35" s="33"/>
      <c r="M35" s="33">
        <f t="shared" si="2"/>
        <v>0</v>
      </c>
      <c r="N35" s="33"/>
      <c r="O35" s="27"/>
      <c r="P35" s="35">
        <f t="shared" si="4"/>
        <v>0</v>
      </c>
      <c r="Q35" s="45"/>
      <c r="R35" s="35">
        <f t="shared" si="5"/>
        <v>0</v>
      </c>
      <c r="S35" s="45"/>
      <c r="T35" s="45"/>
      <c r="U35" s="45"/>
      <c r="V35" s="45"/>
      <c r="W35" s="28"/>
      <c r="X35" s="36"/>
    </row>
    <row r="36" spans="1:26" x14ac:dyDescent="0.25">
      <c r="A36" s="31"/>
      <c r="B36" s="32">
        <f t="shared" ref="B36:D36" si="9">SUM(B4:B34)</f>
        <v>6069</v>
      </c>
      <c r="C36" s="32">
        <f t="shared" si="9"/>
        <v>9050</v>
      </c>
      <c r="D36" s="32">
        <f t="shared" si="9"/>
        <v>15119</v>
      </c>
      <c r="E36" s="32">
        <f>SUM(E4:E35)</f>
        <v>20389</v>
      </c>
      <c r="F36" s="32">
        <f>SUM(F4:F35)</f>
        <v>23941.599999999999</v>
      </c>
      <c r="G36" s="32">
        <f>SUM(G4:G35)</f>
        <v>11441.5</v>
      </c>
      <c r="H36" s="32">
        <f t="shared" ref="H36:K36" si="10">SUM(H4:H35)</f>
        <v>365</v>
      </c>
      <c r="I36" s="32">
        <f t="shared" si="10"/>
        <v>299</v>
      </c>
      <c r="J36" s="32">
        <f t="shared" si="10"/>
        <v>56436.099999999991</v>
      </c>
      <c r="K36" s="32">
        <f t="shared" si="10"/>
        <v>71555.099999999977</v>
      </c>
      <c r="L36" s="32">
        <f>SUM(L4:L35)</f>
        <v>33038</v>
      </c>
      <c r="M36" s="32">
        <f>SUM(M4:M35)</f>
        <v>38517.1</v>
      </c>
      <c r="N36" s="32">
        <f>SUM(N4:N35)</f>
        <v>11329.5</v>
      </c>
      <c r="O36" s="32"/>
      <c r="P36" s="45">
        <f>SUM(P4:P34)</f>
        <v>82884.599999999977</v>
      </c>
      <c r="Q36" s="45">
        <f>SUM(Q4:Q34)</f>
        <v>0</v>
      </c>
      <c r="R36" s="45">
        <f>SUM(R4:R34)</f>
        <v>32922.800000000003</v>
      </c>
      <c r="S36" s="45">
        <f>SUM(S4:S35)</f>
        <v>93158.3</v>
      </c>
      <c r="T36" s="45">
        <f t="shared" ref="T36:V36" si="11">SUM(T4:T35)</f>
        <v>1221.2</v>
      </c>
      <c r="U36" s="45">
        <f t="shared" si="11"/>
        <v>7931.4</v>
      </c>
      <c r="V36" s="45">
        <f t="shared" si="11"/>
        <v>1739.8999999999999</v>
      </c>
      <c r="W36" s="28">
        <f>SUM(W5:W34)</f>
        <v>30000</v>
      </c>
      <c r="X36" s="46"/>
      <c r="Y36" s="47">
        <f>SUM(Y4:Y34)</f>
        <v>5266</v>
      </c>
    </row>
  </sheetData>
  <mergeCells count="11">
    <mergeCell ref="J2:J3"/>
    <mergeCell ref="B1:C1"/>
    <mergeCell ref="A2:A3"/>
    <mergeCell ref="B2:C2"/>
    <mergeCell ref="D2:D3"/>
    <mergeCell ref="E2:G2"/>
    <mergeCell ref="K2:K3"/>
    <mergeCell ref="L2:L3"/>
    <mergeCell ref="M2:M3"/>
    <mergeCell ref="O2:O3"/>
    <mergeCell ref="X2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fatima</vt:lpstr>
      <vt:lpstr>contadora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Alfredo Paredes Flores</dc:creator>
  <cp:lastModifiedBy>Oscar Alfredo Paredes Flores</cp:lastModifiedBy>
  <dcterms:created xsi:type="dcterms:W3CDTF">2026-02-04T23:46:13Z</dcterms:created>
  <dcterms:modified xsi:type="dcterms:W3CDTF">2026-03-14T22:39:06Z</dcterms:modified>
</cp:coreProperties>
</file>