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MYM\Desktop\"/>
    </mc:Choice>
  </mc:AlternateContent>
  <xr:revisionPtr revIDLastSave="0" documentId="13_ncr:1_{BA8D7211-1179-4FA6-8713-4B43480D11CA}" xr6:coauthVersionLast="47" xr6:coauthVersionMax="47" xr10:uidLastSave="{00000000-0000-0000-0000-000000000000}"/>
  <bookViews>
    <workbookView xWindow="1464" yWindow="1464" windowWidth="17280" windowHeight="9024" xr2:uid="{DD9B2638-F707-42E5-9D99-641167D78340}"/>
  </bookViews>
  <sheets>
    <sheet name="ingreso de inquilinos" sheetId="1" r:id="rId1"/>
    <sheet name="Hoja2" sheetId="2" r:id="rId2"/>
    <sheet name="Catillo Zapata Ysael" sheetId="3" r:id="rId3"/>
    <sheet name="Bacilio cay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4" l="1"/>
  <c r="E32" i="4"/>
  <c r="F54" i="3"/>
  <c r="E54" i="3"/>
  <c r="E12" i="1" l="1"/>
  <c r="E55" i="1"/>
  <c r="E81" i="1"/>
  <c r="E100" i="1"/>
  <c r="E49" i="1" l="1"/>
  <c r="E39" i="1"/>
  <c r="E108" i="1" l="1"/>
</calcChain>
</file>

<file path=xl/sharedStrings.xml><?xml version="1.0" encoding="utf-8"?>
<sst xmlns="http://schemas.openxmlformats.org/spreadsheetml/2006/main" count="410" uniqueCount="226">
  <si>
    <t>N° PUESTO</t>
  </si>
  <si>
    <t>DEUDA</t>
  </si>
  <si>
    <t xml:space="preserve">ALQUILER  </t>
  </si>
  <si>
    <t>PARTE CONSTRUIDA</t>
  </si>
  <si>
    <t>CASTILLO ZAPATA ESAEL</t>
  </si>
  <si>
    <t>1-E</t>
  </si>
  <si>
    <t>ANCHAYA HUAMAN ABEL</t>
  </si>
  <si>
    <t>2-E</t>
  </si>
  <si>
    <t xml:space="preserve">AYALA HUASHUAYO MARLENE </t>
  </si>
  <si>
    <t>3-E</t>
  </si>
  <si>
    <t>PAMPITA</t>
  </si>
  <si>
    <t>BELLIDO DE LA TORRE DE CHUQUITAIPE ZENAIDA</t>
  </si>
  <si>
    <t>4-E</t>
  </si>
  <si>
    <t>MAYHUASCA BASTIDAS DORIS</t>
  </si>
  <si>
    <t>5-E</t>
  </si>
  <si>
    <t>REBAZA REBAZA CASILDA</t>
  </si>
  <si>
    <t>6-E</t>
  </si>
  <si>
    <t>ZANABRIA LADERA LILIA</t>
  </si>
  <si>
    <t>7-E</t>
  </si>
  <si>
    <t>8-E</t>
  </si>
  <si>
    <t>PFUÑO RAMOS VICTOR</t>
  </si>
  <si>
    <t>LOPEZ CERRON HAYDEE</t>
  </si>
  <si>
    <t>GARCIA MEDINA VDA DE MOLINA CLEMENCIA BEATRIZ</t>
  </si>
  <si>
    <t>YAUYOS MENDIETA MARLENE</t>
  </si>
  <si>
    <t>CERVANTES GARCIA CARLOS ARTURO</t>
  </si>
  <si>
    <t>ARREDONDO GARCIA GLADYS</t>
  </si>
  <si>
    <t>16-E</t>
  </si>
  <si>
    <t>PEÑA VDA DE VILLANUEVA TEREZA</t>
  </si>
  <si>
    <t>PRADO CATAÑO MIRIAM MILAGROS</t>
  </si>
  <si>
    <t>18-E</t>
  </si>
  <si>
    <t>DAVILA HILARES YESENIA</t>
  </si>
  <si>
    <t>HERNANDEZ HERNANDEZ LILIBETH</t>
  </si>
  <si>
    <t>YAURIMUCHA RIMACHI URSULA</t>
  </si>
  <si>
    <t>LAPAZ SALAZAR LIDIA ROXANA</t>
  </si>
  <si>
    <t>BURGA CARRASCO ELMER</t>
  </si>
  <si>
    <t>MIRANDA CACERES FELICITA</t>
  </si>
  <si>
    <t>27-E</t>
  </si>
  <si>
    <t>PAMPITA (PUESTOS MAS GRANDES)</t>
  </si>
  <si>
    <t>PALOMINO CUSI ROSA</t>
  </si>
  <si>
    <t>28-E</t>
  </si>
  <si>
    <t>ARMESTAR GODOS JUANA JACKELYNE</t>
  </si>
  <si>
    <t>29-E</t>
  </si>
  <si>
    <t>CAHUANA ALEX</t>
  </si>
  <si>
    <t>30-E</t>
  </si>
  <si>
    <t>AIRE MALPARTIDA  HECTOR</t>
  </si>
  <si>
    <t>31.E</t>
  </si>
  <si>
    <t>32-E</t>
  </si>
  <si>
    <t xml:space="preserve">LEON RODRIGUEZ ANGIE MARGARITA </t>
  </si>
  <si>
    <t>33-E</t>
  </si>
  <si>
    <t>34-E</t>
  </si>
  <si>
    <t>PUESTOS CERCA A LA ZONA DE CARGA Y DESCARGA</t>
  </si>
  <si>
    <t xml:space="preserve">ALVAREZ CHIARA EDGAR  SALVADOR </t>
  </si>
  <si>
    <t>BUSTAMANTE CHILON GRACIELA</t>
  </si>
  <si>
    <t>LEONARDO AMARILLO ROSANA PILAR</t>
  </si>
  <si>
    <t>MALLMA CONDORI LISBETH</t>
  </si>
  <si>
    <t>MUJICA PALOMINO SANDRA</t>
  </si>
  <si>
    <t xml:space="preserve">CASTRO RODRIGUEZ YANET  CONSUELO </t>
  </si>
  <si>
    <t>GOMERO DULANTO MARGARITA</t>
  </si>
  <si>
    <t>LA ROSA MARGARITA</t>
  </si>
  <si>
    <t>AVILA CHAVEZ ROSA</t>
  </si>
  <si>
    <t>SALAZAR VASQUEZ MARIA ROSARIO</t>
  </si>
  <si>
    <t>CONDORI MAMANI LIDIA</t>
  </si>
  <si>
    <t>53-E</t>
  </si>
  <si>
    <t>54-E</t>
  </si>
  <si>
    <t>CHOQUEHUANCA HUAMAN DERSE</t>
  </si>
  <si>
    <t>AL COSTADO DE  SS.HH</t>
  </si>
  <si>
    <t>PATRICIA PAOLA QUISPE MAMANI</t>
  </si>
  <si>
    <t>58-E</t>
  </si>
  <si>
    <t>IBARRA MITMA EMMA MARIBEL</t>
  </si>
  <si>
    <t>CHAMBI APAZA SIMONA</t>
  </si>
  <si>
    <t>PARTE DE AFUERA</t>
  </si>
  <si>
    <t>TUEROS QUISPE PRUDENCIO</t>
  </si>
  <si>
    <t>61-E</t>
  </si>
  <si>
    <t>CAYO HUAMANI BASILIO</t>
  </si>
  <si>
    <t>QUISPE NAPUCHI LISBETH  KARITO</t>
  </si>
  <si>
    <t>2DO PISO</t>
  </si>
  <si>
    <t>ESPARTA CARDENAS JULIO HECTOR</t>
  </si>
  <si>
    <t xml:space="preserve">DURAN CHACON  BLANCA   </t>
  </si>
  <si>
    <t xml:space="preserve">ALARCON ESPINOZA MARTHA </t>
  </si>
  <si>
    <t xml:space="preserve">CERRON GALVAN OBDULIA </t>
  </si>
  <si>
    <t>2 DO PISO</t>
  </si>
  <si>
    <t>SOTO BENITES XIMENA</t>
  </si>
  <si>
    <t xml:space="preserve">PAGAN POR ESPACIO / POR DIAS QUE VIENEN </t>
  </si>
  <si>
    <t>ANATOLIA CHIPANA</t>
  </si>
  <si>
    <t>HUMITAS</t>
  </si>
  <si>
    <t>RELACION INQUILINOS 2025</t>
  </si>
  <si>
    <t>OBREGON CASTILLO FERNANDO MARTÍN</t>
  </si>
  <si>
    <t>QUISPE CHACEZ MARISOL</t>
  </si>
  <si>
    <t>SANTOS CLAROS</t>
  </si>
  <si>
    <t>59- E</t>
  </si>
  <si>
    <t>60 - E</t>
  </si>
  <si>
    <t>MARILIN DEL CARMEN VERA</t>
  </si>
  <si>
    <t>IDALINA MONTENEGRO</t>
  </si>
  <si>
    <t>PELUQUERIA</t>
  </si>
  <si>
    <t>DIANA SANCHEZ</t>
  </si>
  <si>
    <t>LUJAN DEYSI</t>
  </si>
  <si>
    <t>SATALAYA TAPULIMA SEGUNDO ELVIS</t>
  </si>
  <si>
    <t>TOTAL</t>
  </si>
  <si>
    <t>CHICHA JORA</t>
  </si>
  <si>
    <t>REP. OLLAS</t>
  </si>
  <si>
    <t>HUAMANI MAXIMO</t>
  </si>
  <si>
    <t>REBAZA SUAREZ</t>
  </si>
  <si>
    <t>37- E</t>
  </si>
  <si>
    <t>52 - E</t>
  </si>
  <si>
    <t>51 - E</t>
  </si>
  <si>
    <t>56 - E</t>
  </si>
  <si>
    <t>57 - E</t>
  </si>
  <si>
    <t>LEONARDO AMARILLO FEDERICO</t>
  </si>
  <si>
    <t>55 - E</t>
  </si>
  <si>
    <t>40 - E</t>
  </si>
  <si>
    <t>TITO</t>
  </si>
  <si>
    <t>41 - E</t>
  </si>
  <si>
    <t>42 - E</t>
  </si>
  <si>
    <t>43 -E</t>
  </si>
  <si>
    <t>FLORES LAREDO DOMINICIA LUCIANA</t>
  </si>
  <si>
    <t>44- E</t>
  </si>
  <si>
    <t>46 - E</t>
  </si>
  <si>
    <t>CHOQUEHUANCA HUAMAN DAVID</t>
  </si>
  <si>
    <t>HERRRERA CAMPOS ORFELITA</t>
  </si>
  <si>
    <t>50 - E</t>
  </si>
  <si>
    <t>HERRERA PEVES ROMINA DEL CARMEN</t>
  </si>
  <si>
    <t>47 - E</t>
  </si>
  <si>
    <t>48 - E</t>
  </si>
  <si>
    <t>49 - E</t>
  </si>
  <si>
    <t>CUNIAS SANTOS MARIELA</t>
  </si>
  <si>
    <t>45 - E</t>
  </si>
  <si>
    <t>62 -E</t>
  </si>
  <si>
    <t xml:space="preserve">TOTAL </t>
  </si>
  <si>
    <t>38 - E</t>
  </si>
  <si>
    <t>39 - E</t>
  </si>
  <si>
    <t>63 - E</t>
  </si>
  <si>
    <t>64 - E</t>
  </si>
  <si>
    <t>65 - E</t>
  </si>
  <si>
    <t>66 - E</t>
  </si>
  <si>
    <t>67 - E</t>
  </si>
  <si>
    <t>68 - E</t>
  </si>
  <si>
    <t>69 - E</t>
  </si>
  <si>
    <t>70 - E</t>
  </si>
  <si>
    <t>71 - E</t>
  </si>
  <si>
    <t>INGRESOS DE INQUILINOS MENSUAL 2025</t>
  </si>
  <si>
    <t>TOTAL INGRESO MENSUAL DE INQUILINOS</t>
  </si>
  <si>
    <t>9 - E</t>
  </si>
  <si>
    <t>10 - E</t>
  </si>
  <si>
    <t>AZURZA TRIBIÑOS ELIZABETH</t>
  </si>
  <si>
    <t>11 - E</t>
  </si>
  <si>
    <t>AZURZA TRIBIÑOS FABIOLA</t>
  </si>
  <si>
    <t>12 - E</t>
  </si>
  <si>
    <t>13 - E</t>
  </si>
  <si>
    <t>14 - E</t>
  </si>
  <si>
    <t>15 - E</t>
  </si>
  <si>
    <t>17 - E</t>
  </si>
  <si>
    <t xml:space="preserve">PAUCARPOMA ENCARNACION </t>
  </si>
  <si>
    <t>19 - E</t>
  </si>
  <si>
    <t>20 - E</t>
  </si>
  <si>
    <t>21 - E</t>
  </si>
  <si>
    <t>22 - E</t>
  </si>
  <si>
    <t xml:space="preserve">CCENCHO CARRASCO DAVID VICENTE </t>
  </si>
  <si>
    <t>23 - E</t>
  </si>
  <si>
    <t>24 - E</t>
  </si>
  <si>
    <t>CARRASCO PICHUA MERY RUTH</t>
  </si>
  <si>
    <t>CERDAN MUÑOZ MARIA</t>
  </si>
  <si>
    <t>25 - E</t>
  </si>
  <si>
    <t>26 - E</t>
  </si>
  <si>
    <t>LUCIANO INGA KARINA</t>
  </si>
  <si>
    <t>COLINA SHIRLEY</t>
  </si>
  <si>
    <t xml:space="preserve">Decoraciones </t>
  </si>
  <si>
    <t xml:space="preserve"> PUESTO</t>
  </si>
  <si>
    <t>luz</t>
  </si>
  <si>
    <t xml:space="preserve">agua </t>
  </si>
  <si>
    <t>alquiler</t>
  </si>
  <si>
    <t>AGOSTO</t>
  </si>
  <si>
    <t>SETIEMBRE</t>
  </si>
  <si>
    <t>JUNIO</t>
  </si>
  <si>
    <t>JULIO</t>
  </si>
  <si>
    <t>ENERO</t>
  </si>
  <si>
    <t>FEBRERO</t>
  </si>
  <si>
    <t>MARZO</t>
  </si>
  <si>
    <t>ABRIL</t>
  </si>
  <si>
    <t>RII 2613</t>
  </si>
  <si>
    <t>NOVIEMBRE</t>
  </si>
  <si>
    <t>LUZ</t>
  </si>
  <si>
    <t>AGUA</t>
  </si>
  <si>
    <t>EB01-4821</t>
  </si>
  <si>
    <t>ALQUILER</t>
  </si>
  <si>
    <t>POR COBRAR</t>
  </si>
  <si>
    <t>DICIEMBRE</t>
  </si>
  <si>
    <t>RII 2641</t>
  </si>
  <si>
    <t>EB01-4908</t>
  </si>
  <si>
    <t>RII 2696</t>
  </si>
  <si>
    <t>EB01-5181</t>
  </si>
  <si>
    <t>EB01-5274</t>
  </si>
  <si>
    <t>RII 2735</t>
  </si>
  <si>
    <t>EB01-5410</t>
  </si>
  <si>
    <t>RII 2786</t>
  </si>
  <si>
    <t>EB01-5505</t>
  </si>
  <si>
    <t>MAYO</t>
  </si>
  <si>
    <t>RII 2869</t>
  </si>
  <si>
    <t>EB01-5634</t>
  </si>
  <si>
    <t>EB01-5785</t>
  </si>
  <si>
    <t>RII 2913</t>
  </si>
  <si>
    <t>EB01-5969</t>
  </si>
  <si>
    <t xml:space="preserve"> 659 ss.hh.</t>
  </si>
  <si>
    <t>650 Adela Aguilar</t>
  </si>
  <si>
    <t>650 parqueo</t>
  </si>
  <si>
    <t>650 Rosana Leonardo</t>
  </si>
  <si>
    <t>EB01-3932</t>
  </si>
  <si>
    <t xml:space="preserve">JUNIO </t>
  </si>
  <si>
    <t>OCHAVANO FUENTES NERY</t>
  </si>
  <si>
    <t>EB01-4062</t>
  </si>
  <si>
    <t>SSHH</t>
  </si>
  <si>
    <t>EB01-4204</t>
  </si>
  <si>
    <t>EB01-4384</t>
  </si>
  <si>
    <t>OCTUBRE</t>
  </si>
  <si>
    <t>EB01-4489</t>
  </si>
  <si>
    <t>PARQUEO</t>
  </si>
  <si>
    <t>EB01-4645</t>
  </si>
  <si>
    <t>EB01-4838</t>
  </si>
  <si>
    <t>EB01-5038</t>
  </si>
  <si>
    <t>EB01-5196</t>
  </si>
  <si>
    <t>EB01-5330</t>
  </si>
  <si>
    <t>EB01-5489</t>
  </si>
  <si>
    <t xml:space="preserve">MAYO </t>
  </si>
  <si>
    <t>EB01-5615</t>
  </si>
  <si>
    <t>EB01-5750</t>
  </si>
  <si>
    <t>EB01-5864</t>
  </si>
  <si>
    <t>EB01-5979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</si>
</sst>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S/&quot;\ #,##0.00"/>
    <numFmt numFmtId="165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9D1C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8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4" fillId="0" borderId="5" xfId="2" applyFont="1" applyBorder="1"/>
    <xf numFmtId="0" fontId="0" fillId="0" borderId="5" xfId="0" applyBorder="1"/>
    <xf numFmtId="164" fontId="0" fillId="0" borderId="5" xfId="0" applyNumberFormat="1" applyBorder="1"/>
    <xf numFmtId="164" fontId="2" fillId="0" borderId="5" xfId="0" applyNumberFormat="1" applyFont="1" applyBorder="1"/>
    <xf numFmtId="0" fontId="4" fillId="0" borderId="0" xfId="2" applyFont="1"/>
    <xf numFmtId="164" fontId="0" fillId="0" borderId="0" xfId="0" applyNumberFormat="1"/>
    <xf numFmtId="164" fontId="2" fillId="0" borderId="0" xfId="0" applyNumberFormat="1" applyFont="1"/>
    <xf numFmtId="0" fontId="4" fillId="0" borderId="6" xfId="2" applyFont="1" applyBorder="1"/>
    <xf numFmtId="0" fontId="0" fillId="0" borderId="7" xfId="0" applyBorder="1"/>
    <xf numFmtId="164" fontId="0" fillId="0" borderId="6" xfId="0" applyNumberFormat="1" applyBorder="1"/>
    <xf numFmtId="164" fontId="2" fillId="0" borderId="6" xfId="0" applyNumberFormat="1" applyFont="1" applyBorder="1"/>
    <xf numFmtId="0" fontId="0" fillId="0" borderId="8" xfId="0" applyBorder="1"/>
    <xf numFmtId="164" fontId="2" fillId="0" borderId="9" xfId="0" applyNumberFormat="1" applyFont="1" applyBorder="1"/>
    <xf numFmtId="0" fontId="0" fillId="0" borderId="6" xfId="0" applyBorder="1"/>
    <xf numFmtId="0" fontId="4" fillId="0" borderId="0" xfId="2" applyFont="1" applyBorder="1"/>
    <xf numFmtId="0" fontId="0" fillId="0" borderId="0" xfId="0" applyBorder="1"/>
    <xf numFmtId="164" fontId="0" fillId="0" borderId="0" xfId="0" applyNumberFormat="1" applyBorder="1"/>
    <xf numFmtId="164" fontId="2" fillId="0" borderId="0" xfId="0" applyNumberFormat="1" applyFont="1" applyBorder="1"/>
    <xf numFmtId="0" fontId="0" fillId="0" borderId="6" xfId="0" applyBorder="1" applyAlignment="1">
      <alignment horizontal="left"/>
    </xf>
    <xf numFmtId="0" fontId="0" fillId="0" borderId="0" xfId="0" applyFill="1" applyBorder="1"/>
    <xf numFmtId="164" fontId="0" fillId="0" borderId="0" xfId="0" applyNumberFormat="1" applyBorder="1" applyAlignment="1">
      <alignment horizontal="center"/>
    </xf>
    <xf numFmtId="0" fontId="0" fillId="0" borderId="6" xfId="0" applyFill="1" applyBorder="1"/>
    <xf numFmtId="0" fontId="4" fillId="0" borderId="6" xfId="2" applyFont="1" applyBorder="1" applyAlignment="1">
      <alignment horizontal="left" vertical="center"/>
    </xf>
    <xf numFmtId="0" fontId="5" fillId="0" borderId="6" xfId="2" applyFont="1" applyBorder="1" applyAlignment="1">
      <alignment horizontal="center" vertical="center"/>
    </xf>
    <xf numFmtId="43" fontId="5" fillId="0" borderId="6" xfId="1" applyFont="1" applyBorder="1" applyAlignment="1">
      <alignment horizontal="center" vertical="center"/>
    </xf>
    <xf numFmtId="0" fontId="2" fillId="0" borderId="0" xfId="0" applyFont="1"/>
    <xf numFmtId="0" fontId="2" fillId="0" borderId="6" xfId="0" applyFont="1" applyBorder="1" applyAlignment="1">
      <alignment horizontal="right"/>
    </xf>
    <xf numFmtId="164" fontId="2" fillId="0" borderId="6" xfId="1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0" fillId="0" borderId="0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/>
    </xf>
    <xf numFmtId="0" fontId="6" fillId="0" borderId="0" xfId="2" applyFont="1" applyBorder="1"/>
    <xf numFmtId="14" fontId="0" fillId="0" borderId="0" xfId="0" applyNumberFormat="1" applyAlignment="1">
      <alignment horizontal="center" vertical="center"/>
    </xf>
    <xf numFmtId="165" fontId="0" fillId="0" borderId="0" xfId="0" applyNumberFormat="1"/>
    <xf numFmtId="43" fontId="0" fillId="0" borderId="0" xfId="1" applyFont="1"/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165" fontId="0" fillId="2" borderId="0" xfId="0" applyNumberFormat="1" applyFill="1"/>
    <xf numFmtId="43" fontId="0" fillId="2" borderId="0" xfId="1" applyFont="1" applyFill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2" fontId="0" fillId="0" borderId="0" xfId="0" applyNumberFormat="1"/>
    <xf numFmtId="2" fontId="0" fillId="2" borderId="0" xfId="0" applyNumberFormat="1" applyFill="1"/>
    <xf numFmtId="0" fontId="0" fillId="0" borderId="0" xfId="0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2" fontId="0" fillId="3" borderId="0" xfId="0" applyNumberFormat="1" applyFill="1"/>
    <xf numFmtId="43" fontId="0" fillId="3" borderId="0" xfId="1" applyFont="1" applyFill="1"/>
    <xf numFmtId="16" fontId="2" fillId="0" borderId="0" xfId="0" applyNumberFormat="1" applyFont="1" applyAlignment="1">
      <alignment horizontal="center" vertical="center"/>
    </xf>
    <xf numFmtId="0" fontId="7" fillId="0" borderId="0" xfId="0" applyFont="1"/>
    <xf numFmtId="14" fontId="0" fillId="3" borderId="0" xfId="0" applyNumberFormat="1" applyFill="1"/>
    <xf numFmtId="14" fontId="2" fillId="0" borderId="0" xfId="0" applyNumberFormat="1" applyFont="1"/>
    <xf numFmtId="14" fontId="0" fillId="4" borderId="0" xfId="0" applyNumberFormat="1" applyFill="1"/>
    <xf numFmtId="0" fontId="0" fillId="4" borderId="0" xfId="0" applyFill="1" applyAlignment="1">
      <alignment horizontal="center"/>
    </xf>
    <xf numFmtId="0" fontId="0" fillId="4" borderId="0" xfId="0" applyFill="1"/>
    <xf numFmtId="43" fontId="0" fillId="4" borderId="0" xfId="1" applyFont="1" applyFill="1"/>
    <xf numFmtId="43" fontId="1" fillId="0" borderId="0" xfId="1" applyFont="1"/>
    <xf numFmtId="165" fontId="0" fillId="4" borderId="0" xfId="0" applyNumberFormat="1" applyFill="1"/>
    <xf numFmtId="165" fontId="0" fillId="3" borderId="0" xfId="0" applyNumberFormat="1" applyFill="1"/>
    <xf numFmtId="14" fontId="0" fillId="2" borderId="0" xfId="0" applyNumberFormat="1" applyFill="1"/>
    <xf numFmtId="43" fontId="0" fillId="0" borderId="0" xfId="0" applyNumberFormat="1"/>
    <xf numFmtId="43" fontId="0" fillId="3" borderId="0" xfId="0" applyNumberFormat="1" applyFill="1"/>
    <xf numFmtId="43" fontId="0" fillId="2" borderId="0" xfId="0" applyNumberFormat="1" applyFill="1"/>
    <xf numFmtId="14" fontId="0" fillId="0" borderId="0" xfId="0" applyNumberFormat="1"/>
    <xf numFmtId="43" fontId="0" fillId="3" borderId="0" xfId="1" applyFont="1" applyFill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Millares" xfId="1" builtinId="3"/>
    <cellStyle name="Normal" xfId="0" builtinId="0"/>
    <cellStyle name="Normal 3" xfId="2" xr:uid="{0EF724D4-B303-40CD-8B6B-29D2A5C5EE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41AE-D2EC-4D6D-885A-1608D6FFEA34}">
  <dimension ref="A1:E108"/>
  <sheetViews>
    <sheetView tabSelected="1" workbookViewId="0">
      <selection activeCell="F15" sqref="F15"/>
    </sheetView>
  </sheetViews>
  <sheetFormatPr baseColWidth="10" defaultRowHeight="14.4" x14ac:dyDescent="0.3"/>
  <cols>
    <col min="1" max="1" width="7.33203125" customWidth="1"/>
    <col min="2" max="2" width="48.44140625" customWidth="1"/>
    <col min="5" max="5" width="13.109375" customWidth="1"/>
  </cols>
  <sheetData>
    <row r="1" spans="1:5" ht="15" thickBot="1" x14ac:dyDescent="0.35">
      <c r="B1" s="31" t="s">
        <v>139</v>
      </c>
    </row>
    <row r="2" spans="1:5" ht="15" thickBot="1" x14ac:dyDescent="0.35">
      <c r="B2" s="1" t="s">
        <v>85</v>
      </c>
      <c r="C2" s="2" t="s">
        <v>0</v>
      </c>
      <c r="D2" s="3" t="s">
        <v>1</v>
      </c>
      <c r="E2" s="3" t="s">
        <v>2</v>
      </c>
    </row>
    <row r="3" spans="1:5" ht="15" thickBot="1" x14ac:dyDescent="0.35">
      <c r="C3" s="4"/>
      <c r="D3" s="5"/>
    </row>
    <row r="4" spans="1:5" x14ac:dyDescent="0.3">
      <c r="B4" s="81" t="s">
        <v>3</v>
      </c>
      <c r="C4" s="82"/>
      <c r="D4" s="82"/>
      <c r="E4" s="83"/>
    </row>
    <row r="5" spans="1:5" x14ac:dyDescent="0.3">
      <c r="A5" s="19">
        <v>1</v>
      </c>
      <c r="B5" s="13" t="s">
        <v>4</v>
      </c>
      <c r="C5" s="19" t="s">
        <v>5</v>
      </c>
      <c r="D5" s="15"/>
      <c r="E5" s="16">
        <v>650</v>
      </c>
    </row>
    <row r="6" spans="1:5" x14ac:dyDescent="0.3">
      <c r="A6" s="19">
        <v>2</v>
      </c>
      <c r="B6" s="13" t="s">
        <v>6</v>
      </c>
      <c r="C6" s="19" t="s">
        <v>7</v>
      </c>
      <c r="D6" s="15"/>
      <c r="E6" s="16">
        <v>700</v>
      </c>
    </row>
    <row r="7" spans="1:5" x14ac:dyDescent="0.3">
      <c r="A7" s="19">
        <v>3</v>
      </c>
      <c r="B7" s="13" t="s">
        <v>8</v>
      </c>
      <c r="C7" s="19" t="s">
        <v>9</v>
      </c>
      <c r="D7" s="15"/>
      <c r="E7" s="16">
        <v>800</v>
      </c>
    </row>
    <row r="8" spans="1:5" x14ac:dyDescent="0.3">
      <c r="A8" s="19">
        <v>4</v>
      </c>
      <c r="B8" s="13" t="s">
        <v>164</v>
      </c>
      <c r="C8" s="24">
        <v>32</v>
      </c>
      <c r="D8" s="15"/>
      <c r="E8" s="16">
        <v>1200</v>
      </c>
    </row>
    <row r="9" spans="1:5" x14ac:dyDescent="0.3">
      <c r="A9" s="19">
        <v>5</v>
      </c>
      <c r="B9" s="13" t="s">
        <v>93</v>
      </c>
      <c r="C9" s="24">
        <v>45</v>
      </c>
      <c r="D9" s="15"/>
      <c r="E9" s="16">
        <v>1000</v>
      </c>
    </row>
    <row r="10" spans="1:5" x14ac:dyDescent="0.3">
      <c r="A10" s="19">
        <v>6</v>
      </c>
      <c r="B10" s="13" t="s">
        <v>94</v>
      </c>
      <c r="C10" s="24">
        <v>46</v>
      </c>
      <c r="D10" s="15"/>
      <c r="E10" s="16">
        <v>1000</v>
      </c>
    </row>
    <row r="11" spans="1:5" x14ac:dyDescent="0.3">
      <c r="A11" s="19">
        <v>6</v>
      </c>
      <c r="B11" s="13" t="s">
        <v>165</v>
      </c>
      <c r="C11" s="24">
        <v>54</v>
      </c>
      <c r="D11" s="15"/>
      <c r="E11" s="16">
        <v>1000</v>
      </c>
    </row>
    <row r="12" spans="1:5" x14ac:dyDescent="0.3">
      <c r="B12" s="20"/>
      <c r="C12" s="21"/>
      <c r="D12" s="26" t="s">
        <v>97</v>
      </c>
      <c r="E12" s="23">
        <f>SUM(E5:E11)</f>
        <v>6350</v>
      </c>
    </row>
    <row r="13" spans="1:5" ht="15" thickBot="1" x14ac:dyDescent="0.35">
      <c r="B13" s="10"/>
    </row>
    <row r="14" spans="1:5" ht="15" thickBot="1" x14ac:dyDescent="0.35">
      <c r="B14" s="84" t="s">
        <v>10</v>
      </c>
      <c r="C14" s="85"/>
      <c r="D14" s="85"/>
      <c r="E14" s="86"/>
    </row>
    <row r="15" spans="1:5" x14ac:dyDescent="0.3">
      <c r="A15" s="19">
        <v>1</v>
      </c>
      <c r="B15" s="6" t="s">
        <v>11</v>
      </c>
      <c r="C15" s="17" t="s">
        <v>12</v>
      </c>
      <c r="D15" s="8"/>
      <c r="E15" s="9">
        <v>500</v>
      </c>
    </row>
    <row r="16" spans="1:5" x14ac:dyDescent="0.3">
      <c r="A16" s="19">
        <v>2</v>
      </c>
      <c r="B16" s="13" t="s">
        <v>13</v>
      </c>
      <c r="C16" s="14" t="s">
        <v>14</v>
      </c>
      <c r="D16" s="15"/>
      <c r="E16" s="16">
        <v>350</v>
      </c>
    </row>
    <row r="17" spans="1:5" x14ac:dyDescent="0.3">
      <c r="A17" s="19">
        <v>3</v>
      </c>
      <c r="B17" s="13" t="s">
        <v>15</v>
      </c>
      <c r="C17" s="14" t="s">
        <v>16</v>
      </c>
      <c r="D17" s="15"/>
      <c r="E17" s="16">
        <v>350</v>
      </c>
    </row>
    <row r="18" spans="1:5" x14ac:dyDescent="0.3">
      <c r="A18" s="19">
        <v>4</v>
      </c>
      <c r="B18" s="13" t="s">
        <v>17</v>
      </c>
      <c r="C18" s="14" t="s">
        <v>18</v>
      </c>
      <c r="D18" s="15"/>
      <c r="E18" s="16">
        <v>350</v>
      </c>
    </row>
    <row r="19" spans="1:5" x14ac:dyDescent="0.3">
      <c r="A19" s="19">
        <v>5</v>
      </c>
      <c r="B19" s="13" t="s">
        <v>34</v>
      </c>
      <c r="C19" s="14" t="s">
        <v>19</v>
      </c>
      <c r="D19" s="15"/>
      <c r="E19" s="16">
        <v>600</v>
      </c>
    </row>
    <row r="20" spans="1:5" x14ac:dyDescent="0.3">
      <c r="A20" s="19">
        <v>6</v>
      </c>
      <c r="B20" s="13" t="s">
        <v>23</v>
      </c>
      <c r="C20" s="14" t="s">
        <v>141</v>
      </c>
      <c r="D20" s="15"/>
      <c r="E20" s="16">
        <v>500</v>
      </c>
    </row>
    <row r="21" spans="1:5" x14ac:dyDescent="0.3">
      <c r="A21" s="19">
        <v>7</v>
      </c>
      <c r="B21" s="13" t="s">
        <v>20</v>
      </c>
      <c r="C21" s="14" t="s">
        <v>142</v>
      </c>
      <c r="D21" s="15"/>
      <c r="E21" s="16">
        <v>500</v>
      </c>
    </row>
    <row r="22" spans="1:5" x14ac:dyDescent="0.3">
      <c r="A22" s="19">
        <v>8</v>
      </c>
      <c r="B22" s="13" t="s">
        <v>143</v>
      </c>
      <c r="C22" s="14" t="s">
        <v>144</v>
      </c>
      <c r="D22" s="15"/>
      <c r="E22" s="16">
        <v>500</v>
      </c>
    </row>
    <row r="23" spans="1:5" x14ac:dyDescent="0.3">
      <c r="A23" s="19">
        <v>9</v>
      </c>
      <c r="B23" s="13" t="s">
        <v>145</v>
      </c>
      <c r="C23" s="14" t="s">
        <v>146</v>
      </c>
      <c r="D23" s="15"/>
      <c r="E23" s="16">
        <v>500</v>
      </c>
    </row>
    <row r="24" spans="1:5" x14ac:dyDescent="0.3">
      <c r="A24" s="19">
        <v>10</v>
      </c>
      <c r="B24" s="13" t="s">
        <v>21</v>
      </c>
      <c r="C24" s="14" t="s">
        <v>147</v>
      </c>
      <c r="D24" s="15"/>
      <c r="E24" s="16">
        <v>500</v>
      </c>
    </row>
    <row r="25" spans="1:5" x14ac:dyDescent="0.3">
      <c r="A25" s="19">
        <v>11</v>
      </c>
      <c r="B25" s="13" t="s">
        <v>24</v>
      </c>
      <c r="C25" s="14" t="s">
        <v>148</v>
      </c>
      <c r="D25" s="15"/>
      <c r="E25" s="16">
        <v>500</v>
      </c>
    </row>
    <row r="26" spans="1:5" x14ac:dyDescent="0.3">
      <c r="A26" s="19">
        <v>12</v>
      </c>
      <c r="B26" s="13" t="s">
        <v>22</v>
      </c>
      <c r="C26" s="14" t="s">
        <v>149</v>
      </c>
      <c r="D26" s="15"/>
      <c r="E26" s="16">
        <v>500</v>
      </c>
    </row>
    <row r="27" spans="1:5" x14ac:dyDescent="0.3">
      <c r="A27" s="19">
        <v>13</v>
      </c>
      <c r="B27" s="13" t="s">
        <v>25</v>
      </c>
      <c r="C27" s="14" t="s">
        <v>26</v>
      </c>
      <c r="D27" s="15"/>
      <c r="E27" s="16">
        <v>500</v>
      </c>
    </row>
    <row r="28" spans="1:5" x14ac:dyDescent="0.3">
      <c r="A28" s="19">
        <v>14</v>
      </c>
      <c r="B28" s="13" t="s">
        <v>27</v>
      </c>
      <c r="C28" s="14" t="s">
        <v>150</v>
      </c>
      <c r="D28" s="15"/>
      <c r="E28" s="16">
        <v>600</v>
      </c>
    </row>
    <row r="29" spans="1:5" x14ac:dyDescent="0.3">
      <c r="A29" s="19">
        <v>15</v>
      </c>
      <c r="B29" s="13" t="s">
        <v>28</v>
      </c>
      <c r="C29" s="14" t="s">
        <v>29</v>
      </c>
      <c r="D29" s="15"/>
      <c r="E29" s="16">
        <v>600</v>
      </c>
    </row>
    <row r="30" spans="1:5" x14ac:dyDescent="0.3">
      <c r="A30" s="19">
        <v>16</v>
      </c>
      <c r="B30" s="13" t="s">
        <v>151</v>
      </c>
      <c r="C30" s="14" t="s">
        <v>152</v>
      </c>
      <c r="D30" s="15"/>
      <c r="E30" s="16">
        <v>500</v>
      </c>
    </row>
    <row r="31" spans="1:5" x14ac:dyDescent="0.3">
      <c r="A31" s="19">
        <v>17</v>
      </c>
      <c r="B31" s="13" t="s">
        <v>31</v>
      </c>
      <c r="C31" s="14" t="s">
        <v>153</v>
      </c>
      <c r="D31" s="15"/>
      <c r="E31" s="16">
        <v>500</v>
      </c>
    </row>
    <row r="32" spans="1:5" x14ac:dyDescent="0.3">
      <c r="A32" s="19">
        <v>18</v>
      </c>
      <c r="B32" s="13" t="s">
        <v>32</v>
      </c>
      <c r="C32" s="14" t="s">
        <v>154</v>
      </c>
      <c r="D32" s="15"/>
      <c r="E32" s="16">
        <v>500</v>
      </c>
    </row>
    <row r="33" spans="1:5" x14ac:dyDescent="0.3">
      <c r="A33" s="19">
        <v>19</v>
      </c>
      <c r="B33" s="13" t="s">
        <v>30</v>
      </c>
      <c r="C33" s="14" t="s">
        <v>155</v>
      </c>
      <c r="D33" s="15"/>
      <c r="E33" s="16">
        <v>500</v>
      </c>
    </row>
    <row r="34" spans="1:5" x14ac:dyDescent="0.3">
      <c r="A34" s="19">
        <v>20</v>
      </c>
      <c r="B34" s="13" t="s">
        <v>156</v>
      </c>
      <c r="C34" s="14" t="s">
        <v>157</v>
      </c>
      <c r="D34" s="15"/>
      <c r="E34" s="16">
        <v>500</v>
      </c>
    </row>
    <row r="35" spans="1:5" x14ac:dyDescent="0.3">
      <c r="A35" s="19">
        <v>21</v>
      </c>
      <c r="B35" s="13" t="s">
        <v>159</v>
      </c>
      <c r="C35" s="14" t="s">
        <v>158</v>
      </c>
      <c r="D35" s="15"/>
      <c r="E35" s="16">
        <v>500</v>
      </c>
    </row>
    <row r="36" spans="1:5" x14ac:dyDescent="0.3">
      <c r="A36" s="19">
        <v>22</v>
      </c>
      <c r="B36" s="13" t="s">
        <v>160</v>
      </c>
      <c r="C36" s="14" t="s">
        <v>161</v>
      </c>
      <c r="D36" s="15"/>
      <c r="E36" s="16">
        <v>500</v>
      </c>
    </row>
    <row r="37" spans="1:5" x14ac:dyDescent="0.3">
      <c r="A37" s="19">
        <v>23</v>
      </c>
      <c r="B37" s="13" t="s">
        <v>33</v>
      </c>
      <c r="C37" s="14" t="s">
        <v>162</v>
      </c>
      <c r="D37" s="15"/>
      <c r="E37" s="16">
        <v>500</v>
      </c>
    </row>
    <row r="38" spans="1:5" x14ac:dyDescent="0.3">
      <c r="A38" s="19">
        <v>24</v>
      </c>
      <c r="B38" s="13" t="s">
        <v>35</v>
      </c>
      <c r="C38" s="14" t="s">
        <v>36</v>
      </c>
      <c r="D38" s="15"/>
      <c r="E38" s="16">
        <v>600</v>
      </c>
    </row>
    <row r="39" spans="1:5" x14ac:dyDescent="0.3">
      <c r="B39" s="20"/>
      <c r="C39" s="21"/>
      <c r="D39" s="36" t="s">
        <v>97</v>
      </c>
      <c r="E39" s="23">
        <f>SUM(E15:E38)</f>
        <v>11950</v>
      </c>
    </row>
    <row r="40" spans="1:5" ht="15" thickBot="1" x14ac:dyDescent="0.35">
      <c r="B40" s="10"/>
    </row>
    <row r="41" spans="1:5" ht="15" thickBot="1" x14ac:dyDescent="0.35">
      <c r="B41" s="84" t="s">
        <v>37</v>
      </c>
      <c r="C41" s="85"/>
      <c r="D41" s="85"/>
      <c r="E41" s="86"/>
    </row>
    <row r="42" spans="1:5" x14ac:dyDescent="0.3">
      <c r="A42" s="19">
        <v>1</v>
      </c>
      <c r="B42" s="6" t="s">
        <v>38</v>
      </c>
      <c r="C42" s="17" t="s">
        <v>39</v>
      </c>
      <c r="D42" s="8"/>
      <c r="E42" s="9">
        <v>550</v>
      </c>
    </row>
    <row r="43" spans="1:5" x14ac:dyDescent="0.3">
      <c r="A43" s="19">
        <v>2</v>
      </c>
      <c r="B43" s="13" t="s">
        <v>40</v>
      </c>
      <c r="C43" s="14" t="s">
        <v>41</v>
      </c>
      <c r="D43" s="15"/>
      <c r="E43" s="16">
        <v>500</v>
      </c>
    </row>
    <row r="44" spans="1:5" x14ac:dyDescent="0.3">
      <c r="A44" s="19">
        <v>3</v>
      </c>
      <c r="B44" s="13" t="s">
        <v>42</v>
      </c>
      <c r="C44" s="14" t="s">
        <v>43</v>
      </c>
      <c r="D44" s="15"/>
      <c r="E44" s="16">
        <v>350</v>
      </c>
    </row>
    <row r="45" spans="1:5" x14ac:dyDescent="0.3">
      <c r="A45" s="19">
        <v>4</v>
      </c>
      <c r="B45" s="13" t="s">
        <v>44</v>
      </c>
      <c r="C45" s="14" t="s">
        <v>45</v>
      </c>
      <c r="D45" s="15"/>
      <c r="E45" s="9">
        <v>700</v>
      </c>
    </row>
    <row r="46" spans="1:5" x14ac:dyDescent="0.3">
      <c r="A46" s="19">
        <v>5</v>
      </c>
      <c r="B46" s="13" t="s">
        <v>96</v>
      </c>
      <c r="C46" s="14" t="s">
        <v>46</v>
      </c>
      <c r="D46" s="15"/>
      <c r="E46" s="9">
        <v>500</v>
      </c>
    </row>
    <row r="47" spans="1:5" x14ac:dyDescent="0.3">
      <c r="A47" s="19">
        <v>6</v>
      </c>
      <c r="B47" s="13" t="s">
        <v>47</v>
      </c>
      <c r="C47" s="14" t="s">
        <v>48</v>
      </c>
      <c r="D47" s="15"/>
      <c r="E47" s="16">
        <v>750</v>
      </c>
    </row>
    <row r="48" spans="1:5" x14ac:dyDescent="0.3">
      <c r="A48" s="19">
        <v>7</v>
      </c>
      <c r="B48" s="13" t="s">
        <v>95</v>
      </c>
      <c r="C48" s="14" t="s">
        <v>49</v>
      </c>
      <c r="D48" s="15"/>
      <c r="E48" s="16">
        <v>700</v>
      </c>
    </row>
    <row r="49" spans="1:5" x14ac:dyDescent="0.3">
      <c r="B49" s="20"/>
      <c r="C49" s="21"/>
      <c r="D49" s="22" t="s">
        <v>97</v>
      </c>
      <c r="E49" s="18">
        <f>SUM(E42:E48)</f>
        <v>4050</v>
      </c>
    </row>
    <row r="50" spans="1:5" ht="15" thickBot="1" x14ac:dyDescent="0.35">
      <c r="B50" s="20"/>
      <c r="C50" s="21"/>
      <c r="D50" s="22"/>
      <c r="E50" s="18"/>
    </row>
    <row r="51" spans="1:5" ht="15" thickBot="1" x14ac:dyDescent="0.35">
      <c r="B51" s="78" t="s">
        <v>65</v>
      </c>
      <c r="C51" s="79"/>
      <c r="D51" s="79"/>
      <c r="E51" s="80"/>
    </row>
    <row r="52" spans="1:5" x14ac:dyDescent="0.3">
      <c r="A52" s="19">
        <v>1</v>
      </c>
      <c r="B52" s="13" t="s">
        <v>56</v>
      </c>
      <c r="C52" s="14" t="s">
        <v>102</v>
      </c>
      <c r="D52" s="15"/>
      <c r="E52" s="16">
        <v>500</v>
      </c>
    </row>
    <row r="53" spans="1:5" x14ac:dyDescent="0.3">
      <c r="A53" s="19">
        <v>2</v>
      </c>
      <c r="B53" s="13" t="s">
        <v>69</v>
      </c>
      <c r="C53" s="19" t="s">
        <v>128</v>
      </c>
      <c r="D53" s="15"/>
      <c r="E53" s="16">
        <v>500</v>
      </c>
    </row>
    <row r="54" spans="1:5" x14ac:dyDescent="0.3">
      <c r="A54" s="19">
        <v>3</v>
      </c>
      <c r="B54" s="6" t="s">
        <v>66</v>
      </c>
      <c r="C54" s="17" t="s">
        <v>129</v>
      </c>
      <c r="D54" s="8"/>
      <c r="E54" s="9">
        <v>600</v>
      </c>
    </row>
    <row r="55" spans="1:5" x14ac:dyDescent="0.3">
      <c r="B55" s="20"/>
      <c r="C55" s="21"/>
      <c r="D55" s="22"/>
      <c r="E55" s="23">
        <f>SUM(E52:E54)</f>
        <v>1600</v>
      </c>
    </row>
    <row r="56" spans="1:5" ht="15" thickBot="1" x14ac:dyDescent="0.35">
      <c r="B56" s="10"/>
      <c r="D56" s="11"/>
      <c r="E56" s="18"/>
    </row>
    <row r="57" spans="1:5" x14ac:dyDescent="0.3">
      <c r="B57" s="81" t="s">
        <v>50</v>
      </c>
      <c r="C57" s="82"/>
      <c r="D57" s="82"/>
      <c r="E57" s="83"/>
    </row>
    <row r="58" spans="1:5" x14ac:dyDescent="0.3">
      <c r="A58" s="19">
        <v>1</v>
      </c>
      <c r="B58" s="13" t="s">
        <v>59</v>
      </c>
      <c r="C58" s="19" t="s">
        <v>109</v>
      </c>
      <c r="D58" s="15"/>
      <c r="E58" s="16">
        <v>700</v>
      </c>
    </row>
    <row r="59" spans="1:5" x14ac:dyDescent="0.3">
      <c r="A59" s="19">
        <v>2</v>
      </c>
      <c r="B59" s="13" t="s">
        <v>110</v>
      </c>
      <c r="C59" s="19" t="s">
        <v>111</v>
      </c>
      <c r="D59" s="15"/>
      <c r="E59" s="16">
        <v>500</v>
      </c>
    </row>
    <row r="60" spans="1:5" x14ac:dyDescent="0.3">
      <c r="A60" s="19">
        <v>3</v>
      </c>
      <c r="B60" s="13" t="s">
        <v>60</v>
      </c>
      <c r="C60" s="19" t="s">
        <v>112</v>
      </c>
      <c r="D60" s="15"/>
      <c r="E60" s="16">
        <v>500</v>
      </c>
    </row>
    <row r="61" spans="1:5" x14ac:dyDescent="0.3">
      <c r="A61" s="19">
        <v>4</v>
      </c>
      <c r="B61" s="13" t="s">
        <v>61</v>
      </c>
      <c r="C61" s="19" t="s">
        <v>113</v>
      </c>
      <c r="D61" s="15"/>
      <c r="E61" s="16">
        <v>500</v>
      </c>
    </row>
    <row r="62" spans="1:5" x14ac:dyDescent="0.3">
      <c r="A62" s="19">
        <v>5</v>
      </c>
      <c r="B62" s="13" t="s">
        <v>114</v>
      </c>
      <c r="C62" s="19" t="s">
        <v>115</v>
      </c>
      <c r="D62" s="15"/>
      <c r="E62" s="16">
        <v>500</v>
      </c>
    </row>
    <row r="63" spans="1:5" x14ac:dyDescent="0.3">
      <c r="A63" s="19">
        <v>6</v>
      </c>
      <c r="B63" s="13" t="s">
        <v>101</v>
      </c>
      <c r="C63" s="19" t="s">
        <v>125</v>
      </c>
      <c r="D63" s="15"/>
      <c r="E63" s="16">
        <v>500</v>
      </c>
    </row>
    <row r="64" spans="1:5" x14ac:dyDescent="0.3">
      <c r="A64" s="19">
        <v>7</v>
      </c>
      <c r="B64" s="13" t="s">
        <v>117</v>
      </c>
      <c r="C64" s="19" t="s">
        <v>116</v>
      </c>
      <c r="D64" s="15"/>
      <c r="E64" s="16">
        <v>500</v>
      </c>
    </row>
    <row r="65" spans="1:5" x14ac:dyDescent="0.3">
      <c r="A65" s="19">
        <v>8</v>
      </c>
      <c r="B65" s="13" t="s">
        <v>120</v>
      </c>
      <c r="C65" s="19" t="s">
        <v>121</v>
      </c>
      <c r="D65" s="15"/>
      <c r="E65" s="16">
        <v>600</v>
      </c>
    </row>
    <row r="66" spans="1:5" x14ac:dyDescent="0.3">
      <c r="A66" s="19">
        <v>9</v>
      </c>
      <c r="B66" s="13" t="s">
        <v>68</v>
      </c>
      <c r="C66" s="19" t="s">
        <v>122</v>
      </c>
      <c r="D66" s="15"/>
      <c r="E66" s="16">
        <v>500</v>
      </c>
    </row>
    <row r="67" spans="1:5" x14ac:dyDescent="0.3">
      <c r="A67" s="19">
        <v>10</v>
      </c>
      <c r="B67" s="13" t="s">
        <v>124</v>
      </c>
      <c r="C67" s="19" t="s">
        <v>123</v>
      </c>
      <c r="D67" s="15"/>
      <c r="E67" s="16">
        <v>500</v>
      </c>
    </row>
    <row r="68" spans="1:5" x14ac:dyDescent="0.3">
      <c r="A68" s="19">
        <v>11</v>
      </c>
      <c r="B68" s="28" t="s">
        <v>118</v>
      </c>
      <c r="C68" s="28" t="s">
        <v>119</v>
      </c>
      <c r="D68" s="29"/>
      <c r="E68" s="30">
        <v>600</v>
      </c>
    </row>
    <row r="69" spans="1:5" x14ac:dyDescent="0.3">
      <c r="A69" s="19">
        <v>12</v>
      </c>
      <c r="B69" s="13" t="s">
        <v>51</v>
      </c>
      <c r="C69" s="19" t="s">
        <v>104</v>
      </c>
      <c r="D69" s="15"/>
      <c r="E69" s="16">
        <v>500</v>
      </c>
    </row>
    <row r="70" spans="1:5" x14ac:dyDescent="0.3">
      <c r="A70" s="19">
        <v>13</v>
      </c>
      <c r="B70" s="13" t="s">
        <v>52</v>
      </c>
      <c r="C70" s="19" t="s">
        <v>103</v>
      </c>
      <c r="D70" s="15"/>
      <c r="E70" s="16">
        <v>500</v>
      </c>
    </row>
    <row r="71" spans="1:5" x14ac:dyDescent="0.3">
      <c r="A71" s="19">
        <v>14</v>
      </c>
      <c r="B71" s="13" t="s">
        <v>87</v>
      </c>
      <c r="C71" s="19" t="s">
        <v>62</v>
      </c>
      <c r="D71" s="15"/>
      <c r="E71" s="16">
        <v>500</v>
      </c>
    </row>
    <row r="72" spans="1:5" x14ac:dyDescent="0.3">
      <c r="A72" s="19">
        <v>15</v>
      </c>
      <c r="B72" s="13" t="s">
        <v>88</v>
      </c>
      <c r="C72" s="19" t="s">
        <v>63</v>
      </c>
      <c r="D72" s="15"/>
      <c r="E72" s="16">
        <v>700</v>
      </c>
    </row>
    <row r="73" spans="1:5" x14ac:dyDescent="0.3">
      <c r="A73" s="19">
        <v>16</v>
      </c>
      <c r="B73" s="13" t="s">
        <v>107</v>
      </c>
      <c r="C73" s="19" t="s">
        <v>108</v>
      </c>
      <c r="D73" s="15"/>
      <c r="E73" s="16">
        <v>500</v>
      </c>
    </row>
    <row r="74" spans="1:5" x14ac:dyDescent="0.3">
      <c r="A74" s="19">
        <v>17</v>
      </c>
      <c r="B74" s="13" t="s">
        <v>53</v>
      </c>
      <c r="C74" s="19" t="s">
        <v>105</v>
      </c>
      <c r="D74" s="15"/>
      <c r="E74" s="16">
        <v>500</v>
      </c>
    </row>
    <row r="75" spans="1:5" x14ac:dyDescent="0.3">
      <c r="A75" s="19">
        <v>18</v>
      </c>
      <c r="B75" s="13" t="s">
        <v>86</v>
      </c>
      <c r="C75" s="19" t="s">
        <v>106</v>
      </c>
      <c r="D75" s="15"/>
      <c r="E75" s="16">
        <v>500</v>
      </c>
    </row>
    <row r="76" spans="1:5" x14ac:dyDescent="0.3">
      <c r="A76" s="19">
        <v>19</v>
      </c>
      <c r="B76" s="13" t="s">
        <v>54</v>
      </c>
      <c r="C76" s="19" t="s">
        <v>67</v>
      </c>
      <c r="D76" s="15"/>
      <c r="E76" s="16">
        <v>500</v>
      </c>
    </row>
    <row r="77" spans="1:5" x14ac:dyDescent="0.3">
      <c r="A77" s="19">
        <v>20</v>
      </c>
      <c r="B77" s="13" t="s">
        <v>55</v>
      </c>
      <c r="C77" s="19" t="s">
        <v>89</v>
      </c>
      <c r="D77" s="15"/>
      <c r="E77" s="16">
        <v>500</v>
      </c>
    </row>
    <row r="78" spans="1:5" x14ac:dyDescent="0.3">
      <c r="A78" s="19">
        <v>21</v>
      </c>
      <c r="B78" s="13" t="s">
        <v>57</v>
      </c>
      <c r="C78" s="19" t="s">
        <v>90</v>
      </c>
      <c r="D78" s="15"/>
      <c r="E78" s="16">
        <v>500</v>
      </c>
    </row>
    <row r="79" spans="1:5" x14ac:dyDescent="0.3">
      <c r="A79" s="19">
        <v>22</v>
      </c>
      <c r="B79" s="13" t="s">
        <v>58</v>
      </c>
      <c r="C79" s="19" t="s">
        <v>72</v>
      </c>
      <c r="D79" s="15"/>
      <c r="E79" s="16">
        <v>550</v>
      </c>
    </row>
    <row r="80" spans="1:5" x14ac:dyDescent="0.3">
      <c r="A80" s="19">
        <v>23</v>
      </c>
      <c r="B80" s="13" t="s">
        <v>64</v>
      </c>
      <c r="C80" s="19" t="s">
        <v>126</v>
      </c>
      <c r="D80" s="15"/>
      <c r="E80" s="16">
        <v>350</v>
      </c>
    </row>
    <row r="81" spans="1:5" x14ac:dyDescent="0.3">
      <c r="B81" s="20"/>
      <c r="C81" s="25"/>
      <c r="D81" s="26" t="s">
        <v>127</v>
      </c>
      <c r="E81" s="23">
        <f>SUM(E58:E80)</f>
        <v>12000</v>
      </c>
    </row>
    <row r="82" spans="1:5" x14ac:dyDescent="0.3">
      <c r="B82" s="10"/>
    </row>
    <row r="83" spans="1:5" ht="15" thickBot="1" x14ac:dyDescent="0.35">
      <c r="B83" s="10"/>
      <c r="D83" s="11"/>
      <c r="E83" s="12"/>
    </row>
    <row r="84" spans="1:5" ht="15" thickBot="1" x14ac:dyDescent="0.35">
      <c r="B84" s="78" t="s">
        <v>70</v>
      </c>
      <c r="C84" s="79"/>
      <c r="D84" s="79"/>
      <c r="E84" s="80"/>
    </row>
    <row r="85" spans="1:5" x14ac:dyDescent="0.3">
      <c r="A85" s="19">
        <v>61</v>
      </c>
      <c r="B85" s="6" t="s">
        <v>71</v>
      </c>
      <c r="C85" s="17" t="s">
        <v>130</v>
      </c>
      <c r="D85" s="8"/>
      <c r="E85" s="9">
        <v>500</v>
      </c>
    </row>
    <row r="86" spans="1:5" x14ac:dyDescent="0.3">
      <c r="A86" s="19">
        <v>62</v>
      </c>
      <c r="B86" s="13" t="s">
        <v>73</v>
      </c>
      <c r="C86" s="14" t="s">
        <v>131</v>
      </c>
      <c r="D86" s="15"/>
      <c r="E86" s="16">
        <v>300</v>
      </c>
    </row>
    <row r="87" spans="1:5" x14ac:dyDescent="0.3">
      <c r="A87" s="19">
        <v>63</v>
      </c>
      <c r="B87" s="13" t="s">
        <v>74</v>
      </c>
      <c r="C87" s="14" t="s">
        <v>132</v>
      </c>
      <c r="D87" s="15"/>
      <c r="E87" s="16">
        <v>300</v>
      </c>
    </row>
    <row r="88" spans="1:5" x14ac:dyDescent="0.3">
      <c r="A88" s="19">
        <v>64</v>
      </c>
      <c r="B88" s="13" t="s">
        <v>91</v>
      </c>
      <c r="C88" s="14" t="s">
        <v>133</v>
      </c>
      <c r="D88" s="15"/>
      <c r="E88" s="16">
        <v>300</v>
      </c>
    </row>
    <row r="89" spans="1:5" x14ac:dyDescent="0.3">
      <c r="A89" s="19">
        <v>65</v>
      </c>
      <c r="B89" s="13" t="s">
        <v>92</v>
      </c>
      <c r="C89" s="19" t="s">
        <v>134</v>
      </c>
      <c r="D89" s="15"/>
      <c r="E89" s="16">
        <v>300</v>
      </c>
    </row>
    <row r="90" spans="1:5" x14ac:dyDescent="0.3">
      <c r="A90" s="19">
        <v>66</v>
      </c>
      <c r="B90" s="13" t="s">
        <v>163</v>
      </c>
      <c r="C90" s="19" t="s">
        <v>135</v>
      </c>
      <c r="D90" s="15"/>
      <c r="E90" s="16">
        <v>300</v>
      </c>
    </row>
    <row r="91" spans="1:5" x14ac:dyDescent="0.3">
      <c r="B91" s="20"/>
      <c r="C91" s="21"/>
      <c r="D91" s="22"/>
      <c r="E91" s="23">
        <v>2000</v>
      </c>
    </row>
    <row r="92" spans="1:5" ht="15" thickBot="1" x14ac:dyDescent="0.35">
      <c r="B92" s="10"/>
    </row>
    <row r="93" spans="1:5" x14ac:dyDescent="0.3">
      <c r="B93" s="75" t="s">
        <v>75</v>
      </c>
      <c r="C93" s="76"/>
      <c r="D93" s="76"/>
      <c r="E93" s="77"/>
    </row>
    <row r="94" spans="1:5" x14ac:dyDescent="0.3">
      <c r="A94" s="19">
        <v>1</v>
      </c>
      <c r="B94" s="13" t="s">
        <v>76</v>
      </c>
      <c r="C94" s="19" t="s">
        <v>136</v>
      </c>
      <c r="D94" s="15"/>
      <c r="E94" s="16">
        <v>350</v>
      </c>
    </row>
    <row r="95" spans="1:5" x14ac:dyDescent="0.3">
      <c r="A95" s="19">
        <v>2</v>
      </c>
      <c r="B95" s="13" t="s">
        <v>77</v>
      </c>
      <c r="C95" s="19" t="s">
        <v>137</v>
      </c>
      <c r="D95" s="15"/>
      <c r="E95" s="16">
        <v>500</v>
      </c>
    </row>
    <row r="96" spans="1:5" x14ac:dyDescent="0.3">
      <c r="A96" s="19">
        <v>3</v>
      </c>
      <c r="B96" s="13" t="s">
        <v>78</v>
      </c>
      <c r="C96" s="19" t="s">
        <v>138</v>
      </c>
      <c r="D96" s="15"/>
      <c r="E96" s="16">
        <v>500</v>
      </c>
    </row>
    <row r="97" spans="1:5" x14ac:dyDescent="0.3">
      <c r="A97" s="19">
        <v>4</v>
      </c>
      <c r="B97" s="13" t="s">
        <v>79</v>
      </c>
      <c r="C97" s="19" t="s">
        <v>80</v>
      </c>
      <c r="D97" s="15"/>
      <c r="E97" s="16">
        <v>450</v>
      </c>
    </row>
    <row r="98" spans="1:5" x14ac:dyDescent="0.3">
      <c r="A98" s="19">
        <v>5</v>
      </c>
      <c r="B98" s="13" t="s">
        <v>81</v>
      </c>
      <c r="C98" s="19" t="s">
        <v>80</v>
      </c>
      <c r="D98" s="15"/>
      <c r="E98" s="16">
        <v>300</v>
      </c>
    </row>
    <row r="99" spans="1:5" x14ac:dyDescent="0.3">
      <c r="A99" s="19">
        <v>6</v>
      </c>
      <c r="B99" s="13" t="s">
        <v>100</v>
      </c>
      <c r="C99" s="27" t="s">
        <v>75</v>
      </c>
      <c r="D99" s="15"/>
      <c r="E99" s="16">
        <v>400</v>
      </c>
    </row>
    <row r="100" spans="1:5" x14ac:dyDescent="0.3">
      <c r="B100" s="20"/>
      <c r="C100" s="25"/>
      <c r="D100" s="22" t="s">
        <v>97</v>
      </c>
      <c r="E100" s="23">
        <f>SUM(E94:E99)</f>
        <v>2500</v>
      </c>
    </row>
    <row r="101" spans="1:5" ht="15" thickBot="1" x14ac:dyDescent="0.35">
      <c r="D101" s="11"/>
      <c r="E101" s="12"/>
    </row>
    <row r="102" spans="1:5" ht="15" thickBot="1" x14ac:dyDescent="0.35">
      <c r="B102" s="78" t="s">
        <v>82</v>
      </c>
      <c r="C102" s="79"/>
      <c r="D102" s="79"/>
      <c r="E102" s="80"/>
    </row>
    <row r="103" spans="1:5" x14ac:dyDescent="0.3">
      <c r="B103" s="7"/>
      <c r="C103" s="7" t="s">
        <v>98</v>
      </c>
      <c r="D103" s="8">
        <v>10</v>
      </c>
      <c r="E103" s="12"/>
    </row>
    <row r="104" spans="1:5" x14ac:dyDescent="0.3">
      <c r="B104" s="19" t="s">
        <v>83</v>
      </c>
      <c r="C104" s="19" t="s">
        <v>84</v>
      </c>
      <c r="D104" s="15">
        <v>6</v>
      </c>
      <c r="E104" s="12"/>
    </row>
    <row r="105" spans="1:5" x14ac:dyDescent="0.3">
      <c r="B105" s="19"/>
      <c r="C105" s="19"/>
      <c r="D105" s="15"/>
      <c r="E105" s="12"/>
    </row>
    <row r="106" spans="1:5" x14ac:dyDescent="0.3">
      <c r="B106" s="19"/>
      <c r="C106" s="19" t="s">
        <v>99</v>
      </c>
      <c r="D106" s="15">
        <v>10</v>
      </c>
      <c r="E106" s="12"/>
    </row>
    <row r="107" spans="1:5" x14ac:dyDescent="0.3">
      <c r="D107" s="11"/>
      <c r="E107" s="12"/>
    </row>
    <row r="108" spans="1:5" x14ac:dyDescent="0.3">
      <c r="B108" s="32" t="s">
        <v>140</v>
      </c>
      <c r="C108" s="19"/>
      <c r="D108" s="19"/>
      <c r="E108" s="33">
        <f>SUM(E12+E39+E49+E55+E81+E91+E100)</f>
        <v>40450</v>
      </c>
    </row>
  </sheetData>
  <mergeCells count="8">
    <mergeCell ref="B93:E93"/>
    <mergeCell ref="B102:E102"/>
    <mergeCell ref="B51:E51"/>
    <mergeCell ref="B4:E4"/>
    <mergeCell ref="B14:E14"/>
    <mergeCell ref="B41:E41"/>
    <mergeCell ref="B57:E57"/>
    <mergeCell ref="B84:E84"/>
  </mergeCells>
  <pageMargins left="0.70866141732283472" right="0.70866141732283472" top="0.74803149606299213" bottom="0.74803149606299213" header="0.31496062992125984" footer="0.31496062992125984"/>
  <pageSetup paperSize="9" scale="85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C3FC-A80E-4781-9C49-E3F0DBB2C8A9}">
  <dimension ref="A1:P11"/>
  <sheetViews>
    <sheetView topLeftCell="B1" workbookViewId="0">
      <selection activeCell="F7" sqref="F7"/>
    </sheetView>
  </sheetViews>
  <sheetFormatPr baseColWidth="10" defaultRowHeight="14.4" x14ac:dyDescent="0.3"/>
  <cols>
    <col min="1" max="1" width="6.44140625" customWidth="1"/>
    <col min="2" max="2" width="30.5546875" customWidth="1"/>
    <col min="3" max="3" width="8.44140625" customWidth="1"/>
    <col min="5" max="5" width="8.33203125" customWidth="1"/>
    <col min="6" max="6" width="7.109375" customWidth="1"/>
    <col min="7" max="7" width="9.88671875" customWidth="1"/>
    <col min="8" max="8" width="8" customWidth="1"/>
    <col min="9" max="9" width="8.44140625" customWidth="1"/>
    <col min="10" max="10" width="8" customWidth="1"/>
    <col min="11" max="11" width="7.88671875" customWidth="1"/>
    <col min="12" max="12" width="9.44140625" customWidth="1"/>
    <col min="13" max="13" width="8.109375" customWidth="1"/>
    <col min="14" max="14" width="8.44140625" customWidth="1"/>
    <col min="15" max="15" width="9.109375" customWidth="1"/>
    <col min="16" max="16" width="8.33203125" customWidth="1"/>
  </cols>
  <sheetData>
    <row r="1" spans="1:16" ht="15" thickBot="1" x14ac:dyDescent="0.35">
      <c r="E1" s="87" t="s">
        <v>174</v>
      </c>
      <c r="F1" s="87"/>
      <c r="G1" s="87"/>
      <c r="H1" s="87" t="s">
        <v>175</v>
      </c>
      <c r="I1" s="87"/>
      <c r="J1" s="87"/>
      <c r="K1" s="87" t="s">
        <v>176</v>
      </c>
      <c r="L1" s="87"/>
      <c r="M1" s="87"/>
      <c r="N1" s="87" t="s">
        <v>177</v>
      </c>
      <c r="O1" s="87"/>
      <c r="P1" s="87"/>
    </row>
    <row r="2" spans="1:16" ht="15" thickBot="1" x14ac:dyDescent="0.35">
      <c r="B2" s="34" t="s">
        <v>85</v>
      </c>
      <c r="C2" s="2" t="s">
        <v>166</v>
      </c>
      <c r="D2" s="3" t="s">
        <v>2</v>
      </c>
      <c r="E2" s="37" t="s">
        <v>167</v>
      </c>
      <c r="F2" s="37" t="s">
        <v>168</v>
      </c>
      <c r="G2" s="37" t="s">
        <v>169</v>
      </c>
    </row>
    <row r="3" spans="1:16" ht="15" thickBot="1" x14ac:dyDescent="0.35">
      <c r="C3" s="35"/>
    </row>
    <row r="4" spans="1:16" x14ac:dyDescent="0.3">
      <c r="B4" s="81" t="s">
        <v>3</v>
      </c>
      <c r="C4" s="82"/>
      <c r="D4" s="83"/>
    </row>
    <row r="5" spans="1:16" x14ac:dyDescent="0.3">
      <c r="A5" s="14">
        <v>1</v>
      </c>
      <c r="B5" s="39" t="s">
        <v>4</v>
      </c>
      <c r="C5" s="21" t="s">
        <v>5</v>
      </c>
      <c r="D5" s="23">
        <v>650</v>
      </c>
    </row>
    <row r="6" spans="1:16" x14ac:dyDescent="0.3">
      <c r="A6" s="14">
        <v>2</v>
      </c>
      <c r="B6" s="39" t="s">
        <v>6</v>
      </c>
      <c r="C6" s="21" t="s">
        <v>7</v>
      </c>
      <c r="D6" s="23">
        <v>700</v>
      </c>
    </row>
    <row r="7" spans="1:16" x14ac:dyDescent="0.3">
      <c r="A7" s="14">
        <v>3</v>
      </c>
      <c r="B7" s="39" t="s">
        <v>8</v>
      </c>
      <c r="C7" s="21" t="s">
        <v>9</v>
      </c>
      <c r="D7" s="23">
        <v>800</v>
      </c>
    </row>
    <row r="8" spans="1:16" x14ac:dyDescent="0.3">
      <c r="A8" s="14">
        <v>4</v>
      </c>
      <c r="B8" s="39" t="s">
        <v>164</v>
      </c>
      <c r="C8" s="38">
        <v>32</v>
      </c>
      <c r="D8" s="23">
        <v>1200</v>
      </c>
    </row>
    <row r="9" spans="1:16" x14ac:dyDescent="0.3">
      <c r="A9" s="14">
        <v>5</v>
      </c>
      <c r="B9" s="39" t="s">
        <v>93</v>
      </c>
      <c r="C9" s="38">
        <v>45</v>
      </c>
      <c r="D9" s="23">
        <v>1000</v>
      </c>
    </row>
    <row r="10" spans="1:16" x14ac:dyDescent="0.3">
      <c r="A10" s="14">
        <v>6</v>
      </c>
      <c r="B10" s="39" t="s">
        <v>94</v>
      </c>
      <c r="C10" s="38">
        <v>46</v>
      </c>
      <c r="D10" s="23">
        <v>1000</v>
      </c>
    </row>
    <row r="11" spans="1:16" x14ac:dyDescent="0.3">
      <c r="A11" s="14">
        <v>6</v>
      </c>
      <c r="B11" s="20" t="s">
        <v>165</v>
      </c>
      <c r="C11" s="38">
        <v>54</v>
      </c>
      <c r="D11" s="23">
        <v>1000</v>
      </c>
    </row>
  </sheetData>
  <mergeCells count="5">
    <mergeCell ref="B4:D4"/>
    <mergeCell ref="E1:G1"/>
    <mergeCell ref="H1:J1"/>
    <mergeCell ref="K1:M1"/>
    <mergeCell ref="N1:P1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99D4-59F8-41E8-903F-2722FFEAEAD1}">
  <dimension ref="A1:H54"/>
  <sheetViews>
    <sheetView topLeftCell="A40" workbookViewId="0">
      <selection activeCell="G26" sqref="G26"/>
    </sheetView>
  </sheetViews>
  <sheetFormatPr baseColWidth="10" defaultRowHeight="14.4" x14ac:dyDescent="0.3"/>
  <sheetData>
    <row r="1" spans="1:8" x14ac:dyDescent="0.3">
      <c r="A1" s="40">
        <v>45664</v>
      </c>
      <c r="B1" s="37" t="s">
        <v>178</v>
      </c>
      <c r="C1" s="37" t="s">
        <v>179</v>
      </c>
      <c r="D1" t="s">
        <v>180</v>
      </c>
      <c r="E1" s="41"/>
      <c r="F1" s="41">
        <v>57.7</v>
      </c>
      <c r="G1" s="42">
        <v>657</v>
      </c>
    </row>
    <row r="2" spans="1:8" x14ac:dyDescent="0.3">
      <c r="A2" s="40">
        <v>45664</v>
      </c>
      <c r="B2" s="37" t="s">
        <v>178</v>
      </c>
      <c r="C2" s="37" t="s">
        <v>179</v>
      </c>
      <c r="D2" t="s">
        <v>181</v>
      </c>
      <c r="E2" s="41"/>
      <c r="F2" s="41">
        <v>7</v>
      </c>
      <c r="G2" s="42">
        <v>650</v>
      </c>
    </row>
    <row r="3" spans="1:8" x14ac:dyDescent="0.3">
      <c r="A3" s="43">
        <v>45664</v>
      </c>
      <c r="B3" s="44" t="s">
        <v>182</v>
      </c>
      <c r="C3" s="44" t="s">
        <v>179</v>
      </c>
      <c r="D3" s="45" t="s">
        <v>183</v>
      </c>
      <c r="E3" s="46"/>
      <c r="F3" s="46">
        <v>650</v>
      </c>
      <c r="G3" s="47">
        <v>0</v>
      </c>
    </row>
    <row r="4" spans="1:8" x14ac:dyDescent="0.3">
      <c r="A4" s="48">
        <v>45657</v>
      </c>
      <c r="B4" s="49" t="s">
        <v>184</v>
      </c>
      <c r="C4" s="49" t="s">
        <v>185</v>
      </c>
      <c r="D4" t="s">
        <v>180</v>
      </c>
      <c r="E4" s="41">
        <v>48.5</v>
      </c>
      <c r="F4" s="50"/>
      <c r="G4" s="42">
        <v>48.5</v>
      </c>
    </row>
    <row r="5" spans="1:8" x14ac:dyDescent="0.3">
      <c r="A5" s="40"/>
      <c r="B5" s="37"/>
      <c r="C5" s="37"/>
      <c r="D5" t="s">
        <v>181</v>
      </c>
      <c r="E5" s="41">
        <v>3</v>
      </c>
      <c r="F5" s="50"/>
      <c r="G5" s="42">
        <v>51.5</v>
      </c>
    </row>
    <row r="6" spans="1:8" x14ac:dyDescent="0.3">
      <c r="A6" s="40"/>
      <c r="B6" s="37"/>
      <c r="C6" s="37"/>
      <c r="D6" t="s">
        <v>183</v>
      </c>
      <c r="E6" s="41">
        <v>650</v>
      </c>
      <c r="F6" s="50"/>
      <c r="G6" s="42">
        <v>701.5</v>
      </c>
    </row>
    <row r="7" spans="1:8" x14ac:dyDescent="0.3">
      <c r="A7" s="40">
        <v>45686</v>
      </c>
      <c r="B7" s="37" t="s">
        <v>186</v>
      </c>
      <c r="C7" s="37" t="s">
        <v>185</v>
      </c>
      <c r="D7" t="s">
        <v>180</v>
      </c>
      <c r="E7" s="50"/>
      <c r="F7" s="50">
        <v>48.5</v>
      </c>
      <c r="G7" s="42">
        <v>653</v>
      </c>
    </row>
    <row r="8" spans="1:8" x14ac:dyDescent="0.3">
      <c r="A8" s="40">
        <v>45686</v>
      </c>
      <c r="B8" s="37" t="s">
        <v>186</v>
      </c>
      <c r="C8" s="37" t="s">
        <v>185</v>
      </c>
      <c r="D8" t="s">
        <v>181</v>
      </c>
      <c r="E8" s="50"/>
      <c r="F8" s="50">
        <v>3</v>
      </c>
      <c r="G8" s="42">
        <v>650</v>
      </c>
    </row>
    <row r="9" spans="1:8" x14ac:dyDescent="0.3">
      <c r="A9" s="43">
        <v>45686</v>
      </c>
      <c r="B9" s="44" t="s">
        <v>187</v>
      </c>
      <c r="C9" s="44" t="s">
        <v>185</v>
      </c>
      <c r="D9" s="45" t="s">
        <v>183</v>
      </c>
      <c r="E9" s="51"/>
      <c r="F9" s="51">
        <v>650</v>
      </c>
      <c r="G9" s="47">
        <v>0</v>
      </c>
    </row>
    <row r="10" spans="1:8" x14ac:dyDescent="0.3">
      <c r="A10" s="48">
        <v>45688</v>
      </c>
      <c r="B10" s="49" t="s">
        <v>184</v>
      </c>
      <c r="C10" s="49" t="s">
        <v>174</v>
      </c>
      <c r="D10" t="s">
        <v>180</v>
      </c>
      <c r="E10" s="50">
        <v>54.9</v>
      </c>
      <c r="F10" s="50"/>
      <c r="G10" s="42">
        <v>54.9</v>
      </c>
    </row>
    <row r="11" spans="1:8" x14ac:dyDescent="0.3">
      <c r="A11" s="52"/>
      <c r="B11" s="37"/>
      <c r="C11" s="37"/>
      <c r="D11" t="s">
        <v>181</v>
      </c>
      <c r="E11" s="50">
        <v>3</v>
      </c>
      <c r="F11" s="50"/>
      <c r="G11" s="42">
        <v>57.9</v>
      </c>
    </row>
    <row r="12" spans="1:8" x14ac:dyDescent="0.3">
      <c r="A12" s="52"/>
      <c r="B12" s="37"/>
      <c r="C12" s="37"/>
      <c r="D12" t="s">
        <v>183</v>
      </c>
      <c r="E12" s="50">
        <v>650</v>
      </c>
      <c r="F12" s="50"/>
      <c r="G12" s="42">
        <v>707.9</v>
      </c>
    </row>
    <row r="13" spans="1:8" x14ac:dyDescent="0.3">
      <c r="A13" s="40">
        <v>45707</v>
      </c>
      <c r="B13" s="37" t="s">
        <v>188</v>
      </c>
      <c r="C13" s="37" t="s">
        <v>174</v>
      </c>
      <c r="D13" t="s">
        <v>180</v>
      </c>
      <c r="E13" s="50"/>
      <c r="F13" s="50">
        <v>54.9</v>
      </c>
      <c r="G13" s="42">
        <v>653</v>
      </c>
    </row>
    <row r="14" spans="1:8" x14ac:dyDescent="0.3">
      <c r="A14" s="40">
        <v>45707</v>
      </c>
      <c r="B14" s="37" t="s">
        <v>188</v>
      </c>
      <c r="C14" s="37" t="s">
        <v>174</v>
      </c>
      <c r="D14" t="s">
        <v>181</v>
      </c>
      <c r="E14" s="50"/>
      <c r="F14" s="50">
        <v>3</v>
      </c>
      <c r="G14" s="42">
        <v>650</v>
      </c>
    </row>
    <row r="15" spans="1:8" x14ac:dyDescent="0.3">
      <c r="A15" s="53">
        <v>45726</v>
      </c>
      <c r="B15" s="54" t="s">
        <v>189</v>
      </c>
      <c r="C15" s="54" t="s">
        <v>174</v>
      </c>
      <c r="D15" s="55" t="s">
        <v>183</v>
      </c>
      <c r="E15" s="56"/>
      <c r="F15" s="56">
        <v>650</v>
      </c>
      <c r="G15" s="57">
        <v>0</v>
      </c>
      <c r="H15" t="s">
        <v>203</v>
      </c>
    </row>
    <row r="16" spans="1:8" x14ac:dyDescent="0.3">
      <c r="A16" s="48">
        <v>45716</v>
      </c>
      <c r="B16" s="49" t="s">
        <v>184</v>
      </c>
      <c r="C16" s="49" t="s">
        <v>175</v>
      </c>
      <c r="D16" t="s">
        <v>180</v>
      </c>
      <c r="E16" s="42">
        <v>64.3</v>
      </c>
      <c r="F16" s="50"/>
      <c r="G16" s="42">
        <v>64.3</v>
      </c>
    </row>
    <row r="17" spans="1:8" x14ac:dyDescent="0.3">
      <c r="A17" s="40"/>
      <c r="B17" s="37"/>
      <c r="C17" s="37"/>
      <c r="D17" t="s">
        <v>181</v>
      </c>
      <c r="E17" s="42">
        <v>3</v>
      </c>
      <c r="F17" s="50"/>
      <c r="G17" s="42">
        <v>67.3</v>
      </c>
    </row>
    <row r="18" spans="1:8" x14ac:dyDescent="0.3">
      <c r="A18" s="40"/>
      <c r="B18" s="37"/>
      <c r="C18" s="37"/>
      <c r="D18" t="s">
        <v>183</v>
      </c>
      <c r="E18" s="50">
        <v>650</v>
      </c>
      <c r="F18" s="50"/>
      <c r="G18" s="42">
        <v>717.3</v>
      </c>
    </row>
    <row r="19" spans="1:8" x14ac:dyDescent="0.3">
      <c r="A19" s="53">
        <v>45742</v>
      </c>
      <c r="B19" s="54" t="s">
        <v>190</v>
      </c>
      <c r="C19" s="54" t="s">
        <v>175</v>
      </c>
      <c r="D19" s="55" t="s">
        <v>183</v>
      </c>
      <c r="E19" s="56"/>
      <c r="F19" s="56">
        <v>650</v>
      </c>
      <c r="G19" s="57">
        <v>67.299999999999955</v>
      </c>
      <c r="H19" t="s">
        <v>204</v>
      </c>
    </row>
    <row r="20" spans="1:8" x14ac:dyDescent="0.3">
      <c r="A20" s="40">
        <v>45714</v>
      </c>
      <c r="B20" s="37" t="s">
        <v>191</v>
      </c>
      <c r="C20" s="37" t="s">
        <v>175</v>
      </c>
      <c r="D20" t="s">
        <v>180</v>
      </c>
      <c r="E20" s="50"/>
      <c r="F20" s="50">
        <v>64.3</v>
      </c>
      <c r="G20" s="42">
        <v>2.9999999999999574</v>
      </c>
    </row>
    <row r="21" spans="1:8" x14ac:dyDescent="0.3">
      <c r="A21" s="40">
        <v>45714</v>
      </c>
      <c r="B21" s="37" t="s">
        <v>191</v>
      </c>
      <c r="C21" s="37" t="s">
        <v>175</v>
      </c>
      <c r="D21" t="s">
        <v>181</v>
      </c>
      <c r="E21" s="50"/>
      <c r="F21" s="50">
        <v>3</v>
      </c>
      <c r="G21" s="42">
        <v>-4.2632564145606011E-14</v>
      </c>
    </row>
    <row r="22" spans="1:8" x14ac:dyDescent="0.3">
      <c r="A22" s="48">
        <v>45747</v>
      </c>
      <c r="B22" s="49" t="s">
        <v>184</v>
      </c>
      <c r="C22" s="49" t="s">
        <v>176</v>
      </c>
      <c r="D22" t="s">
        <v>180</v>
      </c>
      <c r="E22" s="50">
        <v>33.9</v>
      </c>
      <c r="F22" s="50"/>
      <c r="G22" s="42">
        <v>33.899999999999956</v>
      </c>
    </row>
    <row r="23" spans="1:8" x14ac:dyDescent="0.3">
      <c r="A23" s="52"/>
      <c r="B23" s="37"/>
      <c r="C23" s="37"/>
      <c r="D23" t="s">
        <v>181</v>
      </c>
      <c r="E23" s="50">
        <v>3</v>
      </c>
      <c r="F23" s="50"/>
      <c r="G23" s="42">
        <v>36.899999999999956</v>
      </c>
    </row>
    <row r="24" spans="1:8" x14ac:dyDescent="0.3">
      <c r="A24" s="52"/>
      <c r="B24" s="37"/>
      <c r="C24" s="37"/>
      <c r="D24" t="s">
        <v>183</v>
      </c>
      <c r="E24" s="50">
        <v>650</v>
      </c>
      <c r="F24" s="50"/>
      <c r="G24" s="42">
        <v>686.9</v>
      </c>
    </row>
    <row r="25" spans="1:8" x14ac:dyDescent="0.3">
      <c r="A25" s="43">
        <v>45777</v>
      </c>
      <c r="B25" s="44" t="s">
        <v>192</v>
      </c>
      <c r="C25" s="44" t="s">
        <v>176</v>
      </c>
      <c r="D25" s="45" t="s">
        <v>183</v>
      </c>
      <c r="E25" s="51"/>
      <c r="F25" s="51">
        <v>650</v>
      </c>
      <c r="G25" s="47">
        <v>36.899999999999977</v>
      </c>
    </row>
    <row r="26" spans="1:8" x14ac:dyDescent="0.3">
      <c r="A26" s="40">
        <v>45777</v>
      </c>
      <c r="B26" s="37" t="s">
        <v>193</v>
      </c>
      <c r="C26" s="37" t="s">
        <v>176</v>
      </c>
      <c r="D26" t="s">
        <v>180</v>
      </c>
      <c r="E26" s="50"/>
      <c r="F26" s="50">
        <v>33.9</v>
      </c>
      <c r="G26" s="42">
        <v>2.9999999999999787</v>
      </c>
    </row>
    <row r="27" spans="1:8" x14ac:dyDescent="0.3">
      <c r="A27" s="40">
        <v>45777</v>
      </c>
      <c r="B27" s="37" t="s">
        <v>193</v>
      </c>
      <c r="C27" s="37" t="s">
        <v>176</v>
      </c>
      <c r="D27" t="s">
        <v>181</v>
      </c>
      <c r="E27" s="50"/>
      <c r="F27" s="50">
        <v>3</v>
      </c>
      <c r="G27" s="42">
        <v>-2.1316282072803006E-14</v>
      </c>
    </row>
    <row r="28" spans="1:8" x14ac:dyDescent="0.3">
      <c r="A28" s="48">
        <v>45777</v>
      </c>
      <c r="B28" s="49" t="s">
        <v>184</v>
      </c>
      <c r="C28" s="49" t="s">
        <v>177</v>
      </c>
      <c r="D28" t="s">
        <v>180</v>
      </c>
      <c r="E28" s="50">
        <v>33.6</v>
      </c>
      <c r="F28" s="50"/>
      <c r="G28" s="42">
        <v>33.59999999999998</v>
      </c>
    </row>
    <row r="29" spans="1:8" x14ac:dyDescent="0.3">
      <c r="A29" s="40"/>
      <c r="B29" s="37"/>
      <c r="C29" s="37"/>
      <c r="D29" t="s">
        <v>181</v>
      </c>
      <c r="E29" s="50">
        <v>3</v>
      </c>
      <c r="F29" s="50"/>
      <c r="G29" s="42">
        <v>36.59999999999998</v>
      </c>
    </row>
    <row r="30" spans="1:8" x14ac:dyDescent="0.3">
      <c r="A30" s="40"/>
      <c r="B30" s="37"/>
      <c r="C30" s="37"/>
      <c r="D30" t="s">
        <v>183</v>
      </c>
      <c r="E30" s="50">
        <v>650</v>
      </c>
      <c r="F30" s="50"/>
      <c r="G30" s="42">
        <v>686.6</v>
      </c>
    </row>
    <row r="31" spans="1:8" x14ac:dyDescent="0.3">
      <c r="A31" s="40">
        <v>45808</v>
      </c>
      <c r="B31" s="37">
        <v>2821</v>
      </c>
      <c r="C31" s="37" t="s">
        <v>177</v>
      </c>
      <c r="D31" t="s">
        <v>180</v>
      </c>
      <c r="E31" s="50"/>
      <c r="F31" s="50">
        <v>33.6</v>
      </c>
      <c r="G31" s="42">
        <v>653</v>
      </c>
    </row>
    <row r="32" spans="1:8" x14ac:dyDescent="0.3">
      <c r="A32" s="40">
        <v>45808</v>
      </c>
      <c r="B32" s="37">
        <v>2821</v>
      </c>
      <c r="C32" s="37" t="s">
        <v>177</v>
      </c>
      <c r="D32" t="s">
        <v>181</v>
      </c>
      <c r="E32" s="50"/>
      <c r="F32" s="50">
        <v>3</v>
      </c>
      <c r="G32" s="42">
        <v>650</v>
      </c>
    </row>
    <row r="33" spans="1:8" x14ac:dyDescent="0.3">
      <c r="A33" s="43">
        <v>45798</v>
      </c>
      <c r="B33" s="44" t="s">
        <v>194</v>
      </c>
      <c r="C33" s="44" t="s">
        <v>177</v>
      </c>
      <c r="D33" s="45" t="s">
        <v>183</v>
      </c>
      <c r="E33" s="51"/>
      <c r="F33" s="51">
        <v>650</v>
      </c>
      <c r="G33" s="47">
        <v>0</v>
      </c>
    </row>
    <row r="34" spans="1:8" x14ac:dyDescent="0.3">
      <c r="A34" s="58">
        <v>45808</v>
      </c>
      <c r="B34" s="49" t="s">
        <v>184</v>
      </c>
      <c r="C34" s="49" t="s">
        <v>195</v>
      </c>
      <c r="D34" t="s">
        <v>180</v>
      </c>
      <c r="E34" s="50">
        <v>33.6</v>
      </c>
      <c r="F34" s="50"/>
      <c r="G34" s="42">
        <v>33.6</v>
      </c>
    </row>
    <row r="35" spans="1:8" x14ac:dyDescent="0.3">
      <c r="A35" s="52"/>
      <c r="B35" s="37"/>
      <c r="C35" s="37"/>
      <c r="D35" t="s">
        <v>181</v>
      </c>
      <c r="E35" s="50">
        <v>5</v>
      </c>
      <c r="F35" s="50"/>
      <c r="G35" s="42">
        <v>38.6</v>
      </c>
    </row>
    <row r="36" spans="1:8" x14ac:dyDescent="0.3">
      <c r="A36" s="52"/>
      <c r="B36" s="37"/>
      <c r="C36" s="37"/>
      <c r="D36" t="s">
        <v>183</v>
      </c>
      <c r="E36" s="50">
        <v>650</v>
      </c>
      <c r="F36" s="50"/>
      <c r="G36" s="42">
        <v>688.6</v>
      </c>
    </row>
    <row r="37" spans="1:8" x14ac:dyDescent="0.3">
      <c r="A37" s="40">
        <v>45826</v>
      </c>
      <c r="B37" s="37" t="s">
        <v>196</v>
      </c>
      <c r="C37" s="37" t="s">
        <v>195</v>
      </c>
      <c r="D37" t="s">
        <v>180</v>
      </c>
      <c r="E37" s="50"/>
      <c r="F37" s="50">
        <v>33.6</v>
      </c>
      <c r="G37" s="42">
        <v>655</v>
      </c>
    </row>
    <row r="38" spans="1:8" x14ac:dyDescent="0.3">
      <c r="A38" s="40">
        <v>45826</v>
      </c>
      <c r="B38" s="37" t="s">
        <v>196</v>
      </c>
      <c r="C38" s="37" t="s">
        <v>195</v>
      </c>
      <c r="D38" t="s">
        <v>181</v>
      </c>
      <c r="E38" s="50"/>
      <c r="F38" s="50">
        <v>5</v>
      </c>
      <c r="G38" s="42">
        <v>650</v>
      </c>
    </row>
    <row r="39" spans="1:8" x14ac:dyDescent="0.3">
      <c r="A39" s="43">
        <v>45826</v>
      </c>
      <c r="B39" s="44" t="s">
        <v>197</v>
      </c>
      <c r="C39" s="44" t="s">
        <v>195</v>
      </c>
      <c r="D39" s="45" t="s">
        <v>183</v>
      </c>
      <c r="E39" s="51"/>
      <c r="F39" s="51">
        <v>650</v>
      </c>
      <c r="G39" s="47">
        <v>0</v>
      </c>
    </row>
    <row r="40" spans="1:8" x14ac:dyDescent="0.3">
      <c r="A40" s="48">
        <v>45838</v>
      </c>
      <c r="B40" s="49" t="s">
        <v>184</v>
      </c>
      <c r="C40" s="49" t="s">
        <v>172</v>
      </c>
      <c r="D40" t="s">
        <v>180</v>
      </c>
      <c r="E40" s="50">
        <v>34</v>
      </c>
      <c r="F40" s="50"/>
      <c r="G40" s="42">
        <v>34</v>
      </c>
    </row>
    <row r="41" spans="1:8" x14ac:dyDescent="0.3">
      <c r="A41" s="40"/>
      <c r="B41" s="37"/>
      <c r="C41" s="37"/>
      <c r="D41" t="s">
        <v>181</v>
      </c>
      <c r="E41" s="50">
        <v>4</v>
      </c>
      <c r="F41" s="50"/>
      <c r="G41" s="42">
        <v>38</v>
      </c>
    </row>
    <row r="42" spans="1:8" x14ac:dyDescent="0.3">
      <c r="A42" s="40"/>
      <c r="B42" s="37"/>
      <c r="C42" s="37"/>
      <c r="D42" t="s">
        <v>183</v>
      </c>
      <c r="E42" s="50">
        <v>650</v>
      </c>
      <c r="F42" s="50"/>
      <c r="G42" s="42">
        <v>688</v>
      </c>
    </row>
    <row r="43" spans="1:8" x14ac:dyDescent="0.3">
      <c r="A43" s="53">
        <v>45869</v>
      </c>
      <c r="B43" s="54" t="s">
        <v>198</v>
      </c>
      <c r="C43" s="54" t="s">
        <v>172</v>
      </c>
      <c r="D43" s="55" t="s">
        <v>183</v>
      </c>
      <c r="E43" s="56"/>
      <c r="F43" s="56">
        <v>650</v>
      </c>
      <c r="G43" s="57">
        <v>38</v>
      </c>
      <c r="H43" t="s">
        <v>201</v>
      </c>
    </row>
    <row r="44" spans="1:8" x14ac:dyDescent="0.3">
      <c r="A44" s="40">
        <v>45869</v>
      </c>
      <c r="B44" s="37" t="s">
        <v>199</v>
      </c>
      <c r="C44" s="37" t="s">
        <v>172</v>
      </c>
      <c r="D44" t="s">
        <v>180</v>
      </c>
      <c r="E44" s="50"/>
      <c r="F44" s="50">
        <v>34</v>
      </c>
      <c r="G44" s="42">
        <v>4</v>
      </c>
    </row>
    <row r="45" spans="1:8" x14ac:dyDescent="0.3">
      <c r="A45" s="40">
        <v>45869</v>
      </c>
      <c r="B45" s="37" t="s">
        <v>199</v>
      </c>
      <c r="C45" s="37" t="s">
        <v>172</v>
      </c>
      <c r="D45" t="s">
        <v>181</v>
      </c>
      <c r="E45" s="50"/>
      <c r="F45" s="50">
        <v>4</v>
      </c>
      <c r="G45" s="42">
        <v>0</v>
      </c>
    </row>
    <row r="46" spans="1:8" x14ac:dyDescent="0.3">
      <c r="A46" s="48">
        <v>45869</v>
      </c>
      <c r="B46" s="49" t="s">
        <v>184</v>
      </c>
      <c r="C46" s="49" t="s">
        <v>173</v>
      </c>
      <c r="D46" t="s">
        <v>180</v>
      </c>
      <c r="E46" s="50">
        <v>34</v>
      </c>
      <c r="F46" s="50"/>
      <c r="G46" s="42">
        <v>34</v>
      </c>
    </row>
    <row r="47" spans="1:8" x14ac:dyDescent="0.3">
      <c r="A47" s="40"/>
      <c r="B47" s="37"/>
      <c r="C47" s="37"/>
      <c r="D47" t="s">
        <v>181</v>
      </c>
      <c r="E47" s="50">
        <v>4</v>
      </c>
      <c r="F47" s="50"/>
      <c r="G47" s="42">
        <v>38</v>
      </c>
    </row>
    <row r="48" spans="1:8" x14ac:dyDescent="0.3">
      <c r="A48" s="40"/>
      <c r="B48" s="37"/>
      <c r="C48" s="37"/>
      <c r="D48" t="s">
        <v>183</v>
      </c>
      <c r="E48" s="50">
        <v>650</v>
      </c>
      <c r="F48" s="50"/>
      <c r="G48" s="42">
        <v>688</v>
      </c>
    </row>
    <row r="49" spans="1:8" x14ac:dyDescent="0.3">
      <c r="A49" s="53">
        <v>45896</v>
      </c>
      <c r="B49" s="54" t="s">
        <v>200</v>
      </c>
      <c r="C49" s="54" t="s">
        <v>173</v>
      </c>
      <c r="D49" s="55" t="s">
        <v>183</v>
      </c>
      <c r="E49" s="56"/>
      <c r="F49" s="56">
        <v>650</v>
      </c>
      <c r="G49" s="57">
        <v>38</v>
      </c>
      <c r="H49" t="s">
        <v>202</v>
      </c>
    </row>
    <row r="50" spans="1:8" x14ac:dyDescent="0.3">
      <c r="A50" s="48">
        <v>45900</v>
      </c>
      <c r="B50" s="49" t="s">
        <v>184</v>
      </c>
      <c r="C50" s="49" t="s">
        <v>170</v>
      </c>
      <c r="D50" t="s">
        <v>180</v>
      </c>
      <c r="E50" s="50"/>
      <c r="F50" s="50"/>
      <c r="G50" s="42">
        <v>38</v>
      </c>
    </row>
    <row r="51" spans="1:8" x14ac:dyDescent="0.3">
      <c r="A51" s="40"/>
      <c r="B51" s="37"/>
      <c r="C51" s="37"/>
      <c r="D51" t="s">
        <v>181</v>
      </c>
      <c r="E51" s="50"/>
      <c r="F51" s="50"/>
      <c r="G51" s="42">
        <v>38</v>
      </c>
    </row>
    <row r="52" spans="1:8" x14ac:dyDescent="0.3">
      <c r="A52" s="40"/>
      <c r="B52" s="59"/>
      <c r="C52" s="37"/>
      <c r="D52" t="s">
        <v>183</v>
      </c>
      <c r="E52" s="50">
        <v>650</v>
      </c>
      <c r="F52" s="50"/>
      <c r="G52" s="42">
        <v>688</v>
      </c>
    </row>
    <row r="54" spans="1:8" x14ac:dyDescent="0.3">
      <c r="E54" s="41">
        <f>SUM(E1:E52)</f>
        <v>6214.7999999999993</v>
      </c>
      <c r="F54" s="41">
        <f>SUM(F1:F52)</f>
        <v>6241.5000000000009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EE02-6FB3-4A95-81A1-D58131752F5D}">
  <dimension ref="A1:J32"/>
  <sheetViews>
    <sheetView topLeftCell="A7" workbookViewId="0">
      <selection activeCell="K27" sqref="K27"/>
    </sheetView>
  </sheetViews>
  <sheetFormatPr baseColWidth="10" defaultRowHeight="14.4" x14ac:dyDescent="0.3"/>
  <sheetData>
    <row r="1" spans="1:10" x14ac:dyDescent="0.3">
      <c r="A1" s="60">
        <v>45476</v>
      </c>
      <c r="B1" s="54" t="s">
        <v>205</v>
      </c>
      <c r="C1" s="54" t="s">
        <v>206</v>
      </c>
      <c r="D1" s="55" t="s">
        <v>183</v>
      </c>
      <c r="E1" s="57"/>
      <c r="F1" s="57">
        <v>300</v>
      </c>
      <c r="G1" s="57">
        <v>10</v>
      </c>
      <c r="H1" s="55">
        <v>300</v>
      </c>
      <c r="I1" s="55" t="s">
        <v>207</v>
      </c>
      <c r="J1" s="55"/>
    </row>
    <row r="2" spans="1:10" x14ac:dyDescent="0.3">
      <c r="A2" s="61">
        <v>45504</v>
      </c>
      <c r="B2" s="49" t="s">
        <v>184</v>
      </c>
      <c r="C2" s="49" t="s">
        <v>173</v>
      </c>
      <c r="D2" t="s">
        <v>183</v>
      </c>
      <c r="E2" s="42">
        <v>300</v>
      </c>
      <c r="F2" s="42"/>
      <c r="G2" s="42">
        <v>310</v>
      </c>
    </row>
    <row r="3" spans="1:10" x14ac:dyDescent="0.3">
      <c r="A3" s="60">
        <v>45509</v>
      </c>
      <c r="B3" s="54" t="s">
        <v>208</v>
      </c>
      <c r="C3" s="54" t="s">
        <v>173</v>
      </c>
      <c r="D3" s="55" t="s">
        <v>183</v>
      </c>
      <c r="E3" s="57"/>
      <c r="F3" s="57">
        <v>300</v>
      </c>
      <c r="G3" s="57">
        <v>10</v>
      </c>
      <c r="H3" s="55">
        <v>300</v>
      </c>
      <c r="I3" s="55" t="s">
        <v>209</v>
      </c>
      <c r="J3" s="55"/>
    </row>
    <row r="4" spans="1:10" x14ac:dyDescent="0.3">
      <c r="A4" s="61">
        <v>45535</v>
      </c>
      <c r="B4" s="49" t="s">
        <v>184</v>
      </c>
      <c r="C4" s="49" t="s">
        <v>170</v>
      </c>
      <c r="D4" t="s">
        <v>183</v>
      </c>
      <c r="E4" s="42">
        <v>300</v>
      </c>
      <c r="F4" s="42"/>
      <c r="G4" s="42">
        <v>310</v>
      </c>
    </row>
    <row r="5" spans="1:10" x14ac:dyDescent="0.3">
      <c r="A5" s="62">
        <v>45542</v>
      </c>
      <c r="B5" s="63" t="s">
        <v>210</v>
      </c>
      <c r="C5" s="63" t="s">
        <v>170</v>
      </c>
      <c r="D5" s="64" t="s">
        <v>183</v>
      </c>
      <c r="E5" s="65"/>
      <c r="F5" s="65">
        <v>300</v>
      </c>
      <c r="G5" s="65">
        <v>10</v>
      </c>
      <c r="H5" s="64"/>
      <c r="I5" s="64"/>
      <c r="J5" s="64"/>
    </row>
    <row r="6" spans="1:10" x14ac:dyDescent="0.3">
      <c r="A6" s="61">
        <v>45565</v>
      </c>
      <c r="B6" s="49" t="s">
        <v>184</v>
      </c>
      <c r="C6" s="49" t="s">
        <v>171</v>
      </c>
      <c r="D6" t="s">
        <v>183</v>
      </c>
      <c r="E6" s="41">
        <v>300</v>
      </c>
      <c r="F6" s="66"/>
      <c r="G6" s="42">
        <v>310</v>
      </c>
    </row>
    <row r="7" spans="1:10" x14ac:dyDescent="0.3">
      <c r="A7" s="62">
        <v>45580</v>
      </c>
      <c r="B7" s="63" t="s">
        <v>211</v>
      </c>
      <c r="C7" s="63" t="s">
        <v>171</v>
      </c>
      <c r="D7" s="64" t="s">
        <v>183</v>
      </c>
      <c r="E7" s="67"/>
      <c r="F7" s="65">
        <v>300</v>
      </c>
      <c r="G7" s="65">
        <v>10</v>
      </c>
      <c r="H7" s="64"/>
      <c r="I7" s="64"/>
      <c r="J7" s="64"/>
    </row>
    <row r="8" spans="1:10" x14ac:dyDescent="0.3">
      <c r="A8" s="61">
        <v>45596</v>
      </c>
      <c r="B8" s="49" t="s">
        <v>184</v>
      </c>
      <c r="C8" s="49" t="s">
        <v>212</v>
      </c>
      <c r="D8" t="s">
        <v>183</v>
      </c>
      <c r="E8" s="41">
        <v>300</v>
      </c>
      <c r="F8" s="42"/>
      <c r="G8" s="42">
        <v>310</v>
      </c>
    </row>
    <row r="9" spans="1:10" x14ac:dyDescent="0.3">
      <c r="A9" s="60">
        <v>45601</v>
      </c>
      <c r="B9" s="54" t="s">
        <v>213</v>
      </c>
      <c r="C9" s="54" t="s">
        <v>212</v>
      </c>
      <c r="D9" s="55" t="s">
        <v>183</v>
      </c>
      <c r="E9" s="68"/>
      <c r="F9" s="57">
        <v>300</v>
      </c>
      <c r="G9" s="57">
        <v>10</v>
      </c>
      <c r="H9" s="55">
        <v>300</v>
      </c>
      <c r="I9" s="55" t="s">
        <v>214</v>
      </c>
      <c r="J9" s="55"/>
    </row>
    <row r="10" spans="1:10" x14ac:dyDescent="0.3">
      <c r="A10" s="61">
        <v>45626</v>
      </c>
      <c r="B10" s="49" t="s">
        <v>184</v>
      </c>
      <c r="C10" s="49" t="s">
        <v>179</v>
      </c>
      <c r="D10" t="s">
        <v>183</v>
      </c>
      <c r="E10" s="41">
        <v>300</v>
      </c>
      <c r="F10" s="42"/>
      <c r="G10" s="42">
        <v>310</v>
      </c>
    </row>
    <row r="11" spans="1:10" x14ac:dyDescent="0.3">
      <c r="A11" s="60">
        <v>45632</v>
      </c>
      <c r="B11" s="54" t="s">
        <v>215</v>
      </c>
      <c r="C11" s="54" t="s">
        <v>179</v>
      </c>
      <c r="D11" s="55" t="s">
        <v>183</v>
      </c>
      <c r="E11" s="68"/>
      <c r="F11" s="68">
        <v>300</v>
      </c>
      <c r="G11" s="57">
        <v>10</v>
      </c>
      <c r="H11" s="55">
        <v>300</v>
      </c>
      <c r="I11" s="55" t="s">
        <v>209</v>
      </c>
      <c r="J11" s="55"/>
    </row>
    <row r="12" spans="1:10" x14ac:dyDescent="0.3">
      <c r="A12" s="61">
        <v>45657</v>
      </c>
      <c r="B12" s="49" t="s">
        <v>184</v>
      </c>
      <c r="C12" s="49" t="s">
        <v>185</v>
      </c>
      <c r="D12" t="s">
        <v>183</v>
      </c>
      <c r="E12" s="41">
        <v>300</v>
      </c>
      <c r="F12" s="41"/>
      <c r="G12" s="42">
        <v>310</v>
      </c>
    </row>
    <row r="13" spans="1:10" x14ac:dyDescent="0.3">
      <c r="A13" s="69">
        <v>45666</v>
      </c>
      <c r="B13" s="44" t="s">
        <v>216</v>
      </c>
      <c r="C13" s="44" t="s">
        <v>185</v>
      </c>
      <c r="D13" s="45" t="s">
        <v>183</v>
      </c>
      <c r="E13" s="46"/>
      <c r="F13" s="47">
        <v>300</v>
      </c>
      <c r="G13" s="47">
        <v>10</v>
      </c>
      <c r="H13" s="45"/>
      <c r="I13" s="45"/>
      <c r="J13" s="45"/>
    </row>
    <row r="14" spans="1:10" x14ac:dyDescent="0.3">
      <c r="A14" s="61">
        <v>45688</v>
      </c>
      <c r="B14" s="49" t="s">
        <v>184</v>
      </c>
      <c r="C14" s="49" t="s">
        <v>174</v>
      </c>
      <c r="D14" t="s">
        <v>183</v>
      </c>
      <c r="E14" s="50">
        <v>300</v>
      </c>
      <c r="F14" s="70"/>
      <c r="G14" s="42">
        <v>310</v>
      </c>
    </row>
    <row r="15" spans="1:10" x14ac:dyDescent="0.3">
      <c r="A15" s="60">
        <v>45703</v>
      </c>
      <c r="B15" s="54" t="s">
        <v>217</v>
      </c>
      <c r="C15" s="54" t="s">
        <v>174</v>
      </c>
      <c r="D15" s="55" t="s">
        <v>183</v>
      </c>
      <c r="E15" s="56"/>
      <c r="F15" s="71">
        <v>300</v>
      </c>
      <c r="G15" s="57">
        <v>10</v>
      </c>
      <c r="H15" s="55">
        <v>300</v>
      </c>
      <c r="I15" s="55" t="s">
        <v>209</v>
      </c>
      <c r="J15" s="55"/>
    </row>
    <row r="16" spans="1:10" x14ac:dyDescent="0.3">
      <c r="A16" s="61">
        <v>45716</v>
      </c>
      <c r="B16" s="49" t="s">
        <v>184</v>
      </c>
      <c r="C16" s="49" t="s">
        <v>175</v>
      </c>
      <c r="D16" t="s">
        <v>183</v>
      </c>
      <c r="E16" s="41">
        <v>300</v>
      </c>
      <c r="F16" s="70"/>
      <c r="G16" s="42">
        <v>310</v>
      </c>
    </row>
    <row r="17" spans="1:10" x14ac:dyDescent="0.3">
      <c r="A17" s="60">
        <v>45729</v>
      </c>
      <c r="B17" s="54" t="s">
        <v>218</v>
      </c>
      <c r="C17" s="54" t="s">
        <v>175</v>
      </c>
      <c r="D17" s="55" t="s">
        <v>183</v>
      </c>
      <c r="E17" s="71"/>
      <c r="F17" s="74">
        <v>300</v>
      </c>
      <c r="G17" s="57">
        <v>10</v>
      </c>
      <c r="H17" s="55">
        <v>300</v>
      </c>
      <c r="I17" s="55" t="s">
        <v>209</v>
      </c>
      <c r="J17" s="55"/>
    </row>
    <row r="18" spans="1:10" x14ac:dyDescent="0.3">
      <c r="A18" s="61">
        <v>45747</v>
      </c>
      <c r="B18" s="49" t="s">
        <v>184</v>
      </c>
      <c r="C18" s="49" t="s">
        <v>176</v>
      </c>
      <c r="D18" t="s">
        <v>183</v>
      </c>
      <c r="E18" s="41">
        <v>300</v>
      </c>
      <c r="F18" s="42"/>
      <c r="G18" s="42">
        <v>310</v>
      </c>
    </row>
    <row r="19" spans="1:10" x14ac:dyDescent="0.3">
      <c r="A19" s="60">
        <v>45752</v>
      </c>
      <c r="B19" s="54" t="s">
        <v>219</v>
      </c>
      <c r="C19" s="54" t="s">
        <v>176</v>
      </c>
      <c r="D19" s="55" t="s">
        <v>183</v>
      </c>
      <c r="E19" s="57"/>
      <c r="F19" s="57">
        <v>300</v>
      </c>
      <c r="G19" s="57">
        <v>10</v>
      </c>
      <c r="H19" s="55">
        <v>300</v>
      </c>
      <c r="I19" s="55" t="s">
        <v>209</v>
      </c>
      <c r="J19" s="55"/>
    </row>
    <row r="20" spans="1:10" x14ac:dyDescent="0.3">
      <c r="A20" s="61">
        <v>45777</v>
      </c>
      <c r="B20" s="49" t="s">
        <v>184</v>
      </c>
      <c r="C20" s="49" t="s">
        <v>177</v>
      </c>
      <c r="D20" t="s">
        <v>183</v>
      </c>
      <c r="E20" s="41">
        <v>300</v>
      </c>
      <c r="F20" s="42"/>
      <c r="G20" s="42">
        <v>310</v>
      </c>
    </row>
    <row r="21" spans="1:10" x14ac:dyDescent="0.3">
      <c r="A21" s="69">
        <v>45793</v>
      </c>
      <c r="B21" s="44" t="s">
        <v>220</v>
      </c>
      <c r="C21" s="44" t="s">
        <v>177</v>
      </c>
      <c r="D21" s="45" t="s">
        <v>183</v>
      </c>
      <c r="E21" s="47"/>
      <c r="F21" s="47">
        <v>300</v>
      </c>
      <c r="G21" s="47">
        <v>10</v>
      </c>
      <c r="H21" s="45"/>
      <c r="I21" s="45"/>
      <c r="J21" s="45"/>
    </row>
    <row r="22" spans="1:10" x14ac:dyDescent="0.3">
      <c r="A22" s="61">
        <v>45808</v>
      </c>
      <c r="B22" s="49" t="s">
        <v>184</v>
      </c>
      <c r="C22" s="49" t="s">
        <v>221</v>
      </c>
      <c r="D22" t="s">
        <v>183</v>
      </c>
      <c r="E22" s="41">
        <v>300</v>
      </c>
      <c r="F22" s="42"/>
      <c r="G22" s="42">
        <v>310</v>
      </c>
    </row>
    <row r="23" spans="1:10" x14ac:dyDescent="0.3">
      <c r="A23" s="60">
        <v>45821</v>
      </c>
      <c r="B23" s="54" t="s">
        <v>222</v>
      </c>
      <c r="C23" s="54" t="s">
        <v>221</v>
      </c>
      <c r="D23" s="55" t="s">
        <v>183</v>
      </c>
      <c r="E23" s="57"/>
      <c r="F23" s="57">
        <v>300</v>
      </c>
      <c r="G23" s="57">
        <v>10</v>
      </c>
      <c r="H23" s="55">
        <v>300</v>
      </c>
      <c r="I23" s="55" t="s">
        <v>209</v>
      </c>
      <c r="J23" s="55"/>
    </row>
    <row r="24" spans="1:10" x14ac:dyDescent="0.3">
      <c r="A24" s="61">
        <v>45838</v>
      </c>
      <c r="B24" s="49" t="s">
        <v>184</v>
      </c>
      <c r="C24" s="49" t="s">
        <v>172</v>
      </c>
      <c r="D24" t="s">
        <v>183</v>
      </c>
      <c r="E24" s="41">
        <v>300</v>
      </c>
      <c r="F24" s="70"/>
      <c r="G24" s="42">
        <v>310</v>
      </c>
    </row>
    <row r="25" spans="1:10" x14ac:dyDescent="0.3">
      <c r="A25" s="60">
        <v>45850</v>
      </c>
      <c r="B25" s="54" t="s">
        <v>223</v>
      </c>
      <c r="C25" s="54" t="s">
        <v>206</v>
      </c>
      <c r="D25" s="55" t="s">
        <v>183</v>
      </c>
      <c r="E25" s="71"/>
      <c r="F25" s="71">
        <v>300</v>
      </c>
      <c r="G25" s="57">
        <v>10</v>
      </c>
      <c r="H25" s="55">
        <v>300</v>
      </c>
      <c r="I25" s="55" t="s">
        <v>214</v>
      </c>
      <c r="J25" s="55"/>
    </row>
    <row r="26" spans="1:10" x14ac:dyDescent="0.3">
      <c r="A26" s="61">
        <v>45869</v>
      </c>
      <c r="B26" s="49" t="s">
        <v>184</v>
      </c>
      <c r="C26" s="49" t="s">
        <v>173</v>
      </c>
      <c r="D26" t="s">
        <v>183</v>
      </c>
      <c r="E26" s="41">
        <v>300</v>
      </c>
      <c r="F26" s="70"/>
      <c r="G26" s="42">
        <v>310</v>
      </c>
    </row>
    <row r="27" spans="1:10" x14ac:dyDescent="0.3">
      <c r="A27" s="69">
        <v>45881</v>
      </c>
      <c r="B27" s="44" t="s">
        <v>224</v>
      </c>
      <c r="C27" s="44" t="s">
        <v>173</v>
      </c>
      <c r="D27" s="45" t="s">
        <v>183</v>
      </c>
      <c r="E27" s="72"/>
      <c r="F27" s="72">
        <v>300</v>
      </c>
      <c r="G27" s="47">
        <v>10</v>
      </c>
      <c r="H27" s="45"/>
      <c r="I27" s="45"/>
      <c r="J27" s="45"/>
    </row>
    <row r="28" spans="1:10" x14ac:dyDescent="0.3">
      <c r="A28" s="61">
        <v>45900</v>
      </c>
      <c r="B28" s="49" t="s">
        <v>184</v>
      </c>
      <c r="C28" s="49" t="s">
        <v>170</v>
      </c>
      <c r="D28" t="s">
        <v>183</v>
      </c>
      <c r="E28" s="41">
        <v>300</v>
      </c>
      <c r="F28" s="70"/>
      <c r="G28" s="42">
        <v>310</v>
      </c>
    </row>
    <row r="29" spans="1:10" x14ac:dyDescent="0.3">
      <c r="A29" s="69">
        <v>45910</v>
      </c>
      <c r="B29" s="44" t="s">
        <v>225</v>
      </c>
      <c r="C29" s="44" t="s">
        <v>170</v>
      </c>
      <c r="D29" s="45" t="s">
        <v>183</v>
      </c>
      <c r="E29" s="72"/>
      <c r="F29" s="72">
        <v>300</v>
      </c>
      <c r="G29" s="47">
        <v>10</v>
      </c>
      <c r="H29" s="45"/>
      <c r="I29" s="45"/>
      <c r="J29" s="45"/>
    </row>
    <row r="30" spans="1:10" x14ac:dyDescent="0.3">
      <c r="A30" s="73"/>
      <c r="B30" s="37"/>
      <c r="C30" s="37"/>
      <c r="E30" s="70"/>
      <c r="F30" s="70"/>
      <c r="G30" s="42">
        <v>10</v>
      </c>
    </row>
    <row r="32" spans="1:10" x14ac:dyDescent="0.3">
      <c r="E32" s="70">
        <f>SUM(E1:E29)</f>
        <v>4200</v>
      </c>
      <c r="F32" s="70">
        <f>SUM(F1:F29)</f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ingreso de inquilinos</vt:lpstr>
      <vt:lpstr>Hoja2</vt:lpstr>
      <vt:lpstr>Catillo Zapata Ysael</vt:lpstr>
      <vt:lpstr>Bacilio cayo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PCMYM</dc:creator>
  <cp:lastModifiedBy>cooperativa primero de mayo</cp:lastModifiedBy>
  <cp:lastPrinted>2025-11-27T19:24:46Z</cp:lastPrinted>
  <dcterms:created xsi:type="dcterms:W3CDTF">2025-10-12T18:39:01Z</dcterms:created>
  <dcterms:modified xsi:type="dcterms:W3CDTF">2025-11-27T19:25:57Z</dcterms:modified>
</cp:coreProperties>
</file>