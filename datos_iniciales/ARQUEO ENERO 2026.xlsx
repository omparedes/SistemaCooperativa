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da95182cb3f82b/Desktop/Arqueo 2026/"/>
    </mc:Choice>
  </mc:AlternateContent>
  <xr:revisionPtr revIDLastSave="104" documentId="13_ncr:1_{8B36446C-7EF7-4185-897E-E77635B7C2FC}" xr6:coauthVersionLast="47" xr6:coauthVersionMax="47" xr10:uidLastSave="{F02EE0C4-CEA8-46EC-87D5-99F1B1D18B34}"/>
  <bookViews>
    <workbookView xWindow="2145" yWindow="0" windowWidth="21735" windowHeight="15480" xr2:uid="{CF84B11A-C85A-4AEF-9B79-BBFADD383161}"/>
  </bookViews>
  <sheets>
    <sheet name="Fatima" sheetId="1" r:id="rId1"/>
    <sheet name="contad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H40" i="1"/>
  <c r="I40" i="1"/>
  <c r="J40" i="1"/>
  <c r="K40" i="1"/>
  <c r="N40" i="1"/>
  <c r="O40" i="1"/>
  <c r="P40" i="1"/>
  <c r="Q40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9" i="1"/>
  <c r="R10" i="1"/>
  <c r="R11" i="1"/>
  <c r="R12" i="1"/>
  <c r="R13" i="1"/>
  <c r="R14" i="1"/>
  <c r="R15" i="1"/>
  <c r="F40" i="2"/>
  <c r="G40" i="2"/>
  <c r="H40" i="2"/>
  <c r="I40" i="2"/>
  <c r="L40" i="2"/>
  <c r="N40" i="2"/>
  <c r="T40" i="1"/>
  <c r="V40" i="1"/>
  <c r="AB40" i="1"/>
  <c r="Y40" i="2"/>
  <c r="W40" i="2"/>
  <c r="V40" i="2"/>
  <c r="U40" i="2"/>
  <c r="T40" i="2"/>
  <c r="S40" i="2"/>
  <c r="Q40" i="2"/>
  <c r="E40" i="2"/>
  <c r="C40" i="2"/>
  <c r="B40" i="2"/>
  <c r="R39" i="2"/>
  <c r="J39" i="2"/>
  <c r="K39" i="2" s="1"/>
  <c r="M39" i="2" s="1"/>
  <c r="R38" i="2"/>
  <c r="J38" i="2"/>
  <c r="D38" i="2"/>
  <c r="R37" i="2"/>
  <c r="J37" i="2"/>
  <c r="D37" i="2"/>
  <c r="K37" i="2" s="1"/>
  <c r="M37" i="2" s="1"/>
  <c r="R36" i="2"/>
  <c r="J36" i="2"/>
  <c r="D36" i="2"/>
  <c r="R35" i="2"/>
  <c r="J35" i="2"/>
  <c r="D35" i="2"/>
  <c r="R34" i="2"/>
  <c r="J34" i="2"/>
  <c r="D34" i="2"/>
  <c r="R33" i="2"/>
  <c r="J33" i="2"/>
  <c r="D33" i="2"/>
  <c r="K33" i="2" s="1"/>
  <c r="M33" i="2" s="1"/>
  <c r="J32" i="2"/>
  <c r="D32" i="2"/>
  <c r="J31" i="2"/>
  <c r="D31" i="2"/>
  <c r="K31" i="2" s="1"/>
  <c r="M31" i="2" s="1"/>
  <c r="J30" i="2"/>
  <c r="D30" i="2"/>
  <c r="R29" i="2"/>
  <c r="J29" i="2"/>
  <c r="D29" i="2"/>
  <c r="R28" i="2"/>
  <c r="J28" i="2"/>
  <c r="D28" i="2"/>
  <c r="R27" i="2"/>
  <c r="J27" i="2"/>
  <c r="D27" i="2"/>
  <c r="R26" i="2"/>
  <c r="J26" i="2"/>
  <c r="D26" i="2"/>
  <c r="R25" i="2"/>
  <c r="J25" i="2"/>
  <c r="D25" i="2"/>
  <c r="R24" i="2"/>
  <c r="J24" i="2"/>
  <c r="D24" i="2"/>
  <c r="R23" i="2"/>
  <c r="J23" i="2"/>
  <c r="D23" i="2"/>
  <c r="R22" i="2"/>
  <c r="J22" i="2"/>
  <c r="D22" i="2"/>
  <c r="K22" i="2" s="1"/>
  <c r="P22" i="2" s="1"/>
  <c r="R21" i="2"/>
  <c r="J21" i="2"/>
  <c r="K21" i="2" s="1"/>
  <c r="R20" i="2"/>
  <c r="J20" i="2"/>
  <c r="D20" i="2"/>
  <c r="R19" i="2"/>
  <c r="J19" i="2"/>
  <c r="D19" i="2"/>
  <c r="R18" i="2"/>
  <c r="J18" i="2"/>
  <c r="D18" i="2"/>
  <c r="R17" i="2"/>
  <c r="J17" i="2"/>
  <c r="D17" i="2"/>
  <c r="R16" i="2"/>
  <c r="J16" i="2"/>
  <c r="D16" i="2"/>
  <c r="R15" i="2"/>
  <c r="J15" i="2"/>
  <c r="D15" i="2"/>
  <c r="K15" i="2" s="1"/>
  <c r="R14" i="2"/>
  <c r="J14" i="2"/>
  <c r="D14" i="2"/>
  <c r="R13" i="2"/>
  <c r="J13" i="2"/>
  <c r="K13" i="2" s="1"/>
  <c r="D13" i="2"/>
  <c r="R12" i="2"/>
  <c r="J12" i="2"/>
  <c r="D12" i="2"/>
  <c r="K12" i="2" s="1"/>
  <c r="R11" i="2"/>
  <c r="J11" i="2"/>
  <c r="D11" i="2"/>
  <c r="R10" i="2"/>
  <c r="J10" i="2"/>
  <c r="K10" i="2" s="1"/>
  <c r="D10" i="2"/>
  <c r="R9" i="2"/>
  <c r="J9" i="2"/>
  <c r="D9" i="2"/>
  <c r="Z28" i="1"/>
  <c r="Z29" i="1"/>
  <c r="Z25" i="1"/>
  <c r="Z26" i="1"/>
  <c r="Z27" i="1"/>
  <c r="M40" i="1"/>
  <c r="Z24" i="1"/>
  <c r="Z23" i="1"/>
  <c r="Z22" i="1"/>
  <c r="L40" i="1"/>
  <c r="F40" i="1"/>
  <c r="Z21" i="1"/>
  <c r="AC40" i="1"/>
  <c r="AD40" i="1"/>
  <c r="AE40" i="1"/>
  <c r="AA40" i="1"/>
  <c r="M21" i="2" l="1"/>
  <c r="P21" i="2"/>
  <c r="K30" i="2"/>
  <c r="M30" i="2" s="1"/>
  <c r="K32" i="2"/>
  <c r="K27" i="2"/>
  <c r="K19" i="2"/>
  <c r="M19" i="2" s="1"/>
  <c r="K9" i="2"/>
  <c r="P9" i="2" s="1"/>
  <c r="K24" i="2"/>
  <c r="M24" i="2" s="1"/>
  <c r="K26" i="2"/>
  <c r="K16" i="2"/>
  <c r="P16" i="2" s="1"/>
  <c r="K23" i="2"/>
  <c r="P23" i="2" s="1"/>
  <c r="K14" i="2"/>
  <c r="P14" i="2" s="1"/>
  <c r="K25" i="2"/>
  <c r="P25" i="2" s="1"/>
  <c r="K35" i="2"/>
  <c r="M35" i="2" s="1"/>
  <c r="J40" i="2"/>
  <c r="K36" i="2"/>
  <c r="K34" i="2"/>
  <c r="P34" i="2" s="1"/>
  <c r="D40" i="2"/>
  <c r="K38" i="2"/>
  <c r="P38" i="2" s="1"/>
  <c r="R40" i="2"/>
  <c r="K29" i="2"/>
  <c r="M29" i="2" s="1"/>
  <c r="K28" i="2"/>
  <c r="M27" i="2"/>
  <c r="P27" i="2"/>
  <c r="K18" i="2"/>
  <c r="P18" i="2" s="1"/>
  <c r="K17" i="2"/>
  <c r="P17" i="2" s="1"/>
  <c r="K20" i="2"/>
  <c r="P13" i="2"/>
  <c r="M13" i="2"/>
  <c r="P30" i="2"/>
  <c r="P10" i="2"/>
  <c r="M10" i="2"/>
  <c r="P32" i="2"/>
  <c r="M32" i="2"/>
  <c r="P36" i="2"/>
  <c r="M36" i="2"/>
  <c r="M15" i="2"/>
  <c r="P15" i="2"/>
  <c r="P19" i="2"/>
  <c r="M12" i="2"/>
  <c r="P12" i="2"/>
  <c r="P20" i="2"/>
  <c r="M20" i="2"/>
  <c r="P26" i="2"/>
  <c r="M26" i="2"/>
  <c r="P33" i="2"/>
  <c r="P35" i="2"/>
  <c r="P37" i="2"/>
  <c r="P31" i="2"/>
  <c r="K11" i="2"/>
  <c r="M22" i="2"/>
  <c r="M25" i="2"/>
  <c r="S21" i="1"/>
  <c r="AH40" i="1"/>
  <c r="AF40" i="1"/>
  <c r="Y40" i="1"/>
  <c r="E40" i="1"/>
  <c r="C40" i="1"/>
  <c r="B40" i="1"/>
  <c r="Z39" i="1"/>
  <c r="S39" i="1"/>
  <c r="Z38" i="1"/>
  <c r="D38" i="1"/>
  <c r="S38" i="1" s="1"/>
  <c r="Z37" i="1"/>
  <c r="D37" i="1"/>
  <c r="S37" i="1" s="1"/>
  <c r="Z36" i="1"/>
  <c r="D36" i="1"/>
  <c r="Z35" i="1"/>
  <c r="D35" i="1"/>
  <c r="Z34" i="1"/>
  <c r="D34" i="1"/>
  <c r="Z33" i="1"/>
  <c r="D33" i="1"/>
  <c r="D32" i="1"/>
  <c r="D31" i="1"/>
  <c r="D30" i="1"/>
  <c r="D29" i="1"/>
  <c r="D28" i="1"/>
  <c r="D27" i="1"/>
  <c r="D26" i="1"/>
  <c r="D25" i="1"/>
  <c r="D24" i="1"/>
  <c r="D23" i="1"/>
  <c r="D22" i="1"/>
  <c r="Z20" i="1"/>
  <c r="D20" i="1"/>
  <c r="Z19" i="1"/>
  <c r="D19" i="1"/>
  <c r="Z18" i="1"/>
  <c r="D18" i="1"/>
  <c r="Z17" i="1"/>
  <c r="D17" i="1"/>
  <c r="Z16" i="1"/>
  <c r="D16" i="1"/>
  <c r="Z15" i="1"/>
  <c r="D15" i="1"/>
  <c r="Z14" i="1"/>
  <c r="D14" i="1"/>
  <c r="Z13" i="1"/>
  <c r="D13" i="1"/>
  <c r="S13" i="1" s="1"/>
  <c r="U13" i="1" s="1"/>
  <c r="Z12" i="1"/>
  <c r="D12" i="1"/>
  <c r="Z11" i="1"/>
  <c r="D11" i="1"/>
  <c r="Z10" i="1"/>
  <c r="D10" i="1"/>
  <c r="Z9" i="1"/>
  <c r="D9" i="1"/>
  <c r="M14" i="2" l="1"/>
  <c r="M23" i="2"/>
  <c r="M9" i="2"/>
  <c r="M16" i="2"/>
  <c r="P29" i="2"/>
  <c r="P24" i="2"/>
  <c r="K40" i="2"/>
  <c r="P28" i="2"/>
  <c r="M28" i="2"/>
  <c r="M38" i="2"/>
  <c r="M34" i="2"/>
  <c r="M40" i="2" s="1"/>
  <c r="U39" i="1"/>
  <c r="X39" i="1"/>
  <c r="M18" i="2"/>
  <c r="M17" i="2"/>
  <c r="X9" i="2"/>
  <c r="X10" i="2" s="1"/>
  <c r="O9" i="2"/>
  <c r="O10" i="2" s="1"/>
  <c r="P11" i="2"/>
  <c r="M11" i="2"/>
  <c r="P40" i="2"/>
  <c r="S26" i="1"/>
  <c r="X26" i="1" s="1"/>
  <c r="S33" i="1"/>
  <c r="U33" i="1" s="1"/>
  <c r="R40" i="1"/>
  <c r="S27" i="1"/>
  <c r="X27" i="1" s="1"/>
  <c r="S32" i="1"/>
  <c r="X32" i="1" s="1"/>
  <c r="S16" i="1"/>
  <c r="U16" i="1" s="1"/>
  <c r="S34" i="1"/>
  <c r="U34" i="1" s="1"/>
  <c r="S35" i="1"/>
  <c r="X35" i="1" s="1"/>
  <c r="S24" i="1"/>
  <c r="U24" i="1" s="1"/>
  <c r="S19" i="1"/>
  <c r="X19" i="1" s="1"/>
  <c r="S30" i="1"/>
  <c r="X30" i="1" s="1"/>
  <c r="S11" i="1"/>
  <c r="U11" i="1" s="1"/>
  <c r="S15" i="1"/>
  <c r="U15" i="1" s="1"/>
  <c r="S29" i="1"/>
  <c r="X29" i="1" s="1"/>
  <c r="S17" i="1"/>
  <c r="X17" i="1" s="1"/>
  <c r="Z40" i="1"/>
  <c r="S12" i="1"/>
  <c r="X12" i="1" s="1"/>
  <c r="S14" i="1"/>
  <c r="X14" i="1" s="1"/>
  <c r="S18" i="1"/>
  <c r="X18" i="1" s="1"/>
  <c r="S36" i="1"/>
  <c r="U36" i="1" s="1"/>
  <c r="X13" i="1"/>
  <c r="S28" i="1"/>
  <c r="U28" i="1" s="1"/>
  <c r="S31" i="1"/>
  <c r="X31" i="1" s="1"/>
  <c r="S10" i="1"/>
  <c r="X10" i="1" s="1"/>
  <c r="U37" i="1"/>
  <c r="X37" i="1"/>
  <c r="D40" i="1"/>
  <c r="U35" i="1"/>
  <c r="X38" i="1"/>
  <c r="U38" i="1"/>
  <c r="X16" i="1"/>
  <c r="X21" i="1"/>
  <c r="U21" i="1"/>
  <c r="S25" i="1"/>
  <c r="S9" i="1"/>
  <c r="S23" i="1"/>
  <c r="S20" i="1"/>
  <c r="S22" i="1"/>
  <c r="X33" i="1" l="1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X11" i="2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34" i="1"/>
  <c r="U32" i="1"/>
  <c r="U27" i="1"/>
  <c r="U26" i="1"/>
  <c r="X24" i="1"/>
  <c r="S40" i="1"/>
  <c r="X11" i="1"/>
  <c r="X15" i="1"/>
  <c r="U30" i="1"/>
  <c r="U19" i="1"/>
  <c r="U29" i="1"/>
  <c r="X36" i="1"/>
  <c r="U18" i="1"/>
  <c r="U17" i="1"/>
  <c r="U14" i="1"/>
  <c r="U12" i="1"/>
  <c r="U31" i="1"/>
  <c r="U10" i="1"/>
  <c r="X28" i="1"/>
  <c r="X20" i="1"/>
  <c r="U20" i="1"/>
  <c r="X23" i="1"/>
  <c r="U23" i="1"/>
  <c r="U25" i="1"/>
  <c r="X25" i="1"/>
  <c r="U22" i="1"/>
  <c r="X22" i="1"/>
  <c r="X9" i="1"/>
  <c r="U9" i="1"/>
  <c r="W9" i="1" s="1"/>
  <c r="W10" i="1" l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U40" i="1"/>
  <c r="X40" i="1"/>
  <c r="AG9" i="1"/>
  <c r="AG10" i="1" l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l="1"/>
  <c r="AG37" i="1" s="1"/>
  <c r="AG38" i="1" s="1"/>
  <c r="AG39" i="1" s="1"/>
</calcChain>
</file>

<file path=xl/sharedStrings.xml><?xml version="1.0" encoding="utf-8"?>
<sst xmlns="http://schemas.openxmlformats.org/spreadsheetml/2006/main" count="78" uniqueCount="46">
  <si>
    <t>COOPERATIVA DE SERVICIOS ESPECIALES PRIMERO DE MAYO LTDA</t>
  </si>
  <si>
    <t>FÁTIMA</t>
  </si>
  <si>
    <t>ARQUEO MES DE DICIEMBRE AL 31-12-2025</t>
  </si>
  <si>
    <t>MES DE JUNIO</t>
  </si>
  <si>
    <t>TATIANA</t>
  </si>
  <si>
    <t>FATIMA</t>
  </si>
  <si>
    <t>FECHA</t>
  </si>
  <si>
    <t xml:space="preserve">COBRADOR - </t>
  </si>
  <si>
    <t>TOTAL COBRADOR</t>
  </si>
  <si>
    <t>SECRETARIA</t>
  </si>
  <si>
    <t>EGRESO</t>
  </si>
  <si>
    <t>SALDO DIARIO DE CAJA</t>
  </si>
  <si>
    <t>SALDO ACUM. CAJA. FÁTIMA</t>
  </si>
  <si>
    <t>SALDO ACUM. TOTAL</t>
  </si>
  <si>
    <t>SOCIOS</t>
  </si>
  <si>
    <t>INQUILINOS</t>
  </si>
  <si>
    <t>SS.HH 1er PISO</t>
  </si>
  <si>
    <t>Deposito en el QR</t>
  </si>
  <si>
    <t>INGRESO CAJA Y BANCO</t>
  </si>
  <si>
    <t>GASTO DE LA CTA. CTE.</t>
  </si>
  <si>
    <t>GASTO CAJA Y BANCO</t>
  </si>
  <si>
    <t>BOVEDA PRESIDENTE</t>
  </si>
  <si>
    <t>LIMOSNA STA ROSA</t>
  </si>
  <si>
    <t>DEPOSITO AL BANCO</t>
  </si>
  <si>
    <t>DOLARES</t>
  </si>
  <si>
    <t>EF. Fátima</t>
  </si>
  <si>
    <t>ACTIVIDAD SATA ROSA 2024</t>
  </si>
  <si>
    <t>ACTIVIDAD SATA ROSA 2025</t>
  </si>
  <si>
    <t>TICKET</t>
  </si>
  <si>
    <t>OTROS</t>
  </si>
  <si>
    <t>TOTAL. INGR. OFICINA</t>
  </si>
  <si>
    <t>TOTAL INGRESO SECRETARIA</t>
  </si>
  <si>
    <t>PARQUEO</t>
  </si>
  <si>
    <t xml:space="preserve"> </t>
  </si>
  <si>
    <t>salida  de boveda por fallecimieto umbelina flores</t>
  </si>
  <si>
    <t>ARQUEO MES DE ENERO AL 31-1-2026</t>
  </si>
  <si>
    <t>Saldo Boveda</t>
  </si>
  <si>
    <t>Alquiler</t>
  </si>
  <si>
    <t>Espacio</t>
  </si>
  <si>
    <t>Alquiler 2do piso</t>
  </si>
  <si>
    <t>Deposito</t>
  </si>
  <si>
    <t>luz</t>
  </si>
  <si>
    <t>agua</t>
  </si>
  <si>
    <t>talonario</t>
  </si>
  <si>
    <t>reconeccion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</si>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</sst>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0" borderId="0" xfId="2" applyFont="1" applyFill="1" applyAlignment="1">
      <alignment horizont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3" fontId="3" fillId="0" borderId="13" xfId="2" applyFont="1" applyFill="1" applyBorder="1" applyAlignment="1">
      <alignment horizontal="center" vertical="center" wrapText="1"/>
    </xf>
    <xf numFmtId="43" fontId="3" fillId="0" borderId="14" xfId="2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8" xfId="0" applyBorder="1"/>
    <xf numFmtId="0" fontId="5" fillId="0" borderId="19" xfId="0" applyFont="1" applyBorder="1"/>
    <xf numFmtId="43" fontId="5" fillId="0" borderId="19" xfId="2" applyFont="1" applyFill="1" applyBorder="1"/>
    <xf numFmtId="43" fontId="3" fillId="0" borderId="19" xfId="2" applyFont="1" applyFill="1" applyBorder="1"/>
    <xf numFmtId="43" fontId="8" fillId="0" borderId="19" xfId="2" applyFont="1" applyFill="1" applyBorder="1"/>
    <xf numFmtId="43" fontId="9" fillId="0" borderId="18" xfId="2" applyFont="1" applyFill="1" applyBorder="1"/>
    <xf numFmtId="43" fontId="0" fillId="0" borderId="18" xfId="0" applyNumberFormat="1" applyBorder="1"/>
    <xf numFmtId="43" fontId="9" fillId="0" borderId="20" xfId="2" applyFont="1" applyFill="1" applyBorder="1"/>
    <xf numFmtId="14" fontId="10" fillId="0" borderId="18" xfId="0" applyNumberFormat="1" applyFont="1" applyBorder="1"/>
    <xf numFmtId="43" fontId="11" fillId="0" borderId="18" xfId="2" applyFont="1" applyFill="1" applyBorder="1"/>
    <xf numFmtId="43" fontId="12" fillId="0" borderId="18" xfId="2" applyFont="1" applyFill="1" applyBorder="1"/>
    <xf numFmtId="43" fontId="5" fillId="0" borderId="0" xfId="1" applyFont="1"/>
    <xf numFmtId="43" fontId="12" fillId="2" borderId="18" xfId="2" applyFont="1" applyFill="1" applyBorder="1"/>
    <xf numFmtId="43" fontId="13" fillId="0" borderId="18" xfId="0" applyNumberFormat="1" applyFont="1" applyBorder="1"/>
    <xf numFmtId="43" fontId="12" fillId="0" borderId="18" xfId="1" applyFont="1" applyFill="1" applyBorder="1"/>
    <xf numFmtId="43" fontId="14" fillId="0" borderId="18" xfId="2" applyFont="1" applyFill="1" applyBorder="1"/>
    <xf numFmtId="43" fontId="10" fillId="0" borderId="18" xfId="2" applyFont="1" applyFill="1" applyBorder="1"/>
    <xf numFmtId="43" fontId="0" fillId="0" borderId="0" xfId="1" applyFont="1"/>
    <xf numFmtId="43" fontId="13" fillId="0" borderId="0" xfId="1" applyFont="1"/>
    <xf numFmtId="43" fontId="12" fillId="0" borderId="20" xfId="2" applyFont="1" applyFill="1" applyBorder="1"/>
    <xf numFmtId="43" fontId="13" fillId="0" borderId="21" xfId="0" applyNumberFormat="1" applyFont="1" applyBorder="1"/>
    <xf numFmtId="43" fontId="13" fillId="0" borderId="22" xfId="0" applyNumberFormat="1" applyFont="1" applyBorder="1"/>
    <xf numFmtId="43" fontId="12" fillId="2" borderId="19" xfId="2" applyFont="1" applyFill="1" applyBorder="1"/>
    <xf numFmtId="43" fontId="12" fillId="0" borderId="19" xfId="2" applyFont="1" applyFill="1" applyBorder="1"/>
    <xf numFmtId="43" fontId="13" fillId="0" borderId="0" xfId="0" applyNumberFormat="1" applyFont="1"/>
    <xf numFmtId="0" fontId="13" fillId="0" borderId="0" xfId="0" applyFont="1"/>
    <xf numFmtId="0" fontId="3" fillId="0" borderId="14" xfId="0" applyFont="1" applyBorder="1" applyAlignment="1">
      <alignment horizontal="center" vertical="center" wrapText="1"/>
    </xf>
    <xf numFmtId="43" fontId="3" fillId="0" borderId="14" xfId="2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3" fillId="0" borderId="18" xfId="0" applyFont="1" applyBorder="1"/>
    <xf numFmtId="43" fontId="13" fillId="0" borderId="18" xfId="1" applyFont="1" applyBorder="1"/>
    <xf numFmtId="43" fontId="12" fillId="0" borderId="0" xfId="2" applyFont="1" applyFill="1" applyBorder="1"/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3" fontId="3" fillId="0" borderId="9" xfId="2" applyFont="1" applyFill="1" applyBorder="1" applyAlignment="1">
      <alignment horizontal="center" vertical="center" wrapText="1"/>
    </xf>
    <xf numFmtId="43" fontId="3" fillId="0" borderId="14" xfId="2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5" fillId="0" borderId="0" xfId="2" applyFont="1" applyFill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3" fontId="3" fillId="0" borderId="6" xfId="2" applyFont="1" applyFill="1" applyBorder="1" applyAlignment="1">
      <alignment horizontal="center" vertical="center" wrapText="1"/>
    </xf>
    <xf numFmtId="43" fontId="3" fillId="0" borderId="7" xfId="2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43" fontId="5" fillId="0" borderId="23" xfId="2" applyFont="1" applyFill="1" applyBorder="1" applyAlignment="1">
      <alignment horizontal="center"/>
    </xf>
    <xf numFmtId="43" fontId="5" fillId="0" borderId="24" xfId="2" applyFont="1" applyFill="1" applyBorder="1" applyAlignment="1">
      <alignment horizontal="center"/>
    </xf>
    <xf numFmtId="43" fontId="5" fillId="0" borderId="25" xfId="2" applyFont="1" applyFill="1" applyBorder="1" applyAlignment="1">
      <alignment horizontal="center"/>
    </xf>
  </cellXfs>
  <cellStyles count="3">
    <cellStyle name="Millares" xfId="1" builtinId="3"/>
    <cellStyle name="Millares 2" xfId="2" xr:uid="{2BC10FBE-C6F0-4E8D-9DF0-F852E5E2189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A8EA-CF3F-4AE0-AD53-D34F4D281C54}">
  <dimension ref="A1:AI50"/>
  <sheetViews>
    <sheetView tabSelected="1" topLeftCell="E10" workbookViewId="0">
      <selection activeCell="N40" sqref="N40"/>
    </sheetView>
  </sheetViews>
  <sheetFormatPr baseColWidth="10" defaultRowHeight="15" x14ac:dyDescent="0.25"/>
  <cols>
    <col min="1" max="1" width="9" customWidth="1"/>
    <col min="2" max="3" width="8.85546875" customWidth="1"/>
    <col min="4" max="4" width="9.5703125" customWidth="1"/>
    <col min="5" max="5" width="10.28515625" customWidth="1"/>
    <col min="6" max="6" width="10" customWidth="1"/>
    <col min="7" max="7" width="8.42578125" customWidth="1"/>
    <col min="8" max="10" width="7.42578125" customWidth="1"/>
    <col min="11" max="11" width="9.42578125" customWidth="1"/>
    <col min="12" max="12" width="6.7109375" customWidth="1"/>
    <col min="13" max="13" width="7.5703125" customWidth="1"/>
    <col min="14" max="14" width="9.85546875" customWidth="1"/>
    <col min="15" max="15" width="8" customWidth="1"/>
    <col min="16" max="17" width="7.5703125" customWidth="1"/>
    <col min="19" max="19" width="10" customWidth="1"/>
    <col min="20" max="20" width="9" customWidth="1"/>
    <col min="21" max="21" width="10.42578125" customWidth="1"/>
    <col min="22" max="22" width="9.7109375" customWidth="1"/>
    <col min="23" max="23" width="10.85546875" customWidth="1"/>
    <col min="24" max="25" width="9.7109375" customWidth="1"/>
    <col min="26" max="26" width="10.85546875" customWidth="1"/>
    <col min="27" max="28" width="9.5703125" customWidth="1"/>
    <col min="29" max="29" width="8.85546875" customWidth="1"/>
    <col min="30" max="30" width="8.42578125" customWidth="1"/>
    <col min="31" max="31" width="8.7109375" customWidth="1"/>
    <col min="32" max="32" width="9.140625" customWidth="1"/>
    <col min="33" max="33" width="10.85546875" customWidth="1"/>
    <col min="34" max="34" width="10" customWidth="1"/>
  </cols>
  <sheetData>
    <row r="1" spans="1:35" x14ac:dyDescent="0.2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1"/>
      <c r="Y1" s="1"/>
      <c r="Z1" s="1"/>
      <c r="AA1" s="1"/>
      <c r="AB1" s="55"/>
      <c r="AC1" s="1"/>
      <c r="AD1" s="1"/>
      <c r="AE1" s="1"/>
      <c r="AF1" s="1"/>
    </row>
    <row r="2" spans="1:35" ht="15.75" thickBot="1" x14ac:dyDescent="0.3">
      <c r="A2" s="2" t="s">
        <v>1</v>
      </c>
    </row>
    <row r="3" spans="1:35" ht="15.75" thickBot="1" x14ac:dyDescent="0.3">
      <c r="A3" s="69" t="s">
        <v>35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1"/>
      <c r="X3" s="3"/>
      <c r="Y3" s="3"/>
      <c r="Z3" s="3"/>
      <c r="AA3" s="3"/>
      <c r="AB3" s="3"/>
      <c r="AC3" s="3"/>
      <c r="AD3" s="3"/>
      <c r="AE3" s="3"/>
      <c r="AF3" s="3"/>
    </row>
    <row r="4" spans="1:35" x14ac:dyDescent="0.25">
      <c r="A4" s="4"/>
      <c r="B4" s="4"/>
      <c r="C4" s="72" t="s">
        <v>3</v>
      </c>
      <c r="D4" s="72"/>
      <c r="E4" s="7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5" ht="15.75" thickBot="1" x14ac:dyDescent="0.3">
      <c r="B5" s="73" t="s">
        <v>4</v>
      </c>
      <c r="C5" s="73"/>
      <c r="D5" s="6"/>
      <c r="E5" s="7"/>
      <c r="F5" s="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6"/>
      <c r="S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5" ht="15.75" thickBot="1" x14ac:dyDescent="0.3">
      <c r="A6" s="74" t="s">
        <v>6</v>
      </c>
      <c r="B6" s="76" t="s">
        <v>7</v>
      </c>
      <c r="C6" s="77"/>
      <c r="D6" s="78" t="s">
        <v>8</v>
      </c>
      <c r="E6" s="80" t="s">
        <v>9</v>
      </c>
      <c r="F6" s="8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82" t="s">
        <v>31</v>
      </c>
      <c r="S6" s="63" t="s">
        <v>30</v>
      </c>
      <c r="T6" s="61" t="s">
        <v>10</v>
      </c>
      <c r="U6" s="63" t="s">
        <v>11</v>
      </c>
      <c r="V6" s="10"/>
      <c r="W6" s="65" t="s">
        <v>12</v>
      </c>
      <c r="X6" s="11"/>
      <c r="Y6" s="11"/>
      <c r="Z6" s="11"/>
      <c r="AA6" s="12"/>
      <c r="AB6" s="12"/>
      <c r="AC6" s="12"/>
      <c r="AD6" s="12"/>
      <c r="AE6" s="12"/>
      <c r="AF6" s="12"/>
      <c r="AG6" s="65" t="s">
        <v>13</v>
      </c>
    </row>
    <row r="7" spans="1:35" ht="57" thickBot="1" x14ac:dyDescent="0.3">
      <c r="A7" s="75"/>
      <c r="B7" s="13" t="s">
        <v>14</v>
      </c>
      <c r="C7" s="14" t="s">
        <v>15</v>
      </c>
      <c r="D7" s="79"/>
      <c r="E7" s="15" t="s">
        <v>14</v>
      </c>
      <c r="F7" s="17" t="s">
        <v>16</v>
      </c>
      <c r="G7" s="17" t="s">
        <v>41</v>
      </c>
      <c r="H7" s="60" t="s">
        <v>42</v>
      </c>
      <c r="I7" s="60" t="s">
        <v>43</v>
      </c>
      <c r="J7" s="60" t="s">
        <v>44</v>
      </c>
      <c r="K7" s="60" t="s">
        <v>45</v>
      </c>
      <c r="L7" s="17" t="s">
        <v>28</v>
      </c>
      <c r="M7" s="48" t="s">
        <v>32</v>
      </c>
      <c r="N7" s="59" t="s">
        <v>37</v>
      </c>
      <c r="O7" s="59" t="s">
        <v>39</v>
      </c>
      <c r="P7" s="59" t="s">
        <v>38</v>
      </c>
      <c r="Q7" s="59" t="s">
        <v>40</v>
      </c>
      <c r="R7" s="83"/>
      <c r="S7" s="64"/>
      <c r="T7" s="62"/>
      <c r="U7" s="64"/>
      <c r="V7" s="18" t="s">
        <v>17</v>
      </c>
      <c r="W7" s="66"/>
      <c r="X7" s="19" t="s">
        <v>18</v>
      </c>
      <c r="Y7" s="19" t="s">
        <v>19</v>
      </c>
      <c r="Z7" s="19" t="s">
        <v>20</v>
      </c>
      <c r="AA7" s="20" t="s">
        <v>21</v>
      </c>
      <c r="AB7" s="20" t="s">
        <v>34</v>
      </c>
      <c r="AC7" s="20" t="s">
        <v>26</v>
      </c>
      <c r="AD7" s="20" t="s">
        <v>27</v>
      </c>
      <c r="AE7" s="21" t="s">
        <v>22</v>
      </c>
      <c r="AF7" s="21" t="s">
        <v>23</v>
      </c>
      <c r="AG7" s="67"/>
      <c r="AH7" t="s">
        <v>24</v>
      </c>
      <c r="AI7" s="22" t="s">
        <v>25</v>
      </c>
    </row>
    <row r="8" spans="1:35" x14ac:dyDescent="0.25">
      <c r="A8" s="23"/>
      <c r="B8" s="24"/>
      <c r="C8" s="24"/>
      <c r="D8" s="25"/>
      <c r="E8" s="24"/>
      <c r="F8" s="7"/>
      <c r="G8" s="84" t="s">
        <v>15</v>
      </c>
      <c r="H8" s="85"/>
      <c r="I8" s="85"/>
      <c r="J8" s="85"/>
      <c r="K8" s="85"/>
      <c r="L8" s="85"/>
      <c r="M8" s="85"/>
      <c r="N8" s="85"/>
      <c r="O8" s="85"/>
      <c r="P8" s="85"/>
      <c r="Q8" s="86"/>
      <c r="R8" s="25"/>
      <c r="S8" s="24"/>
      <c r="T8" s="24"/>
      <c r="U8" s="24"/>
      <c r="V8" s="24"/>
      <c r="W8" s="26">
        <v>6829.5</v>
      </c>
      <c r="X8" s="26"/>
      <c r="Y8" s="26"/>
      <c r="Z8" s="26"/>
      <c r="AA8" s="27">
        <v>9028.2999999999993</v>
      </c>
      <c r="AB8" s="27" t="s">
        <v>33</v>
      </c>
      <c r="AC8" s="27">
        <v>1221.2</v>
      </c>
      <c r="AD8" s="27">
        <v>7931.4</v>
      </c>
      <c r="AE8" s="27">
        <v>1440.1</v>
      </c>
      <c r="AF8" s="27"/>
      <c r="AG8" s="28">
        <v>26450.5</v>
      </c>
      <c r="AH8" s="29">
        <v>5266</v>
      </c>
    </row>
    <row r="9" spans="1:35" x14ac:dyDescent="0.25">
      <c r="A9" s="30">
        <v>46023</v>
      </c>
      <c r="B9" s="31"/>
      <c r="C9" s="32"/>
      <c r="D9" s="31">
        <f>SUM(B9+C9)</f>
        <v>0</v>
      </c>
      <c r="F9" s="33">
        <v>1040.5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1">
        <f>SUM(E9:Q9)</f>
        <v>1040.5</v>
      </c>
      <c r="S9" s="32">
        <f>SUM(D9+R9)</f>
        <v>1040.5</v>
      </c>
      <c r="T9" s="32"/>
      <c r="U9" s="32">
        <f t="shared" ref="U9:U39" si="0">SUM(S9-T9)</f>
        <v>1040.5</v>
      </c>
      <c r="V9" s="32"/>
      <c r="W9" s="26">
        <f t="shared" ref="W9:W39" si="1">SUM(W8+U9-AA9)</f>
        <v>7870</v>
      </c>
      <c r="X9" s="34">
        <f>SUM(S9+V9)</f>
        <v>1040.5</v>
      </c>
      <c r="Y9" s="32"/>
      <c r="Z9" s="34">
        <f>SUM(T9+Y9)</f>
        <v>0</v>
      </c>
      <c r="AA9" s="32"/>
      <c r="AB9" s="32"/>
      <c r="AC9" s="32"/>
      <c r="AD9" s="32"/>
      <c r="AE9" s="32"/>
      <c r="AF9" s="27"/>
      <c r="AG9" s="35">
        <f>SUM(AG8+U9)</f>
        <v>27491</v>
      </c>
    </row>
    <row r="10" spans="1:35" x14ac:dyDescent="0.25">
      <c r="A10" s="30">
        <v>46024</v>
      </c>
      <c r="B10" s="32">
        <v>466</v>
      </c>
      <c r="C10" s="32">
        <v>1035</v>
      </c>
      <c r="D10" s="31">
        <f>SUM(B10+C10)</f>
        <v>1501</v>
      </c>
      <c r="E10" s="32">
        <v>190.7</v>
      </c>
      <c r="F10" s="32">
        <v>301.5</v>
      </c>
      <c r="G10" s="32">
        <v>44</v>
      </c>
      <c r="H10" s="32">
        <v>5</v>
      </c>
      <c r="I10" s="32"/>
      <c r="J10" s="32"/>
      <c r="K10" s="32"/>
      <c r="L10" s="32"/>
      <c r="M10" s="32"/>
      <c r="N10" s="32">
        <v>400</v>
      </c>
      <c r="O10" s="32"/>
      <c r="P10" s="32"/>
      <c r="Q10" s="32"/>
      <c r="R10" s="31">
        <f>SUM(E10:Q10)</f>
        <v>941.2</v>
      </c>
      <c r="S10" s="32">
        <f>SUM(D10+R10)</f>
        <v>2442.1999999999998</v>
      </c>
      <c r="T10" s="32"/>
      <c r="U10" s="32">
        <f t="shared" si="0"/>
        <v>2442.1999999999998</v>
      </c>
      <c r="V10" s="32"/>
      <c r="W10" s="26">
        <f t="shared" si="1"/>
        <v>10312.200000000001</v>
      </c>
      <c r="X10" s="34">
        <f t="shared" ref="X10:X39" si="2">SUM(S10+V10)</f>
        <v>2442.1999999999998</v>
      </c>
      <c r="Y10" s="32"/>
      <c r="Z10" s="34">
        <f t="shared" ref="Z10:Z39" si="3">SUM(T10+Y10)</f>
        <v>0</v>
      </c>
      <c r="AA10" s="32"/>
      <c r="AB10" s="32"/>
      <c r="AC10" s="32"/>
      <c r="AD10" s="32"/>
      <c r="AE10" s="32"/>
      <c r="AF10" s="27"/>
      <c r="AG10" s="35">
        <f t="shared" ref="AG10:AG26" si="4">SUM(AG9+U10)</f>
        <v>29933.200000000001</v>
      </c>
    </row>
    <row r="11" spans="1:35" x14ac:dyDescent="0.25">
      <c r="A11" s="30">
        <v>46025</v>
      </c>
      <c r="B11" s="32"/>
      <c r="C11" s="32"/>
      <c r="D11" s="31">
        <f t="shared" ref="D11:D38" si="5">SUM(B11+C11)</f>
        <v>0</v>
      </c>
      <c r="E11" s="32">
        <v>56.8</v>
      </c>
      <c r="F11" s="32">
        <v>461</v>
      </c>
      <c r="G11" s="27"/>
      <c r="H11" s="27"/>
      <c r="I11" s="27"/>
      <c r="J11" s="27"/>
      <c r="K11" s="27"/>
      <c r="L11" s="27">
        <v>32</v>
      </c>
      <c r="M11" s="27"/>
      <c r="N11" s="27"/>
      <c r="O11" s="27"/>
      <c r="P11" s="27"/>
      <c r="Q11" s="27"/>
      <c r="R11" s="31">
        <f>SUM(E11:Q11)</f>
        <v>549.79999999999995</v>
      </c>
      <c r="S11" s="27">
        <f>SUM(D11+R11)</f>
        <v>549.79999999999995</v>
      </c>
      <c r="T11" s="37"/>
      <c r="U11" s="32">
        <f t="shared" si="0"/>
        <v>549.79999999999995</v>
      </c>
      <c r="V11" s="32">
        <v>644.9</v>
      </c>
      <c r="W11" s="26">
        <f t="shared" si="1"/>
        <v>10862</v>
      </c>
      <c r="X11" s="34">
        <f t="shared" si="2"/>
        <v>1194.6999999999998</v>
      </c>
      <c r="Y11" s="32"/>
      <c r="Z11" s="34">
        <f t="shared" si="3"/>
        <v>0</v>
      </c>
      <c r="AA11" s="32"/>
      <c r="AB11" s="32"/>
      <c r="AC11" s="32"/>
      <c r="AD11" s="32"/>
      <c r="AE11" s="32"/>
      <c r="AF11" s="27"/>
      <c r="AG11" s="35">
        <f t="shared" si="4"/>
        <v>30483</v>
      </c>
    </row>
    <row r="12" spans="1:35" x14ac:dyDescent="0.25">
      <c r="A12" s="30">
        <v>46026</v>
      </c>
      <c r="B12" s="32"/>
      <c r="C12" s="32"/>
      <c r="D12" s="31">
        <f t="shared" si="5"/>
        <v>0</v>
      </c>
      <c r="E12" s="32"/>
      <c r="F12" s="32">
        <v>497</v>
      </c>
      <c r="G12" s="32"/>
      <c r="H12" s="32"/>
      <c r="I12" s="32"/>
      <c r="J12" s="32"/>
      <c r="K12" s="32"/>
      <c r="L12" s="32">
        <v>6</v>
      </c>
      <c r="M12" s="32"/>
      <c r="N12" s="32"/>
      <c r="O12" s="32"/>
      <c r="P12" s="32"/>
      <c r="Q12" s="32"/>
      <c r="R12" s="31">
        <f>SUM(E12:Q12)</f>
        <v>503</v>
      </c>
      <c r="S12" s="32">
        <f>SUM(D12+R12)</f>
        <v>503</v>
      </c>
      <c r="T12" s="32"/>
      <c r="U12" s="32">
        <f t="shared" si="0"/>
        <v>503</v>
      </c>
      <c r="V12" s="32"/>
      <c r="W12" s="26">
        <f t="shared" si="1"/>
        <v>11365</v>
      </c>
      <c r="X12" s="34">
        <f t="shared" si="2"/>
        <v>503</v>
      </c>
      <c r="Y12" s="32"/>
      <c r="Z12" s="34">
        <f t="shared" si="3"/>
        <v>0</v>
      </c>
      <c r="AA12" s="32"/>
      <c r="AB12" s="32"/>
      <c r="AC12" s="32"/>
      <c r="AD12" s="32"/>
      <c r="AE12" s="32"/>
      <c r="AF12" s="27"/>
      <c r="AG12" s="35">
        <f t="shared" si="4"/>
        <v>30986</v>
      </c>
    </row>
    <row r="13" spans="1:35" x14ac:dyDescent="0.25">
      <c r="A13" s="30">
        <v>46027</v>
      </c>
      <c r="B13" s="32"/>
      <c r="C13" s="32"/>
      <c r="D13" s="31">
        <f t="shared" si="5"/>
        <v>0</v>
      </c>
      <c r="E13" s="32">
        <v>1577.9</v>
      </c>
      <c r="F13" s="32">
        <v>396</v>
      </c>
      <c r="G13" s="27">
        <v>56.9</v>
      </c>
      <c r="H13" s="27">
        <v>36</v>
      </c>
      <c r="I13" s="27"/>
      <c r="J13" s="27"/>
      <c r="K13" s="27"/>
      <c r="L13" s="27"/>
      <c r="M13" s="27"/>
      <c r="N13" s="27">
        <v>2820</v>
      </c>
      <c r="O13" s="27"/>
      <c r="P13" s="27"/>
      <c r="Q13" s="27"/>
      <c r="R13" s="31">
        <f>SUM(E13:Q13)</f>
        <v>4886.8</v>
      </c>
      <c r="S13" s="32">
        <f>SUM(D13+R13)</f>
        <v>4886.8</v>
      </c>
      <c r="T13" s="32">
        <v>285.5</v>
      </c>
      <c r="U13" s="32">
        <f t="shared" si="0"/>
        <v>4601.3</v>
      </c>
      <c r="V13" s="32">
        <v>1201</v>
      </c>
      <c r="W13" s="26">
        <f t="shared" si="1"/>
        <v>15966.3</v>
      </c>
      <c r="X13" s="34">
        <f t="shared" si="2"/>
        <v>6087.8</v>
      </c>
      <c r="Y13" s="32"/>
      <c r="Z13" s="34">
        <f t="shared" si="3"/>
        <v>285.5</v>
      </c>
      <c r="AA13" s="27"/>
      <c r="AB13" s="27"/>
      <c r="AC13" s="27"/>
      <c r="AD13" s="27"/>
      <c r="AE13" s="27"/>
      <c r="AF13" s="27"/>
      <c r="AG13" s="35">
        <f t="shared" si="4"/>
        <v>35587.300000000003</v>
      </c>
    </row>
    <row r="14" spans="1:35" x14ac:dyDescent="0.25">
      <c r="A14" s="30">
        <v>46028</v>
      </c>
      <c r="B14" s="32"/>
      <c r="C14" s="32"/>
      <c r="D14" s="31">
        <f t="shared" si="5"/>
        <v>0</v>
      </c>
      <c r="E14" s="32">
        <v>141</v>
      </c>
      <c r="F14" s="32">
        <v>503</v>
      </c>
      <c r="G14" s="32">
        <v>39.9</v>
      </c>
      <c r="H14" s="32">
        <v>21</v>
      </c>
      <c r="I14" s="32"/>
      <c r="J14" s="32"/>
      <c r="K14" s="32"/>
      <c r="L14" s="32"/>
      <c r="M14" s="32"/>
      <c r="N14" s="32">
        <v>1900</v>
      </c>
      <c r="O14" s="32"/>
      <c r="P14" s="32"/>
      <c r="Q14" s="32"/>
      <c r="R14" s="31">
        <f>SUM(E14:Q14)</f>
        <v>2604.9</v>
      </c>
      <c r="S14" s="32">
        <f>SUM(D14+R14)</f>
        <v>2604.9</v>
      </c>
      <c r="T14" s="32">
        <v>954.6</v>
      </c>
      <c r="U14" s="32">
        <f t="shared" si="0"/>
        <v>1650.3000000000002</v>
      </c>
      <c r="V14" s="32">
        <v>184.9</v>
      </c>
      <c r="W14" s="26">
        <f t="shared" si="1"/>
        <v>17616.599999999999</v>
      </c>
      <c r="X14" s="34">
        <f t="shared" si="2"/>
        <v>2789.8</v>
      </c>
      <c r="Y14" s="32"/>
      <c r="Z14" s="34">
        <f t="shared" si="3"/>
        <v>954.6</v>
      </c>
      <c r="AA14" s="32"/>
      <c r="AB14" s="32"/>
      <c r="AC14" s="32"/>
      <c r="AD14" s="32"/>
      <c r="AE14" s="32"/>
      <c r="AF14" s="27"/>
      <c r="AG14" s="35">
        <f t="shared" si="4"/>
        <v>37237.600000000006</v>
      </c>
    </row>
    <row r="15" spans="1:35" x14ac:dyDescent="0.25">
      <c r="A15" s="30">
        <v>46029</v>
      </c>
      <c r="B15" s="32"/>
      <c r="C15" s="32"/>
      <c r="D15" s="31">
        <f t="shared" si="5"/>
        <v>0</v>
      </c>
      <c r="E15" s="32">
        <v>2863.3</v>
      </c>
      <c r="F15" s="32">
        <v>507.5</v>
      </c>
      <c r="G15" s="32">
        <v>48.6</v>
      </c>
      <c r="H15" s="32">
        <v>21</v>
      </c>
      <c r="I15" s="32">
        <v>15</v>
      </c>
      <c r="J15" s="32"/>
      <c r="K15" s="32"/>
      <c r="L15" s="32"/>
      <c r="M15" s="32"/>
      <c r="N15" s="32">
        <v>3000</v>
      </c>
      <c r="O15" s="32"/>
      <c r="P15" s="32"/>
      <c r="Q15" s="32">
        <v>650</v>
      </c>
      <c r="R15" s="31">
        <f>SUM(E15:Q15)</f>
        <v>7105.4</v>
      </c>
      <c r="S15" s="32">
        <f>SUM(D15+R15)</f>
        <v>7105.4</v>
      </c>
      <c r="T15" s="32">
        <v>8.5</v>
      </c>
      <c r="U15" s="32">
        <f t="shared" si="0"/>
        <v>7096.9</v>
      </c>
      <c r="V15" s="32">
        <v>1531.9</v>
      </c>
      <c r="W15" s="26">
        <f t="shared" si="1"/>
        <v>8713.5</v>
      </c>
      <c r="X15" s="34">
        <f t="shared" si="2"/>
        <v>8637.2999999999993</v>
      </c>
      <c r="Y15" s="32"/>
      <c r="Z15" s="34">
        <f t="shared" si="3"/>
        <v>8.5</v>
      </c>
      <c r="AA15" s="32">
        <v>16000</v>
      </c>
      <c r="AB15" s="32"/>
      <c r="AC15" s="32"/>
      <c r="AD15" s="32"/>
      <c r="AE15" s="32"/>
      <c r="AF15" s="27"/>
      <c r="AG15" s="35">
        <f t="shared" si="4"/>
        <v>44334.500000000007</v>
      </c>
    </row>
    <row r="16" spans="1:35" x14ac:dyDescent="0.25">
      <c r="A16" s="30">
        <v>46030</v>
      </c>
      <c r="B16" s="32"/>
      <c r="C16" s="32"/>
      <c r="D16" s="31">
        <f t="shared" si="5"/>
        <v>0</v>
      </c>
      <c r="E16" s="32">
        <v>473.9</v>
      </c>
      <c r="F16" s="32">
        <v>481</v>
      </c>
      <c r="G16" s="32">
        <v>20</v>
      </c>
      <c r="H16" s="32">
        <v>10</v>
      </c>
      <c r="I16" s="32"/>
      <c r="J16" s="32"/>
      <c r="K16" s="32"/>
      <c r="L16" s="32">
        <v>6</v>
      </c>
      <c r="M16" s="32"/>
      <c r="N16" s="32">
        <v>550</v>
      </c>
      <c r="O16" s="32"/>
      <c r="P16" s="32"/>
      <c r="Q16" s="32"/>
      <c r="R16" s="31">
        <f>SUM(E16:Q16)</f>
        <v>1540.9</v>
      </c>
      <c r="S16" s="32">
        <f>SUM(D16+R16)</f>
        <v>1540.9</v>
      </c>
      <c r="T16" s="32">
        <v>1836.4</v>
      </c>
      <c r="U16" s="32">
        <f t="shared" si="0"/>
        <v>-295.5</v>
      </c>
      <c r="V16" s="32">
        <v>700</v>
      </c>
      <c r="W16" s="26">
        <f t="shared" si="1"/>
        <v>8418</v>
      </c>
      <c r="X16" s="34">
        <f t="shared" si="2"/>
        <v>2240.9</v>
      </c>
      <c r="Y16" s="32"/>
      <c r="Z16" s="34">
        <f t="shared" si="3"/>
        <v>1836.4</v>
      </c>
      <c r="AA16" s="32"/>
      <c r="AB16" s="32"/>
      <c r="AC16" s="32"/>
      <c r="AD16" s="32"/>
      <c r="AE16" s="32"/>
      <c r="AF16" s="27"/>
      <c r="AG16" s="35">
        <f t="shared" si="4"/>
        <v>44039.000000000007</v>
      </c>
    </row>
    <row r="17" spans="1:35" x14ac:dyDescent="0.25">
      <c r="A17" s="30">
        <v>46031</v>
      </c>
      <c r="B17" s="32">
        <v>1173</v>
      </c>
      <c r="C17" s="32">
        <v>1606</v>
      </c>
      <c r="D17" s="31">
        <f t="shared" si="5"/>
        <v>2779</v>
      </c>
      <c r="E17" s="32">
        <v>65</v>
      </c>
      <c r="F17" s="32">
        <v>510</v>
      </c>
      <c r="G17" s="32"/>
      <c r="H17" s="32"/>
      <c r="I17" s="32"/>
      <c r="J17" s="32">
        <v>10</v>
      </c>
      <c r="K17" s="32"/>
      <c r="L17" s="32">
        <v>6</v>
      </c>
      <c r="M17" s="32"/>
      <c r="N17" s="32">
        <v>850</v>
      </c>
      <c r="O17" s="32"/>
      <c r="P17" s="32"/>
      <c r="Q17" s="32"/>
      <c r="R17" s="31">
        <f>SUM(E17:Q17)</f>
        <v>1441</v>
      </c>
      <c r="S17" s="32">
        <f>SUM(D17+R17)</f>
        <v>4220</v>
      </c>
      <c r="T17" s="32">
        <v>720</v>
      </c>
      <c r="U17" s="32">
        <f t="shared" si="0"/>
        <v>3500</v>
      </c>
      <c r="V17" s="32">
        <v>22.6</v>
      </c>
      <c r="W17" s="26">
        <f t="shared" si="1"/>
        <v>11918</v>
      </c>
      <c r="X17" s="34">
        <f t="shared" si="2"/>
        <v>4242.6000000000004</v>
      </c>
      <c r="Y17" s="32"/>
      <c r="Z17" s="34">
        <f t="shared" si="3"/>
        <v>720</v>
      </c>
      <c r="AA17" s="32"/>
      <c r="AB17" s="32"/>
      <c r="AC17" s="32"/>
      <c r="AD17" s="32"/>
      <c r="AE17" s="32"/>
      <c r="AF17" s="27"/>
      <c r="AG17" s="35">
        <f t="shared" si="4"/>
        <v>47539.000000000007</v>
      </c>
    </row>
    <row r="18" spans="1:35" x14ac:dyDescent="0.25">
      <c r="A18" s="30">
        <v>46032</v>
      </c>
      <c r="B18" s="32"/>
      <c r="C18" s="32"/>
      <c r="D18" s="31">
        <f t="shared" si="5"/>
        <v>0</v>
      </c>
      <c r="E18" s="32"/>
      <c r="F18" s="32">
        <v>496.5</v>
      </c>
      <c r="G18" s="32"/>
      <c r="H18" s="32"/>
      <c r="I18" s="32"/>
      <c r="J18" s="32"/>
      <c r="K18" s="32">
        <v>1000</v>
      </c>
      <c r="L18" s="32">
        <v>17</v>
      </c>
      <c r="M18" s="32"/>
      <c r="N18" s="32">
        <v>700</v>
      </c>
      <c r="O18" s="32"/>
      <c r="P18" s="32"/>
      <c r="Q18" s="32"/>
      <c r="R18" s="31">
        <f>SUM(E18:Q18)</f>
        <v>2213.5</v>
      </c>
      <c r="S18" s="32">
        <f>SUM(D18+R18)</f>
        <v>2213.5</v>
      </c>
      <c r="T18" s="32">
        <v>155</v>
      </c>
      <c r="U18" s="32">
        <f t="shared" si="0"/>
        <v>2058.5</v>
      </c>
      <c r="V18" s="32"/>
      <c r="W18" s="26">
        <f t="shared" si="1"/>
        <v>13976.5</v>
      </c>
      <c r="X18" s="34">
        <f t="shared" si="2"/>
        <v>2213.5</v>
      </c>
      <c r="Y18" s="32"/>
      <c r="Z18" s="34">
        <f t="shared" si="3"/>
        <v>155</v>
      </c>
      <c r="AA18" s="32"/>
      <c r="AB18" s="32"/>
      <c r="AC18" s="32"/>
      <c r="AD18" s="32"/>
      <c r="AE18" s="32"/>
      <c r="AF18" s="27"/>
      <c r="AG18" s="35">
        <f t="shared" si="4"/>
        <v>49597.500000000007</v>
      </c>
    </row>
    <row r="19" spans="1:35" x14ac:dyDescent="0.25">
      <c r="A19" s="30">
        <v>46033</v>
      </c>
      <c r="B19" s="32"/>
      <c r="C19" s="32"/>
      <c r="D19" s="31">
        <f t="shared" si="5"/>
        <v>0</v>
      </c>
      <c r="E19" s="32"/>
      <c r="F19" s="32">
        <v>460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1">
        <f>SUM(E19:Q19)</f>
        <v>460</v>
      </c>
      <c r="S19" s="32">
        <f>SUM(D19+R19)</f>
        <v>460</v>
      </c>
      <c r="T19" s="32"/>
      <c r="U19" s="32">
        <f t="shared" si="0"/>
        <v>460</v>
      </c>
      <c r="V19" s="32"/>
      <c r="W19" s="26">
        <f t="shared" si="1"/>
        <v>14436.5</v>
      </c>
      <c r="X19" s="34">
        <f t="shared" si="2"/>
        <v>460</v>
      </c>
      <c r="Y19" s="32"/>
      <c r="Z19" s="34">
        <f t="shared" si="3"/>
        <v>0</v>
      </c>
      <c r="AA19" s="32"/>
      <c r="AB19" s="32"/>
      <c r="AC19" s="32"/>
      <c r="AD19" s="32"/>
      <c r="AE19" s="32"/>
      <c r="AF19" s="27"/>
      <c r="AG19" s="35">
        <f t="shared" si="4"/>
        <v>50057.500000000007</v>
      </c>
    </row>
    <row r="20" spans="1:35" x14ac:dyDescent="0.25">
      <c r="A20" s="30">
        <v>46034</v>
      </c>
      <c r="B20" s="32"/>
      <c r="C20" s="32"/>
      <c r="D20" s="31">
        <f t="shared" si="5"/>
        <v>0</v>
      </c>
      <c r="E20" s="32">
        <v>1825.4</v>
      </c>
      <c r="F20" s="32">
        <v>356.5</v>
      </c>
      <c r="G20" s="32">
        <v>63.2</v>
      </c>
      <c r="H20" s="32">
        <v>26</v>
      </c>
      <c r="I20" s="32"/>
      <c r="J20" s="32"/>
      <c r="K20" s="32"/>
      <c r="L20" s="32"/>
      <c r="M20" s="32"/>
      <c r="N20" s="32">
        <v>1580</v>
      </c>
      <c r="O20" s="32"/>
      <c r="P20" s="32"/>
      <c r="Q20" s="32"/>
      <c r="R20" s="31">
        <f>SUM(E20:Q20)</f>
        <v>3851.1</v>
      </c>
      <c r="S20" s="32">
        <f>SUM(D20+R20)</f>
        <v>3851.1</v>
      </c>
      <c r="T20" s="32">
        <v>608</v>
      </c>
      <c r="U20" s="32">
        <f t="shared" si="0"/>
        <v>3243.1</v>
      </c>
      <c r="V20" s="32"/>
      <c r="W20" s="26">
        <f t="shared" si="1"/>
        <v>17679.599999999999</v>
      </c>
      <c r="X20" s="34">
        <f t="shared" si="2"/>
        <v>3851.1</v>
      </c>
      <c r="Y20" s="32"/>
      <c r="Z20" s="34">
        <f t="shared" si="3"/>
        <v>608</v>
      </c>
      <c r="AA20" s="32"/>
      <c r="AB20" s="32"/>
      <c r="AC20" s="38"/>
      <c r="AD20" s="38"/>
      <c r="AE20" s="32"/>
      <c r="AF20" s="27"/>
      <c r="AG20" s="35">
        <f t="shared" si="4"/>
        <v>53300.600000000006</v>
      </c>
      <c r="AH20" s="39"/>
      <c r="AI20" s="38"/>
    </row>
    <row r="21" spans="1:35" x14ac:dyDescent="0.25">
      <c r="A21" s="30">
        <v>46035</v>
      </c>
      <c r="B21" s="32"/>
      <c r="C21" s="32"/>
      <c r="D21" s="31"/>
      <c r="E21" s="32">
        <v>2194.1</v>
      </c>
      <c r="F21" s="32">
        <v>512</v>
      </c>
      <c r="G21" s="32">
        <v>15.9</v>
      </c>
      <c r="H21" s="32">
        <v>12</v>
      </c>
      <c r="I21" s="32"/>
      <c r="J21" s="32"/>
      <c r="K21" s="32"/>
      <c r="L21" s="32"/>
      <c r="M21" s="32"/>
      <c r="N21" s="32">
        <v>230</v>
      </c>
      <c r="O21" s="32">
        <v>50</v>
      </c>
      <c r="P21" s="32"/>
      <c r="Q21" s="32"/>
      <c r="R21" s="31">
        <f>SUM(E21:Q21)</f>
        <v>3014</v>
      </c>
      <c r="S21" s="32">
        <f>SUM(D21+R21)</f>
        <v>3014</v>
      </c>
      <c r="T21" s="32">
        <v>100</v>
      </c>
      <c r="U21" s="32">
        <f t="shared" si="0"/>
        <v>2914</v>
      </c>
      <c r="V21" s="32">
        <v>535.9</v>
      </c>
      <c r="W21" s="26">
        <f t="shared" si="1"/>
        <v>10593.599999999999</v>
      </c>
      <c r="X21" s="34">
        <f t="shared" si="2"/>
        <v>3549.9</v>
      </c>
      <c r="Y21" s="32"/>
      <c r="Z21" s="34">
        <f t="shared" si="3"/>
        <v>100</v>
      </c>
      <c r="AA21" s="32">
        <v>10000</v>
      </c>
      <c r="AB21" s="32"/>
      <c r="AC21" s="32"/>
      <c r="AD21" s="32"/>
      <c r="AE21" s="32"/>
      <c r="AF21" s="27"/>
      <c r="AG21" s="35">
        <f t="shared" si="4"/>
        <v>56214.600000000006</v>
      </c>
    </row>
    <row r="22" spans="1:35" x14ac:dyDescent="0.25">
      <c r="A22" s="30">
        <v>46036</v>
      </c>
      <c r="B22" s="32"/>
      <c r="C22" s="32"/>
      <c r="D22" s="31">
        <f t="shared" si="5"/>
        <v>0</v>
      </c>
      <c r="E22" s="32">
        <v>1557</v>
      </c>
      <c r="F22" s="32">
        <v>461.5</v>
      </c>
      <c r="G22" s="32">
        <v>67.400000000000006</v>
      </c>
      <c r="H22" s="32">
        <v>61.8</v>
      </c>
      <c r="I22" s="32">
        <v>30</v>
      </c>
      <c r="J22" s="32"/>
      <c r="K22" s="32"/>
      <c r="L22" s="32"/>
      <c r="M22" s="32"/>
      <c r="N22" s="32">
        <v>3846.3</v>
      </c>
      <c r="O22" s="32"/>
      <c r="P22" s="32"/>
      <c r="Q22" s="32"/>
      <c r="R22" s="31">
        <f>SUM(E22:Q22)</f>
        <v>6024</v>
      </c>
      <c r="S22" s="32">
        <f>SUM(D22+R22)</f>
        <v>6024</v>
      </c>
      <c r="T22" s="32">
        <v>280</v>
      </c>
      <c r="U22" s="32">
        <f t="shared" si="0"/>
        <v>5744</v>
      </c>
      <c r="V22" s="32">
        <v>1531.1</v>
      </c>
      <c r="W22" s="26">
        <f t="shared" si="1"/>
        <v>12337.599999999999</v>
      </c>
      <c r="X22" s="34">
        <f t="shared" si="2"/>
        <v>7555.1</v>
      </c>
      <c r="Y22" s="32"/>
      <c r="Z22" s="34">
        <f t="shared" si="3"/>
        <v>280</v>
      </c>
      <c r="AA22" s="32">
        <v>4000</v>
      </c>
      <c r="AB22" s="32"/>
      <c r="AC22" s="32"/>
      <c r="AD22" s="32"/>
      <c r="AE22" s="32"/>
      <c r="AF22" s="27"/>
      <c r="AG22" s="35">
        <f t="shared" si="4"/>
        <v>61958.600000000006</v>
      </c>
      <c r="AI22" s="40"/>
    </row>
    <row r="23" spans="1:35" x14ac:dyDescent="0.25">
      <c r="A23" s="30">
        <v>46037</v>
      </c>
      <c r="B23" s="32"/>
      <c r="C23" s="32"/>
      <c r="D23" s="31">
        <f t="shared" si="5"/>
        <v>0</v>
      </c>
      <c r="E23" s="32">
        <v>1652</v>
      </c>
      <c r="F23" s="32">
        <v>455</v>
      </c>
      <c r="G23" s="32">
        <v>202</v>
      </c>
      <c r="H23" s="32">
        <v>11</v>
      </c>
      <c r="I23" s="32"/>
      <c r="J23" s="32"/>
      <c r="K23" s="32"/>
      <c r="L23" s="32">
        <v>6</v>
      </c>
      <c r="M23" s="32"/>
      <c r="N23" s="32"/>
      <c r="O23" s="32"/>
      <c r="P23" s="32"/>
      <c r="Q23" s="32"/>
      <c r="R23" s="31">
        <f>SUM(E23:Q23)</f>
        <v>2326</v>
      </c>
      <c r="S23" s="32">
        <f>SUM(D23+R23)</f>
        <v>2326</v>
      </c>
      <c r="T23" s="32">
        <v>5204.8</v>
      </c>
      <c r="U23" s="32">
        <f t="shared" si="0"/>
        <v>-2878.8</v>
      </c>
      <c r="V23" s="27">
        <v>540.70000000000005</v>
      </c>
      <c r="W23" s="26">
        <f t="shared" si="1"/>
        <v>9458.7999999999993</v>
      </c>
      <c r="X23" s="34">
        <f t="shared" si="2"/>
        <v>2866.7</v>
      </c>
      <c r="Y23" s="32"/>
      <c r="Z23" s="34">
        <f t="shared" si="3"/>
        <v>5204.8</v>
      </c>
      <c r="AA23" s="32"/>
      <c r="AB23" s="32"/>
      <c r="AC23" s="32"/>
      <c r="AD23" s="32"/>
      <c r="AE23" s="32"/>
      <c r="AF23" s="27"/>
      <c r="AG23" s="35">
        <f t="shared" si="4"/>
        <v>59079.8</v>
      </c>
    </row>
    <row r="24" spans="1:35" x14ac:dyDescent="0.25">
      <c r="A24" s="30">
        <v>46038</v>
      </c>
      <c r="B24" s="32">
        <v>1360</v>
      </c>
      <c r="C24" s="32">
        <v>2035</v>
      </c>
      <c r="D24" s="31">
        <f t="shared" si="5"/>
        <v>3395</v>
      </c>
      <c r="E24" s="32">
        <v>2629.4</v>
      </c>
      <c r="F24" s="32">
        <v>476.5</v>
      </c>
      <c r="G24" s="32">
        <v>36</v>
      </c>
      <c r="H24" s="32">
        <v>15</v>
      </c>
      <c r="I24" s="32"/>
      <c r="J24" s="32"/>
      <c r="K24" s="32"/>
      <c r="L24" s="32"/>
      <c r="M24" s="32">
        <v>69</v>
      </c>
      <c r="N24" s="32">
        <v>600</v>
      </c>
      <c r="O24" s="32"/>
      <c r="P24" s="32">
        <v>30</v>
      </c>
      <c r="Q24" s="32"/>
      <c r="R24" s="31">
        <f>SUM(E24:Q24)</f>
        <v>3855.9</v>
      </c>
      <c r="S24" s="32">
        <f>SUM(D24+R24)</f>
        <v>7250.9</v>
      </c>
      <c r="T24" s="32">
        <v>12</v>
      </c>
      <c r="U24" s="32">
        <f t="shared" si="0"/>
        <v>7238.9</v>
      </c>
      <c r="V24" s="27">
        <v>653.1</v>
      </c>
      <c r="W24" s="26">
        <f t="shared" si="1"/>
        <v>6697.6999999999971</v>
      </c>
      <c r="X24" s="34">
        <f t="shared" si="2"/>
        <v>7904</v>
      </c>
      <c r="Y24" s="32"/>
      <c r="Z24" s="34">
        <f t="shared" si="3"/>
        <v>12</v>
      </c>
      <c r="AA24" s="32">
        <v>10000</v>
      </c>
      <c r="AB24" s="32"/>
      <c r="AC24" s="32"/>
      <c r="AD24" s="32"/>
      <c r="AE24" s="32"/>
      <c r="AF24" s="27"/>
      <c r="AG24" s="35">
        <f t="shared" si="4"/>
        <v>66318.7</v>
      </c>
    </row>
    <row r="25" spans="1:35" x14ac:dyDescent="0.25">
      <c r="A25" s="30">
        <v>46039</v>
      </c>
      <c r="B25" s="32"/>
      <c r="C25" s="32"/>
      <c r="D25" s="31">
        <f t="shared" si="5"/>
        <v>0</v>
      </c>
      <c r="E25" s="32"/>
      <c r="F25" s="32">
        <v>503.5</v>
      </c>
      <c r="G25" s="32"/>
      <c r="H25" s="32"/>
      <c r="I25" s="32"/>
      <c r="J25" s="32"/>
      <c r="K25" s="32"/>
      <c r="L25" s="32">
        <v>12</v>
      </c>
      <c r="M25" s="32">
        <v>63.5</v>
      </c>
      <c r="N25" s="32"/>
      <c r="O25" s="32"/>
      <c r="P25" s="32"/>
      <c r="Q25" s="32"/>
      <c r="R25" s="31">
        <f>SUM(E25:Q25)</f>
        <v>579</v>
      </c>
      <c r="S25" s="32">
        <f>SUM(D25+R25)</f>
        <v>579</v>
      </c>
      <c r="T25" s="32"/>
      <c r="U25" s="32">
        <f t="shared" si="0"/>
        <v>579</v>
      </c>
      <c r="V25" s="32"/>
      <c r="W25" s="26">
        <f t="shared" si="1"/>
        <v>7276.6999999999971</v>
      </c>
      <c r="X25" s="34">
        <f t="shared" si="2"/>
        <v>579</v>
      </c>
      <c r="Y25" s="32"/>
      <c r="Z25" s="34">
        <f t="shared" si="3"/>
        <v>0</v>
      </c>
      <c r="AA25" s="32"/>
      <c r="AB25" s="32"/>
      <c r="AC25" s="32"/>
      <c r="AD25" s="32"/>
      <c r="AE25" s="32"/>
      <c r="AF25" s="27"/>
      <c r="AG25" s="35">
        <f t="shared" si="4"/>
        <v>66897.7</v>
      </c>
      <c r="AI25" s="40"/>
    </row>
    <row r="26" spans="1:35" x14ac:dyDescent="0.25">
      <c r="A26" s="30">
        <v>46040</v>
      </c>
      <c r="B26" s="32"/>
      <c r="C26" s="32"/>
      <c r="D26" s="31">
        <f t="shared" si="5"/>
        <v>0</v>
      </c>
      <c r="E26" s="32"/>
      <c r="F26" s="32">
        <v>520.5</v>
      </c>
      <c r="G26" s="32"/>
      <c r="H26" s="32"/>
      <c r="I26" s="32"/>
      <c r="J26" s="32"/>
      <c r="K26" s="32"/>
      <c r="L26" s="32">
        <v>6</v>
      </c>
      <c r="M26" s="32"/>
      <c r="N26" s="32"/>
      <c r="O26" s="32"/>
      <c r="P26" s="32"/>
      <c r="Q26" s="32"/>
      <c r="R26" s="31">
        <f>SUM(E26:Q26)</f>
        <v>526.5</v>
      </c>
      <c r="S26" s="32">
        <f>SUM(D26+R26)</f>
        <v>526.5</v>
      </c>
      <c r="T26" s="32"/>
      <c r="U26" s="32">
        <f t="shared" si="0"/>
        <v>526.5</v>
      </c>
      <c r="V26" s="27"/>
      <c r="W26" s="26">
        <f t="shared" si="1"/>
        <v>7803.1999999999971</v>
      </c>
      <c r="X26" s="34">
        <f t="shared" si="2"/>
        <v>526.5</v>
      </c>
      <c r="Y26" s="32"/>
      <c r="Z26" s="34">
        <f t="shared" si="3"/>
        <v>0</v>
      </c>
      <c r="AA26" s="32"/>
      <c r="AB26" s="32"/>
      <c r="AC26" s="32"/>
      <c r="AD26" s="32"/>
      <c r="AE26" s="32"/>
      <c r="AF26" s="27"/>
      <c r="AG26" s="35">
        <f t="shared" si="4"/>
        <v>67424.2</v>
      </c>
    </row>
    <row r="27" spans="1:35" x14ac:dyDescent="0.25">
      <c r="A27" s="30">
        <v>46041</v>
      </c>
      <c r="B27" s="32"/>
      <c r="C27" s="32"/>
      <c r="D27" s="31">
        <f t="shared" si="5"/>
        <v>0</v>
      </c>
      <c r="E27" s="32">
        <v>282.60000000000002</v>
      </c>
      <c r="F27" s="32">
        <v>352</v>
      </c>
      <c r="G27" s="32">
        <v>34.4</v>
      </c>
      <c r="H27" s="32">
        <v>15</v>
      </c>
      <c r="I27" s="32"/>
      <c r="J27" s="32"/>
      <c r="K27" s="32"/>
      <c r="L27" s="32">
        <v>10</v>
      </c>
      <c r="M27" s="32">
        <v>57</v>
      </c>
      <c r="N27" s="32">
        <v>800</v>
      </c>
      <c r="O27" s="32"/>
      <c r="P27" s="32"/>
      <c r="Q27" s="32"/>
      <c r="R27" s="31">
        <f>SUM(E27:Q27)</f>
        <v>1551</v>
      </c>
      <c r="S27" s="32">
        <f>SUM(D27+R27)</f>
        <v>1551</v>
      </c>
      <c r="T27" s="32">
        <v>115</v>
      </c>
      <c r="U27" s="32">
        <f t="shared" si="0"/>
        <v>1436</v>
      </c>
      <c r="V27" s="32">
        <v>420.4</v>
      </c>
      <c r="W27" s="26">
        <f t="shared" si="1"/>
        <v>9239.1999999999971</v>
      </c>
      <c r="X27" s="34">
        <f t="shared" si="2"/>
        <v>1971.4</v>
      </c>
      <c r="Y27" s="32">
        <v>24568.9</v>
      </c>
      <c r="Z27" s="34">
        <f t="shared" si="3"/>
        <v>24683.9</v>
      </c>
      <c r="AA27" s="32"/>
      <c r="AB27" s="32"/>
      <c r="AC27" s="32"/>
      <c r="AD27" s="32"/>
      <c r="AE27" s="32"/>
      <c r="AF27" s="27"/>
      <c r="AG27" s="35">
        <f>SUM(AG26+U27-AF27)</f>
        <v>68860.2</v>
      </c>
      <c r="AI27" s="40"/>
    </row>
    <row r="28" spans="1:35" x14ac:dyDescent="0.25">
      <c r="A28" s="30">
        <v>46042</v>
      </c>
      <c r="B28" s="32"/>
      <c r="C28" s="32"/>
      <c r="D28" s="31">
        <f t="shared" si="5"/>
        <v>0</v>
      </c>
      <c r="E28" s="32">
        <v>2193.9</v>
      </c>
      <c r="F28" s="32">
        <v>463</v>
      </c>
      <c r="G28" s="32"/>
      <c r="H28" s="32"/>
      <c r="I28" s="32"/>
      <c r="J28" s="32"/>
      <c r="K28" s="32"/>
      <c r="L28" s="32">
        <v>10</v>
      </c>
      <c r="M28" s="32">
        <v>58.8</v>
      </c>
      <c r="N28" s="32">
        <v>1050</v>
      </c>
      <c r="O28" s="32"/>
      <c r="P28" s="32">
        <v>80</v>
      </c>
      <c r="Q28" s="32"/>
      <c r="R28" s="31">
        <f>SUM(E28:Q28)</f>
        <v>3855.7000000000003</v>
      </c>
      <c r="S28" s="32">
        <f>SUM(D28+R28)</f>
        <v>3855.7000000000003</v>
      </c>
      <c r="T28" s="32">
        <v>2084.6</v>
      </c>
      <c r="U28" s="32">
        <f t="shared" si="0"/>
        <v>1771.1000000000004</v>
      </c>
      <c r="V28" s="32">
        <v>768.9</v>
      </c>
      <c r="W28" s="26">
        <f t="shared" si="1"/>
        <v>6010.2999999999975</v>
      </c>
      <c r="X28" s="34">
        <f t="shared" si="2"/>
        <v>4624.6000000000004</v>
      </c>
      <c r="Y28" s="32">
        <v>831</v>
      </c>
      <c r="Z28" s="34">
        <f t="shared" si="3"/>
        <v>2915.6</v>
      </c>
      <c r="AA28" s="32">
        <v>5000</v>
      </c>
      <c r="AB28" s="32"/>
      <c r="AC28" s="32"/>
      <c r="AD28" s="32"/>
      <c r="AE28" s="32"/>
      <c r="AF28" s="27"/>
      <c r="AG28" s="35">
        <f t="shared" ref="AG28:AG39" si="6">SUM(AG27+U28-AF28)</f>
        <v>70631.3</v>
      </c>
    </row>
    <row r="29" spans="1:35" x14ac:dyDescent="0.25">
      <c r="A29" s="30">
        <v>46043</v>
      </c>
      <c r="B29" s="32"/>
      <c r="C29" s="32"/>
      <c r="D29" s="31">
        <f t="shared" si="5"/>
        <v>0</v>
      </c>
      <c r="E29" s="32">
        <v>3891.4</v>
      </c>
      <c r="F29" s="32">
        <v>425</v>
      </c>
      <c r="G29" s="32">
        <v>94.1</v>
      </c>
      <c r="H29" s="32">
        <v>30</v>
      </c>
      <c r="I29" s="32"/>
      <c r="J29" s="32"/>
      <c r="K29" s="32"/>
      <c r="L29" s="32">
        <v>18</v>
      </c>
      <c r="M29" s="32">
        <v>58</v>
      </c>
      <c r="N29" s="32">
        <v>2650</v>
      </c>
      <c r="O29" s="32"/>
      <c r="P29" s="32">
        <v>50</v>
      </c>
      <c r="Q29" s="32">
        <v>70</v>
      </c>
      <c r="R29" s="31">
        <f>SUM(E29:Q29)</f>
        <v>7286.5</v>
      </c>
      <c r="S29" s="32">
        <f>SUM(D29+R29)</f>
        <v>7286.5</v>
      </c>
      <c r="T29" s="32"/>
      <c r="U29" s="32">
        <f t="shared" si="0"/>
        <v>7286.5</v>
      </c>
      <c r="V29" s="32">
        <v>1747</v>
      </c>
      <c r="W29" s="26">
        <f t="shared" si="1"/>
        <v>9296.7999999999975</v>
      </c>
      <c r="X29" s="34">
        <f t="shared" si="2"/>
        <v>9033.5</v>
      </c>
      <c r="Y29" s="32">
        <v>750</v>
      </c>
      <c r="Z29" s="34">
        <f t="shared" si="3"/>
        <v>750</v>
      </c>
      <c r="AA29" s="32">
        <v>4000</v>
      </c>
      <c r="AB29" s="32"/>
      <c r="AC29" s="32"/>
      <c r="AD29" s="32"/>
      <c r="AE29" s="32"/>
      <c r="AF29" s="27">
        <v>20000</v>
      </c>
      <c r="AG29" s="35">
        <f t="shared" si="6"/>
        <v>57917.8</v>
      </c>
      <c r="AI29" s="39"/>
    </row>
    <row r="30" spans="1:35" x14ac:dyDescent="0.25">
      <c r="A30" s="30">
        <v>46044</v>
      </c>
      <c r="B30" s="32"/>
      <c r="C30" s="32"/>
      <c r="D30" s="31">
        <f t="shared" si="5"/>
        <v>0</v>
      </c>
      <c r="E30" s="32">
        <v>463.4</v>
      </c>
      <c r="F30" s="41">
        <v>479</v>
      </c>
      <c r="G30" s="32">
        <v>78</v>
      </c>
      <c r="H30" s="32">
        <v>10</v>
      </c>
      <c r="I30" s="32"/>
      <c r="J30" s="32"/>
      <c r="K30" s="32"/>
      <c r="L30" s="32">
        <v>18</v>
      </c>
      <c r="M30" s="32">
        <v>15</v>
      </c>
      <c r="N30" s="32">
        <v>430</v>
      </c>
      <c r="O30" s="32"/>
      <c r="P30" s="32">
        <v>50</v>
      </c>
      <c r="Q30" s="32"/>
      <c r="R30" s="31">
        <f>SUM(E30:Q30)</f>
        <v>1543.4</v>
      </c>
      <c r="S30" s="32">
        <f>SUM(D30+R30)</f>
        <v>1543.4</v>
      </c>
      <c r="T30" s="32">
        <v>825</v>
      </c>
      <c r="U30" s="32">
        <f t="shared" si="0"/>
        <v>718.40000000000009</v>
      </c>
      <c r="V30" s="32">
        <v>270</v>
      </c>
      <c r="W30" s="26">
        <f t="shared" si="1"/>
        <v>10015.199999999997</v>
      </c>
      <c r="X30" s="34">
        <f t="shared" si="2"/>
        <v>1813.4</v>
      </c>
      <c r="Y30" s="32"/>
      <c r="Z30" s="34"/>
      <c r="AA30" s="32"/>
      <c r="AB30" s="32"/>
      <c r="AC30" s="32"/>
      <c r="AD30" s="32"/>
      <c r="AE30" s="32">
        <v>-10</v>
      </c>
      <c r="AF30" s="27"/>
      <c r="AG30" s="35">
        <f t="shared" si="6"/>
        <v>58636.200000000004</v>
      </c>
    </row>
    <row r="31" spans="1:35" x14ac:dyDescent="0.25">
      <c r="A31" s="30">
        <v>46045</v>
      </c>
      <c r="B31" s="42">
        <v>1628</v>
      </c>
      <c r="C31" s="43">
        <v>1845</v>
      </c>
      <c r="D31" s="31">
        <f t="shared" si="5"/>
        <v>3473</v>
      </c>
      <c r="E31" s="32"/>
      <c r="F31" s="32">
        <v>470</v>
      </c>
      <c r="G31" s="32">
        <v>25.6</v>
      </c>
      <c r="H31" s="32">
        <v>16</v>
      </c>
      <c r="I31" s="32"/>
      <c r="J31" s="32"/>
      <c r="K31" s="32"/>
      <c r="L31" s="32">
        <v>10</v>
      </c>
      <c r="M31" s="32">
        <v>63.6</v>
      </c>
      <c r="N31" s="32"/>
      <c r="O31" s="32">
        <v>350</v>
      </c>
      <c r="P31" s="32">
        <v>50</v>
      </c>
      <c r="Q31" s="32"/>
      <c r="R31" s="31">
        <f>SUM(E31:Q31)</f>
        <v>985.2</v>
      </c>
      <c r="S31" s="32">
        <f>SUM(D31+R31)</f>
        <v>4458.2</v>
      </c>
      <c r="T31" s="32">
        <v>150.19999999999999</v>
      </c>
      <c r="U31" s="32">
        <f t="shared" si="0"/>
        <v>4308</v>
      </c>
      <c r="V31" s="32"/>
      <c r="W31" s="26">
        <f t="shared" si="1"/>
        <v>14323.199999999997</v>
      </c>
      <c r="X31" s="34">
        <f t="shared" si="2"/>
        <v>4458.2</v>
      </c>
      <c r="Y31" s="32"/>
      <c r="Z31" s="34"/>
      <c r="AA31" s="32"/>
      <c r="AB31" s="32"/>
      <c r="AC31" s="32"/>
      <c r="AD31" s="32"/>
      <c r="AE31" s="32"/>
      <c r="AF31" s="27"/>
      <c r="AG31" s="35">
        <f t="shared" si="6"/>
        <v>62944.200000000004</v>
      </c>
    </row>
    <row r="32" spans="1:35" x14ac:dyDescent="0.25">
      <c r="A32" s="30">
        <v>46046</v>
      </c>
      <c r="B32" s="42"/>
      <c r="C32" s="43"/>
      <c r="D32" s="31">
        <f t="shared" si="5"/>
        <v>0</v>
      </c>
      <c r="E32" s="32">
        <v>329.3</v>
      </c>
      <c r="F32" s="32">
        <v>786.5</v>
      </c>
      <c r="G32" s="32">
        <v>120</v>
      </c>
      <c r="H32" s="32">
        <v>5</v>
      </c>
      <c r="I32" s="32"/>
      <c r="J32" s="32"/>
      <c r="K32" s="32"/>
      <c r="L32" s="32">
        <v>14</v>
      </c>
      <c r="M32" s="32">
        <v>63.2</v>
      </c>
      <c r="N32" s="32"/>
      <c r="O32" s="32">
        <v>650</v>
      </c>
      <c r="P32" s="32"/>
      <c r="Q32" s="32"/>
      <c r="R32" s="31">
        <f>SUM(E32:Q32)</f>
        <v>1968</v>
      </c>
      <c r="S32" s="32">
        <f>SUM(D32+R32)</f>
        <v>1968</v>
      </c>
      <c r="T32" s="32">
        <v>73.2</v>
      </c>
      <c r="U32" s="32">
        <f t="shared" si="0"/>
        <v>1894.8</v>
      </c>
      <c r="V32" s="32"/>
      <c r="W32" s="26">
        <f t="shared" si="1"/>
        <v>16217.999999999996</v>
      </c>
      <c r="X32" s="34">
        <f t="shared" si="2"/>
        <v>1968</v>
      </c>
      <c r="Y32" s="32"/>
      <c r="Z32" s="34"/>
      <c r="AA32" s="32"/>
      <c r="AB32" s="32"/>
      <c r="AC32" s="32"/>
      <c r="AD32" s="32"/>
      <c r="AE32" s="32"/>
      <c r="AF32" s="27"/>
      <c r="AG32" s="35">
        <f t="shared" si="6"/>
        <v>64839.000000000007</v>
      </c>
    </row>
    <row r="33" spans="1:35" x14ac:dyDescent="0.25">
      <c r="A33" s="30">
        <v>46047</v>
      </c>
      <c r="B33" s="42"/>
      <c r="C33" s="43"/>
      <c r="D33" s="31">
        <f t="shared" si="5"/>
        <v>0</v>
      </c>
      <c r="E33" s="32"/>
      <c r="F33" s="32">
        <v>148.5</v>
      </c>
      <c r="G33" s="32"/>
      <c r="H33" s="32"/>
      <c r="I33" s="32"/>
      <c r="J33" s="32"/>
      <c r="K33" s="32"/>
      <c r="L33" s="32">
        <v>22</v>
      </c>
      <c r="M33" s="32"/>
      <c r="N33" s="32"/>
      <c r="O33" s="32"/>
      <c r="P33" s="32"/>
      <c r="Q33" s="32"/>
      <c r="R33" s="31">
        <f>SUM(E33:Q33)</f>
        <v>170.5</v>
      </c>
      <c r="S33" s="32">
        <f>SUM(D33+R33)</f>
        <v>170.5</v>
      </c>
      <c r="T33" s="32"/>
      <c r="U33" s="32">
        <f t="shared" si="0"/>
        <v>170.5</v>
      </c>
      <c r="V33" s="32"/>
      <c r="W33" s="26">
        <f t="shared" si="1"/>
        <v>16388.499999999996</v>
      </c>
      <c r="X33" s="34">
        <f t="shared" si="2"/>
        <v>170.5</v>
      </c>
      <c r="Y33" s="32"/>
      <c r="Z33" s="34">
        <f t="shared" si="3"/>
        <v>0</v>
      </c>
      <c r="AA33" s="32"/>
      <c r="AB33" s="32"/>
      <c r="AC33" s="32"/>
      <c r="AD33" s="32"/>
      <c r="AE33" s="32"/>
      <c r="AF33" s="27"/>
      <c r="AG33" s="35">
        <f t="shared" si="6"/>
        <v>65009.500000000007</v>
      </c>
    </row>
    <row r="34" spans="1:35" x14ac:dyDescent="0.25">
      <c r="A34" s="30">
        <v>46048</v>
      </c>
      <c r="B34" s="42"/>
      <c r="C34" s="43"/>
      <c r="D34" s="31">
        <f t="shared" si="5"/>
        <v>0</v>
      </c>
      <c r="E34" s="32">
        <v>1378.9</v>
      </c>
      <c r="F34" s="32">
        <v>318.5</v>
      </c>
      <c r="G34" s="32"/>
      <c r="H34" s="32"/>
      <c r="I34" s="32"/>
      <c r="J34" s="32"/>
      <c r="K34" s="32"/>
      <c r="L34" s="32">
        <v>10</v>
      </c>
      <c r="M34" s="32">
        <v>61</v>
      </c>
      <c r="N34" s="32">
        <v>500</v>
      </c>
      <c r="O34" s="32"/>
      <c r="P34" s="32"/>
      <c r="Q34" s="32"/>
      <c r="R34" s="31">
        <f>SUM(E34:Q34)</f>
        <v>2268.4</v>
      </c>
      <c r="S34" s="32">
        <f>SUM(D34+R34)</f>
        <v>2268.4</v>
      </c>
      <c r="T34" s="27">
        <v>485.7</v>
      </c>
      <c r="U34" s="32">
        <f t="shared" si="0"/>
        <v>1782.7</v>
      </c>
      <c r="V34" s="27">
        <v>382.5</v>
      </c>
      <c r="W34" s="26">
        <f t="shared" si="1"/>
        <v>10671.199999999997</v>
      </c>
      <c r="X34" s="34">
        <f t="shared" si="2"/>
        <v>2650.9</v>
      </c>
      <c r="Y34" s="32"/>
      <c r="Z34" s="34">
        <f t="shared" si="3"/>
        <v>485.7</v>
      </c>
      <c r="AA34" s="32">
        <v>7500</v>
      </c>
      <c r="AB34" s="32"/>
      <c r="AC34" s="32"/>
      <c r="AD34" s="32"/>
      <c r="AE34" s="32"/>
      <c r="AF34" s="27"/>
      <c r="AG34" s="35">
        <f t="shared" si="6"/>
        <v>66792.200000000012</v>
      </c>
      <c r="AH34" s="39"/>
    </row>
    <row r="35" spans="1:35" x14ac:dyDescent="0.25">
      <c r="A35" s="30">
        <v>46049</v>
      </c>
      <c r="B35" s="42"/>
      <c r="C35" s="43"/>
      <c r="D35" s="31">
        <f t="shared" si="5"/>
        <v>0</v>
      </c>
      <c r="E35" s="41">
        <v>3024.9</v>
      </c>
      <c r="F35" s="32">
        <v>448</v>
      </c>
      <c r="G35" s="32">
        <v>26.8</v>
      </c>
      <c r="H35" s="32">
        <v>5</v>
      </c>
      <c r="I35" s="32"/>
      <c r="J35" s="32"/>
      <c r="K35" s="32"/>
      <c r="L35" s="32">
        <v>10</v>
      </c>
      <c r="M35" s="32">
        <v>52</v>
      </c>
      <c r="N35" s="32">
        <v>500</v>
      </c>
      <c r="O35" s="32"/>
      <c r="P35" s="32"/>
      <c r="Q35" s="32"/>
      <c r="R35" s="31">
        <f>SUM(E35:Q35)</f>
        <v>4066.7000000000003</v>
      </c>
      <c r="S35" s="32">
        <f>SUM(D35+R35)</f>
        <v>4066.7000000000003</v>
      </c>
      <c r="T35" s="32">
        <v>539.1</v>
      </c>
      <c r="U35" s="32">
        <f t="shared" si="0"/>
        <v>3527.6000000000004</v>
      </c>
      <c r="V35" s="32"/>
      <c r="W35" s="26">
        <f t="shared" si="1"/>
        <v>14198.799999999997</v>
      </c>
      <c r="X35" s="34">
        <f t="shared" si="2"/>
        <v>4066.7000000000003</v>
      </c>
      <c r="Y35" s="32"/>
      <c r="Z35" s="34">
        <f t="shared" si="3"/>
        <v>539.1</v>
      </c>
      <c r="AA35" s="32"/>
      <c r="AB35" s="32"/>
      <c r="AC35" s="32"/>
      <c r="AD35" s="32"/>
      <c r="AE35" s="32"/>
      <c r="AF35" s="27"/>
      <c r="AG35" s="35">
        <f t="shared" si="6"/>
        <v>70319.800000000017</v>
      </c>
      <c r="AH35" s="39"/>
    </row>
    <row r="36" spans="1:35" x14ac:dyDescent="0.25">
      <c r="A36" s="30">
        <v>46050</v>
      </c>
      <c r="B36" s="42"/>
      <c r="C36" s="43"/>
      <c r="D36" s="31">
        <f t="shared" si="5"/>
        <v>0</v>
      </c>
      <c r="E36" s="32">
        <v>2445.5</v>
      </c>
      <c r="F36" s="32">
        <v>488.5</v>
      </c>
      <c r="G36" s="32">
        <v>102.5</v>
      </c>
      <c r="H36" s="32">
        <v>13.5</v>
      </c>
      <c r="I36" s="32"/>
      <c r="J36" s="32"/>
      <c r="K36" s="32"/>
      <c r="L36" s="32">
        <v>10</v>
      </c>
      <c r="M36" s="32">
        <v>65</v>
      </c>
      <c r="N36" s="32">
        <v>1040</v>
      </c>
      <c r="O36" s="32"/>
      <c r="P36" s="32"/>
      <c r="Q36" s="32">
        <v>100</v>
      </c>
      <c r="R36" s="31">
        <f>SUM(E36:Q36)</f>
        <v>4265</v>
      </c>
      <c r="S36" s="32">
        <f>SUM(D36+R36)</f>
        <v>4265</v>
      </c>
      <c r="T36" s="32">
        <v>212.6</v>
      </c>
      <c r="U36" s="32">
        <f t="shared" si="0"/>
        <v>4052.4</v>
      </c>
      <c r="V36" s="32">
        <v>2955.1</v>
      </c>
      <c r="W36" s="26">
        <f t="shared" si="1"/>
        <v>17581.199999999997</v>
      </c>
      <c r="X36" s="34">
        <f t="shared" si="2"/>
        <v>7220.1</v>
      </c>
      <c r="Y36" s="32"/>
      <c r="Z36" s="34">
        <f t="shared" si="3"/>
        <v>212.6</v>
      </c>
      <c r="AA36" s="32">
        <v>670</v>
      </c>
      <c r="AB36" s="32">
        <v>1840</v>
      </c>
      <c r="AC36" s="32"/>
      <c r="AD36" s="32"/>
      <c r="AE36" s="32"/>
      <c r="AF36" s="27"/>
      <c r="AG36" s="35">
        <f>SUM(AG35+U36-AF36-AB36)</f>
        <v>72532.200000000012</v>
      </c>
    </row>
    <row r="37" spans="1:35" x14ac:dyDescent="0.25">
      <c r="A37" s="30">
        <v>46051</v>
      </c>
      <c r="B37" s="42"/>
      <c r="C37" s="43"/>
      <c r="D37" s="31">
        <f t="shared" si="5"/>
        <v>0</v>
      </c>
      <c r="E37" s="32">
        <v>571.1</v>
      </c>
      <c r="F37" s="32">
        <v>512</v>
      </c>
      <c r="G37" s="32"/>
      <c r="H37" s="32"/>
      <c r="I37" s="32"/>
      <c r="J37" s="32"/>
      <c r="K37" s="32"/>
      <c r="L37" s="32">
        <v>18</v>
      </c>
      <c r="M37" s="32">
        <v>55</v>
      </c>
      <c r="N37" s="32">
        <v>300</v>
      </c>
      <c r="O37" s="32"/>
      <c r="P37" s="32"/>
      <c r="Q37" s="32"/>
      <c r="R37" s="31">
        <f>SUM(E37:Q37)</f>
        <v>1456.1</v>
      </c>
      <c r="S37" s="32">
        <f>SUM(D37+R37)</f>
        <v>1456.1</v>
      </c>
      <c r="T37" s="32">
        <v>247.6</v>
      </c>
      <c r="U37" s="32">
        <f t="shared" si="0"/>
        <v>1208.5</v>
      </c>
      <c r="V37" s="32">
        <v>345.6</v>
      </c>
      <c r="W37" s="26">
        <f t="shared" si="1"/>
        <v>18789.699999999997</v>
      </c>
      <c r="X37" s="34">
        <f t="shared" si="2"/>
        <v>1801.6999999999998</v>
      </c>
      <c r="Y37" s="32"/>
      <c r="Z37" s="34">
        <f t="shared" si="3"/>
        <v>247.6</v>
      </c>
      <c r="AA37" s="32"/>
      <c r="AB37" s="32"/>
      <c r="AC37" s="32"/>
      <c r="AD37" s="32"/>
      <c r="AE37" s="32"/>
      <c r="AF37" s="27"/>
      <c r="AG37" s="35">
        <f t="shared" si="6"/>
        <v>73740.700000000012</v>
      </c>
      <c r="AI37" s="39"/>
    </row>
    <row r="38" spans="1:35" x14ac:dyDescent="0.25">
      <c r="A38" s="30">
        <v>46052</v>
      </c>
      <c r="B38" s="42">
        <v>1937</v>
      </c>
      <c r="C38" s="43">
        <v>2090</v>
      </c>
      <c r="D38" s="31">
        <f t="shared" si="5"/>
        <v>4027</v>
      </c>
      <c r="E38" s="32">
        <v>443</v>
      </c>
      <c r="F38" s="32">
        <v>489</v>
      </c>
      <c r="G38" s="32">
        <v>26.5</v>
      </c>
      <c r="H38" s="32">
        <v>5</v>
      </c>
      <c r="I38" s="32"/>
      <c r="J38" s="32"/>
      <c r="K38" s="32"/>
      <c r="L38" s="32">
        <v>28</v>
      </c>
      <c r="M38" s="32">
        <v>61</v>
      </c>
      <c r="N38" s="32">
        <v>1550</v>
      </c>
      <c r="O38" s="32"/>
      <c r="P38" s="32"/>
      <c r="Q38" s="32"/>
      <c r="R38" s="31">
        <f>SUM(E38:Q38)</f>
        <v>2602.5</v>
      </c>
      <c r="S38" s="32">
        <f>SUM(D38+R38)</f>
        <v>6629.5</v>
      </c>
      <c r="T38" s="32">
        <v>4443</v>
      </c>
      <c r="U38" s="32">
        <f t="shared" si="0"/>
        <v>2186.5</v>
      </c>
      <c r="V38" s="32"/>
      <c r="W38" s="26">
        <f t="shared" si="1"/>
        <v>20976.199999999997</v>
      </c>
      <c r="X38" s="34">
        <f t="shared" si="2"/>
        <v>6629.5</v>
      </c>
      <c r="Y38" s="32"/>
      <c r="Z38" s="34">
        <f t="shared" si="3"/>
        <v>4443</v>
      </c>
      <c r="AA38" s="32"/>
      <c r="AB38" s="32"/>
      <c r="AC38" s="32"/>
      <c r="AD38" s="32"/>
      <c r="AE38" s="32"/>
      <c r="AF38" s="27"/>
      <c r="AG38" s="35">
        <f t="shared" si="6"/>
        <v>75927.200000000012</v>
      </c>
    </row>
    <row r="39" spans="1:35" x14ac:dyDescent="0.25">
      <c r="A39" s="30">
        <v>46053</v>
      </c>
      <c r="B39" s="42"/>
      <c r="C39" s="43"/>
      <c r="D39" s="31"/>
      <c r="E39" s="32">
        <v>19</v>
      </c>
      <c r="F39" s="32">
        <v>486.5</v>
      </c>
      <c r="G39" s="32">
        <v>159.6</v>
      </c>
      <c r="H39" s="32">
        <v>15</v>
      </c>
      <c r="I39" s="32"/>
      <c r="J39" s="32"/>
      <c r="K39" s="32"/>
      <c r="L39" s="32">
        <v>24</v>
      </c>
      <c r="M39" s="41"/>
      <c r="N39" s="41"/>
      <c r="O39" s="41"/>
      <c r="P39" s="41"/>
      <c r="Q39" s="41"/>
      <c r="R39" s="31">
        <f>SUM(E39:Q39)</f>
        <v>704.1</v>
      </c>
      <c r="S39" s="32">
        <f>SUM(D39+R39)</f>
        <v>704.1</v>
      </c>
      <c r="T39" s="32">
        <v>6</v>
      </c>
      <c r="U39" s="32">
        <f t="shared" si="0"/>
        <v>698.1</v>
      </c>
      <c r="V39" s="32">
        <v>30</v>
      </c>
      <c r="W39" s="26">
        <f t="shared" si="1"/>
        <v>21674.299999999996</v>
      </c>
      <c r="X39" s="34">
        <f t="shared" si="2"/>
        <v>734.1</v>
      </c>
      <c r="Y39" s="45"/>
      <c r="Z39" s="34">
        <f t="shared" si="3"/>
        <v>6</v>
      </c>
      <c r="AA39" s="45"/>
      <c r="AB39" s="45"/>
      <c r="AC39" s="45"/>
      <c r="AD39" s="45"/>
      <c r="AE39" s="45"/>
      <c r="AF39" s="27"/>
      <c r="AG39" s="35">
        <f t="shared" si="6"/>
        <v>76625.300000000017</v>
      </c>
    </row>
    <row r="40" spans="1:35" x14ac:dyDescent="0.25">
      <c r="A40" s="30"/>
      <c r="B40" s="31">
        <f t="shared" ref="B40:D40" si="7">SUM(B8:B38)</f>
        <v>6564</v>
      </c>
      <c r="C40" s="31">
        <f t="shared" si="7"/>
        <v>8611</v>
      </c>
      <c r="D40" s="31">
        <f t="shared" si="7"/>
        <v>15175</v>
      </c>
      <c r="E40" s="31">
        <f>SUM(E8:E39)</f>
        <v>30269.500000000004</v>
      </c>
      <c r="F40" s="31">
        <f>SUM(F8:F39)</f>
        <v>14806</v>
      </c>
      <c r="G40" s="31">
        <f t="shared" ref="G40:K40" si="8">SUM(G8:G39)</f>
        <v>1261.3999999999999</v>
      </c>
      <c r="H40" s="31">
        <f t="shared" si="8"/>
        <v>333.3</v>
      </c>
      <c r="I40" s="31">
        <f t="shared" si="8"/>
        <v>45</v>
      </c>
      <c r="J40" s="31">
        <f t="shared" si="8"/>
        <v>10</v>
      </c>
      <c r="K40" s="31">
        <f t="shared" si="8"/>
        <v>1000</v>
      </c>
      <c r="L40" s="31">
        <f t="shared" ref="L40:S40" si="9">SUM(L8:L39)</f>
        <v>293</v>
      </c>
      <c r="M40" s="31">
        <f t="shared" si="9"/>
        <v>742.1</v>
      </c>
      <c r="N40" s="31">
        <f t="shared" si="9"/>
        <v>25296.3</v>
      </c>
      <c r="O40" s="31">
        <f t="shared" si="9"/>
        <v>1050</v>
      </c>
      <c r="P40" s="31">
        <f t="shared" si="9"/>
        <v>260</v>
      </c>
      <c r="Q40" s="31">
        <f t="shared" si="9"/>
        <v>820</v>
      </c>
      <c r="R40" s="31">
        <f t="shared" si="9"/>
        <v>76186.600000000006</v>
      </c>
      <c r="S40" s="31">
        <f t="shared" si="9"/>
        <v>91361.600000000006</v>
      </c>
      <c r="T40" s="31">
        <f>SUM(T8:T39)</f>
        <v>19346.800000000003</v>
      </c>
      <c r="U40" s="31">
        <f>SUM(U8:U39)</f>
        <v>72014.8</v>
      </c>
      <c r="V40" s="31">
        <f>SUM(V8:V39)</f>
        <v>14465.600000000002</v>
      </c>
      <c r="W40" s="31"/>
      <c r="X40" s="45">
        <f>SUM(X8:X38)</f>
        <v>105093.09999999999</v>
      </c>
      <c r="Y40" s="45">
        <f>SUM(Y8:Y38)</f>
        <v>26149.9</v>
      </c>
      <c r="Z40" s="45">
        <f>SUM(Z8:Z38)</f>
        <v>44442.299999999988</v>
      </c>
      <c r="AA40" s="45">
        <f>SUM(AA8:AA39)</f>
        <v>66198.3</v>
      </c>
      <c r="AB40" s="45">
        <f>SUM(AB8:AB39)</f>
        <v>1840</v>
      </c>
      <c r="AC40" s="45">
        <f t="shared" ref="AC40:AE40" si="10">SUM(AC8:AC39)</f>
        <v>1221.2</v>
      </c>
      <c r="AD40" s="45">
        <f t="shared" si="10"/>
        <v>7931.4</v>
      </c>
      <c r="AE40" s="45">
        <f t="shared" si="10"/>
        <v>1430.1</v>
      </c>
      <c r="AF40" s="27">
        <f>SUM(AF9:AF38)</f>
        <v>20000</v>
      </c>
      <c r="AG40" s="47"/>
      <c r="AH40" s="46">
        <f>SUM(AH8:AH38)</f>
        <v>5266</v>
      </c>
    </row>
    <row r="42" spans="1:35" x14ac:dyDescent="0.25">
      <c r="Z42" s="47"/>
      <c r="AA42" s="40">
        <v>66198.3</v>
      </c>
      <c r="AG42" s="39">
        <v>76695.8</v>
      </c>
    </row>
    <row r="43" spans="1:35" x14ac:dyDescent="0.25">
      <c r="Z43" s="47"/>
      <c r="AA43" s="40">
        <v>-21840</v>
      </c>
      <c r="AG43" s="39">
        <v>10</v>
      </c>
    </row>
    <row r="44" spans="1:35" x14ac:dyDescent="0.25">
      <c r="Z44" s="56" t="s">
        <v>36</v>
      </c>
      <c r="AA44" s="57">
        <v>44358.3</v>
      </c>
      <c r="AG44" s="39">
        <v>76685.8</v>
      </c>
    </row>
    <row r="50" spans="24:24" x14ac:dyDescent="0.25">
      <c r="X50" s="58"/>
    </row>
  </sheetData>
  <mergeCells count="15">
    <mergeCell ref="G8:Q8"/>
    <mergeCell ref="T6:T7"/>
    <mergeCell ref="U6:U7"/>
    <mergeCell ref="W6:W7"/>
    <mergeCell ref="AG6:AG7"/>
    <mergeCell ref="A1:W1"/>
    <mergeCell ref="A3:W3"/>
    <mergeCell ref="C4:E4"/>
    <mergeCell ref="B5:C5"/>
    <mergeCell ref="A6:A7"/>
    <mergeCell ref="B6:C6"/>
    <mergeCell ref="D6:D7"/>
    <mergeCell ref="E6:F6"/>
    <mergeCell ref="R6:R7"/>
    <mergeCell ref="S6:S7"/>
  </mergeCells>
  <pageMargins left="0.11811023622047245" right="0" top="0.74803149606299213" bottom="0.55118110236220474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96B7-0A1D-4559-8FBD-70849B4C4F5D}">
  <dimension ref="A1:Z40"/>
  <sheetViews>
    <sheetView topLeftCell="A7" workbookViewId="0">
      <selection activeCell="S34" sqref="S34:S36"/>
    </sheetView>
  </sheetViews>
  <sheetFormatPr baseColWidth="10" defaultRowHeight="15" x14ac:dyDescent="0.25"/>
  <cols>
    <col min="1" max="1" width="9.28515625" customWidth="1"/>
    <col min="2" max="2" width="9.7109375" customWidth="1"/>
    <col min="3" max="3" width="10.140625" customWidth="1"/>
    <col min="4" max="4" width="9.5703125" customWidth="1"/>
    <col min="5" max="5" width="10.28515625" customWidth="1"/>
    <col min="6" max="6" width="9.7109375" customWidth="1"/>
    <col min="7" max="7" width="10.28515625" customWidth="1"/>
    <col min="8" max="8" width="8.28515625" customWidth="1"/>
    <col min="9" max="9" width="9.42578125" customWidth="1"/>
    <col min="14" max="14" width="10.85546875" customWidth="1"/>
    <col min="15" max="15" width="13" customWidth="1"/>
  </cols>
  <sheetData>
    <row r="1" spans="1:26" x14ac:dyDescent="0.2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53"/>
      <c r="Q1" s="53"/>
      <c r="R1" s="53"/>
      <c r="S1" s="53"/>
      <c r="T1" s="53"/>
      <c r="U1" s="53"/>
      <c r="V1" s="53"/>
      <c r="W1" s="53"/>
    </row>
    <row r="2" spans="1:26" ht="15.75" thickBot="1" x14ac:dyDescent="0.3">
      <c r="A2" s="2" t="s">
        <v>1</v>
      </c>
    </row>
    <row r="3" spans="1:26" ht="15.75" thickBot="1" x14ac:dyDescent="0.3">
      <c r="A3" s="69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  <c r="P3" s="3"/>
      <c r="Q3" s="3"/>
      <c r="R3" s="3"/>
      <c r="S3" s="3"/>
      <c r="T3" s="3"/>
      <c r="U3" s="3"/>
      <c r="V3" s="3"/>
      <c r="W3" s="3"/>
    </row>
    <row r="4" spans="1:26" x14ac:dyDescent="0.25">
      <c r="A4" s="4"/>
      <c r="B4" s="4"/>
      <c r="C4" s="72" t="s">
        <v>3</v>
      </c>
      <c r="D4" s="72"/>
      <c r="E4" s="72"/>
      <c r="F4" s="4"/>
      <c r="G4" s="4"/>
      <c r="H4" s="4"/>
      <c r="I4" s="4"/>
      <c r="J4" s="4"/>
      <c r="K4" s="4"/>
      <c r="L4" s="4"/>
      <c r="M4" s="5"/>
      <c r="N4" s="5"/>
      <c r="O4" s="4"/>
      <c r="P4" s="4"/>
      <c r="Q4" s="4"/>
      <c r="R4" s="4"/>
      <c r="S4" s="4"/>
      <c r="T4" s="4"/>
      <c r="U4" s="4"/>
      <c r="V4" s="4"/>
      <c r="W4" s="4"/>
    </row>
    <row r="5" spans="1:26" ht="15.75" thickBot="1" x14ac:dyDescent="0.3">
      <c r="B5" s="73" t="s">
        <v>4</v>
      </c>
      <c r="C5" s="73"/>
      <c r="D5" s="6"/>
      <c r="E5" s="7"/>
      <c r="F5" s="8" t="s">
        <v>5</v>
      </c>
      <c r="G5" s="8"/>
      <c r="H5" s="7"/>
      <c r="I5" s="7"/>
      <c r="J5" s="6"/>
      <c r="K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6" ht="15.75" thickBot="1" x14ac:dyDescent="0.3">
      <c r="A6" s="74" t="s">
        <v>6</v>
      </c>
      <c r="B6" s="76" t="s">
        <v>7</v>
      </c>
      <c r="C6" s="77"/>
      <c r="D6" s="78" t="s">
        <v>8</v>
      </c>
      <c r="E6" s="80" t="s">
        <v>9</v>
      </c>
      <c r="F6" s="81"/>
      <c r="G6" s="81"/>
      <c r="H6" s="9"/>
      <c r="I6" s="9"/>
      <c r="J6" s="82" t="s">
        <v>31</v>
      </c>
      <c r="K6" s="63" t="s">
        <v>30</v>
      </c>
      <c r="L6" s="61" t="s">
        <v>10</v>
      </c>
      <c r="M6" s="63" t="s">
        <v>11</v>
      </c>
      <c r="N6" s="10"/>
      <c r="O6" s="65" t="s">
        <v>12</v>
      </c>
      <c r="P6" s="51"/>
      <c r="Q6" s="51"/>
      <c r="R6" s="51"/>
      <c r="S6" s="12"/>
      <c r="T6" s="12"/>
      <c r="U6" s="12"/>
      <c r="V6" s="12"/>
      <c r="W6" s="12"/>
      <c r="X6" s="65" t="s">
        <v>13</v>
      </c>
    </row>
    <row r="7" spans="1:26" ht="39" thickBot="1" x14ac:dyDescent="0.3">
      <c r="A7" s="75"/>
      <c r="B7" s="13" t="s">
        <v>14</v>
      </c>
      <c r="C7" s="49" t="s">
        <v>15</v>
      </c>
      <c r="D7" s="79"/>
      <c r="E7" s="54" t="s">
        <v>14</v>
      </c>
      <c r="F7" s="16" t="s">
        <v>15</v>
      </c>
      <c r="G7" s="50" t="s">
        <v>16</v>
      </c>
      <c r="H7" s="50" t="s">
        <v>29</v>
      </c>
      <c r="I7" s="50" t="s">
        <v>28</v>
      </c>
      <c r="J7" s="83"/>
      <c r="K7" s="64"/>
      <c r="L7" s="62"/>
      <c r="M7" s="64"/>
      <c r="N7" s="18" t="s">
        <v>17</v>
      </c>
      <c r="O7" s="66"/>
      <c r="P7" s="52" t="s">
        <v>18</v>
      </c>
      <c r="Q7" s="52" t="s">
        <v>19</v>
      </c>
      <c r="R7" s="52" t="s">
        <v>20</v>
      </c>
      <c r="S7" s="20" t="s">
        <v>21</v>
      </c>
      <c r="T7" s="20" t="s">
        <v>26</v>
      </c>
      <c r="U7" s="20" t="s">
        <v>27</v>
      </c>
      <c r="V7" s="21" t="s">
        <v>22</v>
      </c>
      <c r="W7" s="21" t="s">
        <v>23</v>
      </c>
      <c r="X7" s="67"/>
      <c r="Y7" t="s">
        <v>24</v>
      </c>
      <c r="Z7" s="22" t="s">
        <v>25</v>
      </c>
    </row>
    <row r="8" spans="1:26" x14ac:dyDescent="0.25">
      <c r="A8" s="23"/>
      <c r="B8" s="24"/>
      <c r="C8" s="24"/>
      <c r="D8" s="25"/>
      <c r="E8" s="24"/>
      <c r="F8" s="24"/>
      <c r="G8" s="7"/>
      <c r="H8" s="24"/>
      <c r="I8" s="24"/>
      <c r="J8" s="25"/>
      <c r="K8" s="24"/>
      <c r="L8" s="24"/>
      <c r="M8" s="24"/>
      <c r="N8" s="24"/>
      <c r="O8" s="26">
        <v>6775.5</v>
      </c>
      <c r="P8" s="26"/>
      <c r="Q8" s="26"/>
      <c r="R8" s="26"/>
      <c r="S8" s="27">
        <v>9028.2999999999993</v>
      </c>
      <c r="T8" s="27">
        <v>1221.2</v>
      </c>
      <c r="U8" s="27">
        <v>7931.4</v>
      </c>
      <c r="V8" s="27">
        <v>1440.1</v>
      </c>
      <c r="W8" s="27"/>
      <c r="X8" s="28">
        <v>26450.5</v>
      </c>
      <c r="Y8" s="29">
        <v>5266</v>
      </c>
    </row>
    <row r="9" spans="1:26" x14ac:dyDescent="0.25">
      <c r="A9" s="30">
        <v>46023</v>
      </c>
      <c r="B9" s="31"/>
      <c r="C9" s="32"/>
      <c r="D9" s="31">
        <f>SUM(B9+C9)</f>
        <v>0</v>
      </c>
      <c r="F9" s="32"/>
      <c r="G9" s="33">
        <v>1040.5</v>
      </c>
      <c r="H9" s="32"/>
      <c r="I9" s="32"/>
      <c r="J9" s="31">
        <f t="shared" ref="J9:J39" si="0">SUM(E9:I9)</f>
        <v>1040.5</v>
      </c>
      <c r="K9" s="32">
        <f t="shared" ref="K9:K39" si="1">SUM(D9+J9)</f>
        <v>1040.5</v>
      </c>
      <c r="L9" s="32"/>
      <c r="M9" s="32">
        <f t="shared" ref="M9:M39" si="2">SUM(K9-L9)</f>
        <v>1040.5</v>
      </c>
      <c r="N9" s="32"/>
      <c r="O9" s="26">
        <f t="shared" ref="O9:O31" si="3">SUM(O8+M9-S9)</f>
        <v>7816</v>
      </c>
      <c r="P9" s="34">
        <f>SUM(K9+N9)</f>
        <v>1040.5</v>
      </c>
      <c r="Q9" s="34"/>
      <c r="R9" s="34">
        <f>SUM(L9+Q9)</f>
        <v>0</v>
      </c>
      <c r="S9" s="32"/>
      <c r="T9" s="32"/>
      <c r="U9" s="32"/>
      <c r="V9" s="32"/>
      <c r="W9" s="27"/>
      <c r="X9" s="35">
        <f>SUM(X8+M9)</f>
        <v>27491</v>
      </c>
    </row>
    <row r="10" spans="1:26" x14ac:dyDescent="0.25">
      <c r="A10" s="30">
        <v>46024</v>
      </c>
      <c r="B10" s="32">
        <v>466</v>
      </c>
      <c r="C10" s="32">
        <v>1035</v>
      </c>
      <c r="D10" s="31">
        <f>SUM(B10+C10)</f>
        <v>1501</v>
      </c>
      <c r="E10" s="32">
        <v>190.7</v>
      </c>
      <c r="F10" s="36">
        <v>449</v>
      </c>
      <c r="G10" s="32">
        <v>301.5</v>
      </c>
      <c r="H10" s="32"/>
      <c r="I10" s="32"/>
      <c r="J10" s="31">
        <f t="shared" si="0"/>
        <v>941.2</v>
      </c>
      <c r="K10" s="32">
        <f t="shared" si="1"/>
        <v>2442.1999999999998</v>
      </c>
      <c r="L10" s="32"/>
      <c r="M10" s="32">
        <f t="shared" si="2"/>
        <v>2442.1999999999998</v>
      </c>
      <c r="N10" s="32"/>
      <c r="O10" s="26">
        <f t="shared" si="3"/>
        <v>10258.200000000001</v>
      </c>
      <c r="P10" s="34">
        <f t="shared" ref="P10:P38" si="4">SUM(K10+N10)</f>
        <v>2442.1999999999998</v>
      </c>
      <c r="Q10" s="34"/>
      <c r="R10" s="34">
        <f t="shared" ref="R10:R39" si="5">SUM(L10+Q10)</f>
        <v>0</v>
      </c>
      <c r="S10" s="32"/>
      <c r="T10" s="32"/>
      <c r="U10" s="32"/>
      <c r="V10" s="32"/>
      <c r="W10" s="27"/>
      <c r="X10" s="35">
        <f t="shared" ref="X10:X25" si="6">SUM(X9+M10)</f>
        <v>29933.200000000001</v>
      </c>
    </row>
    <row r="11" spans="1:26" x14ac:dyDescent="0.25">
      <c r="A11" s="30">
        <v>46025</v>
      </c>
      <c r="B11" s="32"/>
      <c r="C11" s="32"/>
      <c r="D11" s="31">
        <f t="shared" ref="D11:D38" si="7">SUM(B11+C11)</f>
        <v>0</v>
      </c>
      <c r="E11" s="32">
        <v>56.8</v>
      </c>
      <c r="F11" s="36"/>
      <c r="G11" s="32">
        <v>461</v>
      </c>
      <c r="H11" s="27"/>
      <c r="I11" s="27">
        <v>32</v>
      </c>
      <c r="J11" s="31">
        <f t="shared" si="0"/>
        <v>549.79999999999995</v>
      </c>
      <c r="K11" s="27">
        <f t="shared" si="1"/>
        <v>549.79999999999995</v>
      </c>
      <c r="L11" s="37"/>
      <c r="M11" s="32">
        <f t="shared" si="2"/>
        <v>549.79999999999995</v>
      </c>
      <c r="N11" s="32">
        <v>644.9</v>
      </c>
      <c r="O11" s="26">
        <f t="shared" si="3"/>
        <v>10808</v>
      </c>
      <c r="P11" s="34">
        <f t="shared" si="4"/>
        <v>1194.6999999999998</v>
      </c>
      <c r="Q11" s="34"/>
      <c r="R11" s="34">
        <f t="shared" si="5"/>
        <v>0</v>
      </c>
      <c r="S11" s="32"/>
      <c r="T11" s="32"/>
      <c r="U11" s="32"/>
      <c r="V11" s="32"/>
      <c r="W11" s="27"/>
      <c r="X11" s="35">
        <f t="shared" si="6"/>
        <v>30483</v>
      </c>
    </row>
    <row r="12" spans="1:26" x14ac:dyDescent="0.25">
      <c r="A12" s="30">
        <v>46026</v>
      </c>
      <c r="B12" s="32"/>
      <c r="C12" s="32"/>
      <c r="D12" s="31">
        <f t="shared" si="7"/>
        <v>0</v>
      </c>
      <c r="E12" s="32"/>
      <c r="F12" s="32"/>
      <c r="G12" s="32">
        <v>497</v>
      </c>
      <c r="H12" s="32"/>
      <c r="I12" s="32">
        <v>6</v>
      </c>
      <c r="J12" s="31">
        <f t="shared" si="0"/>
        <v>503</v>
      </c>
      <c r="K12" s="32">
        <f t="shared" si="1"/>
        <v>503</v>
      </c>
      <c r="L12" s="32"/>
      <c r="M12" s="32">
        <f t="shared" si="2"/>
        <v>503</v>
      </c>
      <c r="N12" s="32"/>
      <c r="O12" s="26">
        <f t="shared" si="3"/>
        <v>11311</v>
      </c>
      <c r="P12" s="34">
        <f t="shared" si="4"/>
        <v>503</v>
      </c>
      <c r="Q12" s="34"/>
      <c r="R12" s="34">
        <f t="shared" si="5"/>
        <v>0</v>
      </c>
      <c r="S12" s="32"/>
      <c r="T12" s="32"/>
      <c r="U12" s="32"/>
      <c r="V12" s="32"/>
      <c r="W12" s="27"/>
      <c r="X12" s="35">
        <f t="shared" si="6"/>
        <v>30986</v>
      </c>
    </row>
    <row r="13" spans="1:26" x14ac:dyDescent="0.25">
      <c r="A13" s="30">
        <v>46027</v>
      </c>
      <c r="B13" s="32"/>
      <c r="C13" s="32"/>
      <c r="D13" s="31">
        <f t="shared" si="7"/>
        <v>0</v>
      </c>
      <c r="E13" s="32">
        <v>1577.9</v>
      </c>
      <c r="F13" s="32">
        <v>2912.9</v>
      </c>
      <c r="G13" s="32">
        <v>396</v>
      </c>
      <c r="H13" s="27"/>
      <c r="I13" s="27"/>
      <c r="J13" s="31">
        <f t="shared" si="0"/>
        <v>4886.8</v>
      </c>
      <c r="K13" s="32">
        <f t="shared" si="1"/>
        <v>4886.8</v>
      </c>
      <c r="L13" s="32">
        <v>285.5</v>
      </c>
      <c r="M13" s="32">
        <f t="shared" si="2"/>
        <v>4601.3</v>
      </c>
      <c r="N13" s="32">
        <v>1201</v>
      </c>
      <c r="O13" s="26">
        <f t="shared" si="3"/>
        <v>15912.3</v>
      </c>
      <c r="P13" s="34">
        <f t="shared" si="4"/>
        <v>6087.8</v>
      </c>
      <c r="Q13" s="34"/>
      <c r="R13" s="34">
        <f t="shared" si="5"/>
        <v>285.5</v>
      </c>
      <c r="S13" s="27"/>
      <c r="T13" s="27"/>
      <c r="U13" s="27"/>
      <c r="V13" s="27"/>
      <c r="W13" s="27"/>
      <c r="X13" s="35">
        <f t="shared" si="6"/>
        <v>35587.300000000003</v>
      </c>
    </row>
    <row r="14" spans="1:26" x14ac:dyDescent="0.25">
      <c r="A14" s="30">
        <v>46028</v>
      </c>
      <c r="B14" s="32"/>
      <c r="C14" s="32"/>
      <c r="D14" s="31">
        <f t="shared" si="7"/>
        <v>0</v>
      </c>
      <c r="E14" s="32">
        <v>141</v>
      </c>
      <c r="F14" s="32">
        <v>1960.9</v>
      </c>
      <c r="G14" s="32">
        <v>503</v>
      </c>
      <c r="H14" s="32"/>
      <c r="I14" s="32"/>
      <c r="J14" s="31">
        <f t="shared" si="0"/>
        <v>2604.9</v>
      </c>
      <c r="K14" s="32">
        <f t="shared" si="1"/>
        <v>2604.9</v>
      </c>
      <c r="L14" s="32">
        <v>954.6</v>
      </c>
      <c r="M14" s="32">
        <f t="shared" si="2"/>
        <v>1650.3000000000002</v>
      </c>
      <c r="N14" s="32">
        <v>184.9</v>
      </c>
      <c r="O14" s="26">
        <f t="shared" si="3"/>
        <v>17562.599999999999</v>
      </c>
      <c r="P14" s="34">
        <f t="shared" si="4"/>
        <v>2789.8</v>
      </c>
      <c r="Q14" s="34"/>
      <c r="R14" s="34">
        <f t="shared" si="5"/>
        <v>954.6</v>
      </c>
      <c r="S14" s="32"/>
      <c r="T14" s="32"/>
      <c r="U14" s="32"/>
      <c r="V14" s="32"/>
      <c r="W14" s="27"/>
      <c r="X14" s="35">
        <f t="shared" si="6"/>
        <v>37237.600000000006</v>
      </c>
    </row>
    <row r="15" spans="1:26" x14ac:dyDescent="0.25">
      <c r="A15" s="30">
        <v>46029</v>
      </c>
      <c r="B15" s="32"/>
      <c r="C15" s="32"/>
      <c r="D15" s="31">
        <f t="shared" si="7"/>
        <v>0</v>
      </c>
      <c r="E15" s="32">
        <v>2863.3</v>
      </c>
      <c r="F15" s="32">
        <v>3734.6</v>
      </c>
      <c r="G15" s="32">
        <v>507.5</v>
      </c>
      <c r="H15" s="32"/>
      <c r="I15" s="32"/>
      <c r="J15" s="31">
        <f t="shared" si="0"/>
        <v>7105.4</v>
      </c>
      <c r="K15" s="32">
        <f t="shared" si="1"/>
        <v>7105.4</v>
      </c>
      <c r="L15" s="32">
        <v>8.5</v>
      </c>
      <c r="M15" s="32">
        <f t="shared" si="2"/>
        <v>7096.9</v>
      </c>
      <c r="N15" s="32">
        <v>1531.9</v>
      </c>
      <c r="O15" s="26">
        <f t="shared" si="3"/>
        <v>8659.5</v>
      </c>
      <c r="P15" s="34">
        <f t="shared" si="4"/>
        <v>8637.2999999999993</v>
      </c>
      <c r="Q15" s="34"/>
      <c r="R15" s="34">
        <f t="shared" si="5"/>
        <v>8.5</v>
      </c>
      <c r="S15" s="32">
        <v>16000</v>
      </c>
      <c r="T15" s="32"/>
      <c r="U15" s="32"/>
      <c r="V15" s="32"/>
      <c r="W15" s="27"/>
      <c r="X15" s="35">
        <f t="shared" si="6"/>
        <v>44334.500000000007</v>
      </c>
    </row>
    <row r="16" spans="1:26" x14ac:dyDescent="0.25">
      <c r="A16" s="30">
        <v>46030</v>
      </c>
      <c r="B16" s="32"/>
      <c r="C16" s="32"/>
      <c r="D16" s="31">
        <f t="shared" si="7"/>
        <v>0</v>
      </c>
      <c r="E16" s="27">
        <v>473.9</v>
      </c>
      <c r="F16" s="32">
        <v>580</v>
      </c>
      <c r="G16" s="32">
        <v>481</v>
      </c>
      <c r="H16" s="32">
        <v>16.100000000000001</v>
      </c>
      <c r="I16" s="32">
        <v>6</v>
      </c>
      <c r="J16" s="31">
        <f t="shared" si="0"/>
        <v>1557</v>
      </c>
      <c r="K16" s="32">
        <f t="shared" si="1"/>
        <v>1557</v>
      </c>
      <c r="L16" s="32">
        <v>1836.4</v>
      </c>
      <c r="M16" s="32">
        <f t="shared" si="2"/>
        <v>-279.40000000000009</v>
      </c>
      <c r="N16" s="32">
        <v>700</v>
      </c>
      <c r="O16" s="26">
        <f t="shared" si="3"/>
        <v>8380.1</v>
      </c>
      <c r="P16" s="34">
        <f t="shared" si="4"/>
        <v>2257</v>
      </c>
      <c r="Q16" s="34"/>
      <c r="R16" s="34">
        <f t="shared" si="5"/>
        <v>1836.4</v>
      </c>
      <c r="S16" s="32"/>
      <c r="T16" s="32"/>
      <c r="U16" s="32"/>
      <c r="V16" s="32"/>
      <c r="W16" s="27"/>
      <c r="X16" s="35">
        <f t="shared" si="6"/>
        <v>44055.100000000006</v>
      </c>
    </row>
    <row r="17" spans="1:26" x14ac:dyDescent="0.25">
      <c r="A17" s="30">
        <v>46031</v>
      </c>
      <c r="B17" s="32">
        <v>1173</v>
      </c>
      <c r="C17" s="32">
        <v>1606</v>
      </c>
      <c r="D17" s="31">
        <f t="shared" si="7"/>
        <v>2779</v>
      </c>
      <c r="E17" s="32">
        <v>65</v>
      </c>
      <c r="F17" s="32">
        <v>860</v>
      </c>
      <c r="G17" s="32">
        <v>510</v>
      </c>
      <c r="H17" s="32"/>
      <c r="I17" s="32">
        <v>6</v>
      </c>
      <c r="J17" s="31">
        <f t="shared" si="0"/>
        <v>1441</v>
      </c>
      <c r="K17" s="32">
        <f t="shared" si="1"/>
        <v>4220</v>
      </c>
      <c r="L17" s="32">
        <v>720</v>
      </c>
      <c r="M17" s="32">
        <f t="shared" si="2"/>
        <v>3500</v>
      </c>
      <c r="N17" s="32">
        <v>22.6</v>
      </c>
      <c r="O17" s="26">
        <f t="shared" si="3"/>
        <v>11880.1</v>
      </c>
      <c r="P17" s="34">
        <f t="shared" si="4"/>
        <v>4242.6000000000004</v>
      </c>
      <c r="Q17" s="34"/>
      <c r="R17" s="34">
        <f t="shared" si="5"/>
        <v>720</v>
      </c>
      <c r="S17" s="32"/>
      <c r="T17" s="32"/>
      <c r="U17" s="32"/>
      <c r="V17" s="32"/>
      <c r="W17" s="27"/>
      <c r="X17" s="35">
        <f t="shared" si="6"/>
        <v>47555.100000000006</v>
      </c>
    </row>
    <row r="18" spans="1:26" x14ac:dyDescent="0.25">
      <c r="A18" s="30">
        <v>46032</v>
      </c>
      <c r="B18" s="32"/>
      <c r="C18" s="32"/>
      <c r="D18" s="31">
        <f t="shared" si="7"/>
        <v>0</v>
      </c>
      <c r="E18" s="32"/>
      <c r="F18" s="32">
        <v>1700</v>
      </c>
      <c r="G18" s="32">
        <v>496.5</v>
      </c>
      <c r="H18" s="32"/>
      <c r="I18" s="32">
        <v>17</v>
      </c>
      <c r="J18" s="31">
        <f t="shared" si="0"/>
        <v>2213.5</v>
      </c>
      <c r="K18" s="32">
        <f t="shared" si="1"/>
        <v>2213.5</v>
      </c>
      <c r="L18" s="32">
        <v>155</v>
      </c>
      <c r="M18" s="32">
        <f t="shared" si="2"/>
        <v>2058.5</v>
      </c>
      <c r="N18" s="32"/>
      <c r="O18" s="26">
        <f t="shared" si="3"/>
        <v>13938.6</v>
      </c>
      <c r="P18" s="34">
        <f t="shared" si="4"/>
        <v>2213.5</v>
      </c>
      <c r="Q18" s="34"/>
      <c r="R18" s="34">
        <f t="shared" si="5"/>
        <v>155</v>
      </c>
      <c r="S18" s="32"/>
      <c r="T18" s="32"/>
      <c r="U18" s="32"/>
      <c r="V18" s="32"/>
      <c r="W18" s="27"/>
      <c r="X18" s="35">
        <f t="shared" si="6"/>
        <v>49613.600000000006</v>
      </c>
    </row>
    <row r="19" spans="1:26" x14ac:dyDescent="0.25">
      <c r="A19" s="30">
        <v>46033</v>
      </c>
      <c r="B19" s="32"/>
      <c r="C19" s="32"/>
      <c r="D19" s="31">
        <f t="shared" si="7"/>
        <v>0</v>
      </c>
      <c r="E19" s="32"/>
      <c r="F19" s="32"/>
      <c r="G19" s="32">
        <v>460</v>
      </c>
      <c r="H19" s="32"/>
      <c r="I19" s="32"/>
      <c r="J19" s="31">
        <f t="shared" si="0"/>
        <v>460</v>
      </c>
      <c r="K19" s="32">
        <f t="shared" si="1"/>
        <v>460</v>
      </c>
      <c r="L19" s="32"/>
      <c r="M19" s="32">
        <f t="shared" si="2"/>
        <v>460</v>
      </c>
      <c r="N19" s="32"/>
      <c r="O19" s="26">
        <f t="shared" si="3"/>
        <v>14398.6</v>
      </c>
      <c r="P19" s="34">
        <f t="shared" si="4"/>
        <v>460</v>
      </c>
      <c r="Q19" s="34"/>
      <c r="R19" s="34">
        <f t="shared" si="5"/>
        <v>0</v>
      </c>
      <c r="S19" s="32"/>
      <c r="T19" s="32"/>
      <c r="U19" s="32"/>
      <c r="V19" s="32"/>
      <c r="W19" s="27"/>
      <c r="X19" s="35">
        <f t="shared" si="6"/>
        <v>50073.600000000006</v>
      </c>
    </row>
    <row r="20" spans="1:26" x14ac:dyDescent="0.25">
      <c r="A20" s="30">
        <v>46034</v>
      </c>
      <c r="B20" s="32"/>
      <c r="C20" s="32"/>
      <c r="D20" s="31">
        <f t="shared" si="7"/>
        <v>0</v>
      </c>
      <c r="E20" s="32">
        <v>1825.4</v>
      </c>
      <c r="F20" s="37">
        <v>1669.2</v>
      </c>
      <c r="G20" s="32">
        <v>356.5</v>
      </c>
      <c r="H20" s="32"/>
      <c r="I20" s="32"/>
      <c r="J20" s="31">
        <f t="shared" si="0"/>
        <v>3851.1000000000004</v>
      </c>
      <c r="K20" s="32">
        <f t="shared" si="1"/>
        <v>3851.1000000000004</v>
      </c>
      <c r="L20" s="32">
        <v>608</v>
      </c>
      <c r="M20" s="32">
        <f t="shared" si="2"/>
        <v>3243.1000000000004</v>
      </c>
      <c r="N20" s="32"/>
      <c r="O20" s="26">
        <f t="shared" si="3"/>
        <v>17641.7</v>
      </c>
      <c r="P20" s="34">
        <f t="shared" si="4"/>
        <v>3851.1000000000004</v>
      </c>
      <c r="Q20" s="34"/>
      <c r="R20" s="34">
        <f t="shared" si="5"/>
        <v>608</v>
      </c>
      <c r="S20" s="32"/>
      <c r="T20" s="38"/>
      <c r="U20" s="38"/>
      <c r="V20" s="32"/>
      <c r="W20" s="27"/>
      <c r="X20" s="35">
        <f t="shared" si="6"/>
        <v>53316.700000000004</v>
      </c>
      <c r="Y20" s="39"/>
      <c r="Z20" s="38"/>
    </row>
    <row r="21" spans="1:26" x14ac:dyDescent="0.25">
      <c r="A21" s="30">
        <v>46035</v>
      </c>
      <c r="B21" s="32"/>
      <c r="C21" s="32"/>
      <c r="D21" s="31"/>
      <c r="E21" s="32">
        <v>2194.1</v>
      </c>
      <c r="F21" s="37">
        <v>307.89999999999998</v>
      </c>
      <c r="G21" s="32">
        <v>512</v>
      </c>
      <c r="H21" s="32"/>
      <c r="I21" s="32"/>
      <c r="J21" s="31">
        <f t="shared" si="0"/>
        <v>3014</v>
      </c>
      <c r="K21" s="32">
        <f t="shared" si="1"/>
        <v>3014</v>
      </c>
      <c r="L21" s="32">
        <v>100</v>
      </c>
      <c r="M21" s="32">
        <f t="shared" si="2"/>
        <v>2914</v>
      </c>
      <c r="N21" s="32">
        <v>535.9</v>
      </c>
      <c r="O21" s="26">
        <f t="shared" si="3"/>
        <v>10555.7</v>
      </c>
      <c r="P21" s="34">
        <f t="shared" si="4"/>
        <v>3549.9</v>
      </c>
      <c r="Q21" s="34"/>
      <c r="R21" s="34">
        <f t="shared" si="5"/>
        <v>100</v>
      </c>
      <c r="S21" s="32">
        <v>10000</v>
      </c>
      <c r="T21" s="32"/>
      <c r="U21" s="32"/>
      <c r="V21" s="32"/>
      <c r="W21" s="27"/>
      <c r="X21" s="35">
        <f t="shared" si="6"/>
        <v>56230.700000000004</v>
      </c>
    </row>
    <row r="22" spans="1:26" x14ac:dyDescent="0.25">
      <c r="A22" s="30">
        <v>46036</v>
      </c>
      <c r="B22" s="32"/>
      <c r="C22" s="32"/>
      <c r="D22" s="31">
        <f t="shared" si="7"/>
        <v>0</v>
      </c>
      <c r="E22" s="32">
        <v>1557</v>
      </c>
      <c r="F22" s="32">
        <v>4005.5</v>
      </c>
      <c r="G22" s="32">
        <v>461.5</v>
      </c>
      <c r="H22" s="32"/>
      <c r="I22" s="32"/>
      <c r="J22" s="31">
        <f t="shared" si="0"/>
        <v>6024</v>
      </c>
      <c r="K22" s="32">
        <f t="shared" si="1"/>
        <v>6024</v>
      </c>
      <c r="L22" s="32">
        <v>280</v>
      </c>
      <c r="M22" s="32">
        <f t="shared" si="2"/>
        <v>5744</v>
      </c>
      <c r="N22" s="32">
        <v>1531.1</v>
      </c>
      <c r="O22" s="26">
        <f t="shared" si="3"/>
        <v>12299.7</v>
      </c>
      <c r="P22" s="34">
        <f t="shared" si="4"/>
        <v>7555.1</v>
      </c>
      <c r="Q22" s="34"/>
      <c r="R22" s="34">
        <f t="shared" si="5"/>
        <v>280</v>
      </c>
      <c r="S22" s="32">
        <v>4000</v>
      </c>
      <c r="T22" s="32"/>
      <c r="U22" s="32"/>
      <c r="V22" s="32"/>
      <c r="W22" s="27"/>
      <c r="X22" s="35">
        <f t="shared" si="6"/>
        <v>61974.700000000004</v>
      </c>
      <c r="Z22" s="40"/>
    </row>
    <row r="23" spans="1:26" x14ac:dyDescent="0.25">
      <c r="A23" s="30">
        <v>46037</v>
      </c>
      <c r="B23" s="32"/>
      <c r="C23" s="32"/>
      <c r="D23" s="31">
        <f t="shared" si="7"/>
        <v>0</v>
      </c>
      <c r="E23" s="27">
        <v>1652</v>
      </c>
      <c r="F23" s="32">
        <v>213</v>
      </c>
      <c r="G23" s="32">
        <v>455</v>
      </c>
      <c r="H23" s="32"/>
      <c r="I23" s="32">
        <v>6</v>
      </c>
      <c r="J23" s="31">
        <f t="shared" si="0"/>
        <v>2326</v>
      </c>
      <c r="K23" s="32">
        <f t="shared" si="1"/>
        <v>2326</v>
      </c>
      <c r="L23" s="32">
        <v>5204.8</v>
      </c>
      <c r="M23" s="32">
        <f t="shared" si="2"/>
        <v>-2878.8</v>
      </c>
      <c r="N23" s="27">
        <v>540.70000000000005</v>
      </c>
      <c r="O23" s="26">
        <f t="shared" si="3"/>
        <v>9420.9000000000015</v>
      </c>
      <c r="P23" s="34">
        <f t="shared" si="4"/>
        <v>2866.7</v>
      </c>
      <c r="Q23" s="34"/>
      <c r="R23" s="34">
        <f t="shared" si="5"/>
        <v>5204.8</v>
      </c>
      <c r="S23" s="32"/>
      <c r="T23" s="32"/>
      <c r="U23" s="32"/>
      <c r="V23" s="32"/>
      <c r="W23" s="27"/>
      <c r="X23" s="35">
        <f t="shared" si="6"/>
        <v>59095.9</v>
      </c>
    </row>
    <row r="24" spans="1:26" x14ac:dyDescent="0.25">
      <c r="A24" s="30">
        <v>46038</v>
      </c>
      <c r="B24" s="32">
        <v>1360</v>
      </c>
      <c r="C24" s="32">
        <v>2035</v>
      </c>
      <c r="D24" s="31">
        <f t="shared" si="7"/>
        <v>3395</v>
      </c>
      <c r="E24" s="32">
        <v>2629.4</v>
      </c>
      <c r="F24" s="27">
        <v>750</v>
      </c>
      <c r="G24" s="32">
        <v>476.5</v>
      </c>
      <c r="H24" s="32"/>
      <c r="I24" s="32"/>
      <c r="J24" s="31">
        <f t="shared" si="0"/>
        <v>3855.9</v>
      </c>
      <c r="K24" s="32">
        <f t="shared" si="1"/>
        <v>7250.9</v>
      </c>
      <c r="L24" s="32">
        <v>12</v>
      </c>
      <c r="M24" s="32">
        <f t="shared" si="2"/>
        <v>7238.9</v>
      </c>
      <c r="N24" s="27">
        <v>653.1</v>
      </c>
      <c r="O24" s="26">
        <f t="shared" si="3"/>
        <v>6659.8000000000029</v>
      </c>
      <c r="P24" s="34">
        <f t="shared" si="4"/>
        <v>7904</v>
      </c>
      <c r="Q24" s="34"/>
      <c r="R24" s="34">
        <f t="shared" si="5"/>
        <v>12</v>
      </c>
      <c r="S24" s="32">
        <v>10000</v>
      </c>
      <c r="T24" s="32"/>
      <c r="U24" s="32"/>
      <c r="V24" s="32"/>
      <c r="W24" s="27"/>
      <c r="X24" s="35">
        <f t="shared" si="6"/>
        <v>66334.8</v>
      </c>
    </row>
    <row r="25" spans="1:26" x14ac:dyDescent="0.25">
      <c r="A25" s="30">
        <v>46039</v>
      </c>
      <c r="B25" s="32"/>
      <c r="C25" s="32"/>
      <c r="D25" s="31">
        <f t="shared" si="7"/>
        <v>0</v>
      </c>
      <c r="E25" s="32"/>
      <c r="F25" s="32">
        <v>63.5</v>
      </c>
      <c r="G25" s="32">
        <v>503.5</v>
      </c>
      <c r="H25" s="32"/>
      <c r="I25" s="32">
        <v>12</v>
      </c>
      <c r="J25" s="31">
        <f t="shared" si="0"/>
        <v>579</v>
      </c>
      <c r="K25" s="32">
        <f t="shared" si="1"/>
        <v>579</v>
      </c>
      <c r="L25" s="32"/>
      <c r="M25" s="32">
        <f t="shared" si="2"/>
        <v>579</v>
      </c>
      <c r="N25" s="32"/>
      <c r="O25" s="26">
        <f t="shared" si="3"/>
        <v>7238.8000000000029</v>
      </c>
      <c r="P25" s="34">
        <f t="shared" si="4"/>
        <v>579</v>
      </c>
      <c r="Q25" s="34"/>
      <c r="R25" s="34">
        <f t="shared" si="5"/>
        <v>0</v>
      </c>
      <c r="S25" s="32"/>
      <c r="T25" s="32"/>
      <c r="U25" s="32"/>
      <c r="V25" s="32"/>
      <c r="W25" s="27"/>
      <c r="X25" s="35">
        <f t="shared" si="6"/>
        <v>66913.8</v>
      </c>
      <c r="Z25" s="40"/>
    </row>
    <row r="26" spans="1:26" x14ac:dyDescent="0.25">
      <c r="A26" s="30">
        <v>46040</v>
      </c>
      <c r="B26" s="32"/>
      <c r="C26" s="32"/>
      <c r="D26" s="31">
        <f t="shared" si="7"/>
        <v>0</v>
      </c>
      <c r="E26" s="32"/>
      <c r="F26" s="32"/>
      <c r="G26" s="32">
        <v>520.5</v>
      </c>
      <c r="H26" s="32"/>
      <c r="I26" s="32">
        <v>6</v>
      </c>
      <c r="J26" s="31">
        <f t="shared" si="0"/>
        <v>526.5</v>
      </c>
      <c r="K26" s="32">
        <f t="shared" si="1"/>
        <v>526.5</v>
      </c>
      <c r="L26" s="32"/>
      <c r="M26" s="32">
        <f t="shared" si="2"/>
        <v>526.5</v>
      </c>
      <c r="N26" s="27"/>
      <c r="O26" s="26">
        <f t="shared" si="3"/>
        <v>7765.3000000000029</v>
      </c>
      <c r="P26" s="34">
        <f t="shared" si="4"/>
        <v>526.5</v>
      </c>
      <c r="Q26" s="34"/>
      <c r="R26" s="34">
        <f t="shared" si="5"/>
        <v>0</v>
      </c>
      <c r="S26" s="32"/>
      <c r="T26" s="32"/>
      <c r="U26" s="32"/>
      <c r="V26" s="32"/>
      <c r="W26" s="27"/>
      <c r="X26" s="35">
        <f>SUM(X25+M26-W26)</f>
        <v>67440.3</v>
      </c>
    </row>
    <row r="27" spans="1:26" x14ac:dyDescent="0.25">
      <c r="A27" s="30">
        <v>46041</v>
      </c>
      <c r="B27" s="32"/>
      <c r="C27" s="32"/>
      <c r="D27" s="31">
        <f t="shared" si="7"/>
        <v>0</v>
      </c>
      <c r="E27" s="32">
        <v>282.60000000000002</v>
      </c>
      <c r="F27" s="32">
        <v>906.4</v>
      </c>
      <c r="G27" s="32">
        <v>352</v>
      </c>
      <c r="H27" s="32"/>
      <c r="I27" s="32">
        <v>10</v>
      </c>
      <c r="J27" s="31">
        <f t="shared" si="0"/>
        <v>1551</v>
      </c>
      <c r="K27" s="32">
        <f t="shared" si="1"/>
        <v>1551</v>
      </c>
      <c r="L27" s="32">
        <v>115</v>
      </c>
      <c r="M27" s="32">
        <f t="shared" si="2"/>
        <v>1436</v>
      </c>
      <c r="N27" s="32">
        <v>420.4</v>
      </c>
      <c r="O27" s="26">
        <f t="shared" si="3"/>
        <v>9201.3000000000029</v>
      </c>
      <c r="P27" s="34">
        <f t="shared" si="4"/>
        <v>1971.4</v>
      </c>
      <c r="Q27" s="34">
        <v>24568.9</v>
      </c>
      <c r="R27" s="34">
        <f t="shared" si="5"/>
        <v>24683.9</v>
      </c>
      <c r="S27" s="32"/>
      <c r="T27" s="32"/>
      <c r="U27" s="32"/>
      <c r="V27" s="32"/>
      <c r="W27" s="27"/>
      <c r="X27" s="35">
        <f t="shared" ref="X27:X39" si="8">SUM(X26+M27-W27)</f>
        <v>68876.3</v>
      </c>
      <c r="Z27" s="40"/>
    </row>
    <row r="28" spans="1:26" x14ac:dyDescent="0.25">
      <c r="A28" s="30">
        <v>46042</v>
      </c>
      <c r="B28" s="32"/>
      <c r="C28" s="32"/>
      <c r="D28" s="31">
        <f t="shared" si="7"/>
        <v>0</v>
      </c>
      <c r="E28" s="32">
        <v>2193.9</v>
      </c>
      <c r="F28" s="32">
        <v>1188.8</v>
      </c>
      <c r="G28" s="32">
        <v>463</v>
      </c>
      <c r="H28" s="32">
        <v>53.7</v>
      </c>
      <c r="I28" s="32">
        <v>10</v>
      </c>
      <c r="J28" s="31">
        <f t="shared" si="0"/>
        <v>3909.3999999999996</v>
      </c>
      <c r="K28" s="32">
        <f t="shared" si="1"/>
        <v>3909.3999999999996</v>
      </c>
      <c r="L28" s="32">
        <v>2084.6</v>
      </c>
      <c r="M28" s="32">
        <f t="shared" si="2"/>
        <v>1824.7999999999997</v>
      </c>
      <c r="N28" s="32">
        <v>768.9</v>
      </c>
      <c r="O28" s="26">
        <f t="shared" si="3"/>
        <v>6026.1000000000022</v>
      </c>
      <c r="P28" s="34">
        <f t="shared" si="4"/>
        <v>4678.2999999999993</v>
      </c>
      <c r="Q28" s="34">
        <v>831</v>
      </c>
      <c r="R28" s="34">
        <f t="shared" si="5"/>
        <v>2915.6</v>
      </c>
      <c r="S28" s="32">
        <v>5000</v>
      </c>
      <c r="T28" s="32"/>
      <c r="U28" s="32"/>
      <c r="V28" s="32"/>
      <c r="W28" s="27"/>
      <c r="X28" s="35">
        <f t="shared" si="8"/>
        <v>70701.100000000006</v>
      </c>
    </row>
    <row r="29" spans="1:26" x14ac:dyDescent="0.25">
      <c r="A29" s="30">
        <v>46043</v>
      </c>
      <c r="B29" s="32"/>
      <c r="C29" s="32"/>
      <c r="D29" s="31">
        <f t="shared" si="7"/>
        <v>0</v>
      </c>
      <c r="E29" s="32">
        <v>3891.4</v>
      </c>
      <c r="F29" s="32">
        <v>2952.1</v>
      </c>
      <c r="G29" s="32">
        <v>425</v>
      </c>
      <c r="H29" s="32"/>
      <c r="I29" s="32">
        <v>18</v>
      </c>
      <c r="J29" s="31">
        <f t="shared" si="0"/>
        <v>7286.5</v>
      </c>
      <c r="K29" s="32">
        <f t="shared" si="1"/>
        <v>7286.5</v>
      </c>
      <c r="L29" s="32"/>
      <c r="M29" s="32">
        <f t="shared" si="2"/>
        <v>7286.5</v>
      </c>
      <c r="N29" s="32">
        <v>1747</v>
      </c>
      <c r="O29" s="26">
        <f t="shared" si="3"/>
        <v>13312.600000000002</v>
      </c>
      <c r="P29" s="34">
        <f t="shared" si="4"/>
        <v>9033.5</v>
      </c>
      <c r="Q29" s="34">
        <v>750</v>
      </c>
      <c r="R29" s="34">
        <f t="shared" si="5"/>
        <v>750</v>
      </c>
      <c r="S29" s="32"/>
      <c r="T29" s="32"/>
      <c r="U29" s="32"/>
      <c r="V29" s="32"/>
      <c r="W29" s="27">
        <v>20000</v>
      </c>
      <c r="X29" s="35">
        <f t="shared" si="8"/>
        <v>57987.600000000006</v>
      </c>
      <c r="Z29" s="39"/>
    </row>
    <row r="30" spans="1:26" x14ac:dyDescent="0.25">
      <c r="A30" s="30">
        <v>46044</v>
      </c>
      <c r="B30" s="32"/>
      <c r="C30" s="32"/>
      <c r="D30" s="31">
        <f t="shared" si="7"/>
        <v>0</v>
      </c>
      <c r="E30" s="32">
        <v>463.4</v>
      </c>
      <c r="F30" s="32">
        <v>583</v>
      </c>
      <c r="G30" s="41">
        <v>479</v>
      </c>
      <c r="H30" s="32"/>
      <c r="I30" s="32">
        <v>18</v>
      </c>
      <c r="J30" s="31">
        <f t="shared" si="0"/>
        <v>1543.4</v>
      </c>
      <c r="K30" s="32">
        <f t="shared" si="1"/>
        <v>1543.4</v>
      </c>
      <c r="L30" s="32">
        <v>835</v>
      </c>
      <c r="M30" s="32">
        <f t="shared" si="2"/>
        <v>708.40000000000009</v>
      </c>
      <c r="N30" s="32"/>
      <c r="O30" s="26">
        <f t="shared" si="3"/>
        <v>10021.000000000002</v>
      </c>
      <c r="P30" s="34">
        <f t="shared" si="4"/>
        <v>1543.4</v>
      </c>
      <c r="Q30" s="34"/>
      <c r="R30" s="34"/>
      <c r="S30" s="32">
        <v>4000</v>
      </c>
      <c r="T30" s="32"/>
      <c r="U30" s="32"/>
      <c r="V30" s="32"/>
      <c r="W30" s="27"/>
      <c r="X30" s="35">
        <f t="shared" si="8"/>
        <v>58696.000000000007</v>
      </c>
    </row>
    <row r="31" spans="1:26" x14ac:dyDescent="0.25">
      <c r="A31" s="30">
        <v>46045</v>
      </c>
      <c r="B31" s="42">
        <v>1628</v>
      </c>
      <c r="C31" s="43">
        <v>1845</v>
      </c>
      <c r="D31" s="31">
        <f t="shared" si="7"/>
        <v>3473</v>
      </c>
      <c r="E31" s="32"/>
      <c r="F31" s="27">
        <v>505.2</v>
      </c>
      <c r="G31" s="32">
        <v>470</v>
      </c>
      <c r="H31" s="32"/>
      <c r="I31" s="32">
        <v>10</v>
      </c>
      <c r="J31" s="31">
        <f t="shared" si="0"/>
        <v>985.2</v>
      </c>
      <c r="K31" s="32">
        <f t="shared" si="1"/>
        <v>4458.2</v>
      </c>
      <c r="L31" s="32">
        <v>150.19999999999999</v>
      </c>
      <c r="M31" s="32">
        <f t="shared" si="2"/>
        <v>4308</v>
      </c>
      <c r="N31" s="32"/>
      <c r="O31" s="26">
        <f t="shared" si="3"/>
        <v>14329.000000000002</v>
      </c>
      <c r="P31" s="34">
        <f t="shared" si="4"/>
        <v>4458.2</v>
      </c>
      <c r="Q31" s="34"/>
      <c r="R31" s="34"/>
      <c r="S31" s="32"/>
      <c r="T31" s="32"/>
      <c r="U31" s="32"/>
      <c r="V31" s="32"/>
      <c r="W31" s="27"/>
      <c r="X31" s="35">
        <f t="shared" si="8"/>
        <v>63004.000000000007</v>
      </c>
    </row>
    <row r="32" spans="1:26" x14ac:dyDescent="0.25">
      <c r="A32" s="30">
        <v>46046</v>
      </c>
      <c r="B32" s="42"/>
      <c r="C32" s="43"/>
      <c r="D32" s="31">
        <f t="shared" si="7"/>
        <v>0</v>
      </c>
      <c r="E32" s="32">
        <v>329.3</v>
      </c>
      <c r="F32" s="27">
        <v>838.8</v>
      </c>
      <c r="G32" s="32">
        <v>786.5</v>
      </c>
      <c r="H32" s="32"/>
      <c r="I32" s="32">
        <v>14</v>
      </c>
      <c r="J32" s="31">
        <f t="shared" si="0"/>
        <v>1968.6</v>
      </c>
      <c r="K32" s="32">
        <f t="shared" si="1"/>
        <v>1968.6</v>
      </c>
      <c r="L32" s="32">
        <v>73.2</v>
      </c>
      <c r="M32" s="32">
        <f t="shared" si="2"/>
        <v>1895.3999999999999</v>
      </c>
      <c r="N32" s="32"/>
      <c r="O32" s="26">
        <f t="shared" ref="O32:O39" si="9">SUM(O31+M32)</f>
        <v>16224.400000000001</v>
      </c>
      <c r="P32" s="34">
        <f t="shared" si="4"/>
        <v>1968.6</v>
      </c>
      <c r="Q32" s="34"/>
      <c r="R32" s="34"/>
      <c r="S32" s="32"/>
      <c r="T32" s="32"/>
      <c r="U32" s="32"/>
      <c r="V32" s="32"/>
      <c r="W32" s="27"/>
      <c r="X32" s="35">
        <f t="shared" si="8"/>
        <v>64899.400000000009</v>
      </c>
    </row>
    <row r="33" spans="1:26" x14ac:dyDescent="0.25">
      <c r="A33" s="30">
        <v>46047</v>
      </c>
      <c r="B33" s="42"/>
      <c r="C33" s="43"/>
      <c r="D33" s="31">
        <f t="shared" si="7"/>
        <v>0</v>
      </c>
      <c r="E33" s="32"/>
      <c r="F33" s="27"/>
      <c r="G33" s="32">
        <v>148.5</v>
      </c>
      <c r="H33" s="32"/>
      <c r="I33" s="32">
        <v>22</v>
      </c>
      <c r="J33" s="31">
        <f t="shared" si="0"/>
        <v>170.5</v>
      </c>
      <c r="K33" s="32">
        <f t="shared" si="1"/>
        <v>170.5</v>
      </c>
      <c r="L33" s="32"/>
      <c r="M33" s="32">
        <f t="shared" si="2"/>
        <v>170.5</v>
      </c>
      <c r="N33" s="32"/>
      <c r="O33" s="26">
        <f t="shared" si="9"/>
        <v>16394.900000000001</v>
      </c>
      <c r="P33" s="34">
        <f t="shared" si="4"/>
        <v>170.5</v>
      </c>
      <c r="Q33" s="34"/>
      <c r="R33" s="34">
        <f t="shared" si="5"/>
        <v>0</v>
      </c>
      <c r="S33" s="32"/>
      <c r="T33" s="32"/>
      <c r="U33" s="32"/>
      <c r="V33" s="32"/>
      <c r="W33" s="27"/>
      <c r="X33" s="35">
        <f t="shared" si="8"/>
        <v>65069.900000000009</v>
      </c>
    </row>
    <row r="34" spans="1:26" x14ac:dyDescent="0.25">
      <c r="A34" s="30">
        <v>46048</v>
      </c>
      <c r="B34" s="42"/>
      <c r="C34" s="43"/>
      <c r="D34" s="31">
        <f t="shared" si="7"/>
        <v>0</v>
      </c>
      <c r="E34" s="32">
        <v>1378.9</v>
      </c>
      <c r="F34" s="32">
        <v>561</v>
      </c>
      <c r="G34" s="32">
        <v>318.5</v>
      </c>
      <c r="H34" s="32"/>
      <c r="I34" s="32">
        <v>10</v>
      </c>
      <c r="J34" s="31">
        <f t="shared" si="0"/>
        <v>2268.4</v>
      </c>
      <c r="K34" s="32">
        <f t="shared" si="1"/>
        <v>2268.4</v>
      </c>
      <c r="L34" s="27">
        <v>485.7</v>
      </c>
      <c r="M34" s="32">
        <f t="shared" si="2"/>
        <v>1782.7</v>
      </c>
      <c r="N34" s="27">
        <v>382.5</v>
      </c>
      <c r="O34" s="26">
        <f t="shared" si="9"/>
        <v>18177.600000000002</v>
      </c>
      <c r="P34" s="34">
        <f t="shared" si="4"/>
        <v>2650.9</v>
      </c>
      <c r="Q34" s="34"/>
      <c r="R34" s="34">
        <f t="shared" si="5"/>
        <v>485.7</v>
      </c>
      <c r="S34" s="32">
        <v>7500</v>
      </c>
      <c r="T34" s="32"/>
      <c r="U34" s="32"/>
      <c r="V34" s="32"/>
      <c r="W34" s="27"/>
      <c r="X34" s="35">
        <f t="shared" si="8"/>
        <v>66852.600000000006</v>
      </c>
      <c r="Y34" s="39"/>
    </row>
    <row r="35" spans="1:26" x14ac:dyDescent="0.25">
      <c r="A35" s="30">
        <v>46049</v>
      </c>
      <c r="B35" s="42"/>
      <c r="C35" s="43"/>
      <c r="D35" s="31">
        <f t="shared" si="7"/>
        <v>0</v>
      </c>
      <c r="E35" s="41">
        <v>3024.9</v>
      </c>
      <c r="F35" s="32">
        <v>583.79999999999995</v>
      </c>
      <c r="G35" s="32">
        <v>448</v>
      </c>
      <c r="H35" s="32"/>
      <c r="I35" s="32">
        <v>10</v>
      </c>
      <c r="J35" s="31">
        <f t="shared" si="0"/>
        <v>4066.7</v>
      </c>
      <c r="K35" s="32">
        <f t="shared" si="1"/>
        <v>4066.7</v>
      </c>
      <c r="L35" s="32">
        <v>539.1</v>
      </c>
      <c r="M35" s="32">
        <f t="shared" si="2"/>
        <v>3527.6</v>
      </c>
      <c r="N35" s="32"/>
      <c r="O35" s="26">
        <f t="shared" si="9"/>
        <v>21705.200000000001</v>
      </c>
      <c r="P35" s="34">
        <f t="shared" si="4"/>
        <v>4066.7</v>
      </c>
      <c r="Q35" s="34"/>
      <c r="R35" s="34">
        <f t="shared" si="5"/>
        <v>539.1</v>
      </c>
      <c r="S35" s="32"/>
      <c r="T35" s="32"/>
      <c r="U35" s="32"/>
      <c r="V35" s="32"/>
      <c r="W35" s="27"/>
      <c r="X35" s="35">
        <f t="shared" si="8"/>
        <v>70380.200000000012</v>
      </c>
      <c r="Y35" s="39"/>
    </row>
    <row r="36" spans="1:26" x14ac:dyDescent="0.25">
      <c r="A36" s="30">
        <v>46050</v>
      </c>
      <c r="B36" s="42"/>
      <c r="C36" s="43"/>
      <c r="D36" s="31">
        <f t="shared" si="7"/>
        <v>0</v>
      </c>
      <c r="E36" s="32">
        <v>1775.5</v>
      </c>
      <c r="F36" s="32">
        <v>1321</v>
      </c>
      <c r="G36" s="32">
        <v>488.5</v>
      </c>
      <c r="H36" s="32">
        <v>670</v>
      </c>
      <c r="I36" s="32">
        <v>10</v>
      </c>
      <c r="J36" s="31">
        <f t="shared" si="0"/>
        <v>4265</v>
      </c>
      <c r="K36" s="32">
        <f t="shared" si="1"/>
        <v>4265</v>
      </c>
      <c r="L36" s="32">
        <v>2052.6</v>
      </c>
      <c r="M36" s="32">
        <f t="shared" si="2"/>
        <v>2212.4</v>
      </c>
      <c r="N36" s="32">
        <v>2955.1</v>
      </c>
      <c r="O36" s="26">
        <f t="shared" si="9"/>
        <v>23917.600000000002</v>
      </c>
      <c r="P36" s="34">
        <f t="shared" si="4"/>
        <v>7220.1</v>
      </c>
      <c r="Q36" s="34"/>
      <c r="R36" s="34">
        <f t="shared" si="5"/>
        <v>2052.6</v>
      </c>
      <c r="S36" s="32">
        <v>670</v>
      </c>
      <c r="T36" s="32"/>
      <c r="U36" s="32"/>
      <c r="V36" s="32"/>
      <c r="W36" s="27"/>
      <c r="X36" s="35">
        <f t="shared" si="8"/>
        <v>72592.600000000006</v>
      </c>
    </row>
    <row r="37" spans="1:26" x14ac:dyDescent="0.25">
      <c r="A37" s="30">
        <v>46051</v>
      </c>
      <c r="B37" s="42"/>
      <c r="C37" s="43"/>
      <c r="D37" s="31">
        <f t="shared" si="7"/>
        <v>0</v>
      </c>
      <c r="E37" s="32">
        <v>571.1</v>
      </c>
      <c r="F37" s="32">
        <v>355</v>
      </c>
      <c r="G37" s="32">
        <v>512</v>
      </c>
      <c r="H37" s="32"/>
      <c r="I37" s="32">
        <v>18</v>
      </c>
      <c r="J37" s="31">
        <f t="shared" si="0"/>
        <v>1456.1</v>
      </c>
      <c r="K37" s="32">
        <f t="shared" si="1"/>
        <v>1456.1</v>
      </c>
      <c r="L37" s="32">
        <v>247.6</v>
      </c>
      <c r="M37" s="32">
        <f t="shared" si="2"/>
        <v>1208.5</v>
      </c>
      <c r="N37" s="32">
        <v>345.6</v>
      </c>
      <c r="O37" s="26">
        <f t="shared" si="9"/>
        <v>25126.100000000002</v>
      </c>
      <c r="P37" s="34">
        <f t="shared" si="4"/>
        <v>1801.6999999999998</v>
      </c>
      <c r="Q37" s="34"/>
      <c r="R37" s="34">
        <f t="shared" si="5"/>
        <v>247.6</v>
      </c>
      <c r="S37" s="32"/>
      <c r="T37" s="32"/>
      <c r="U37" s="32"/>
      <c r="V37" s="32"/>
      <c r="W37" s="27"/>
      <c r="X37" s="35">
        <f t="shared" si="8"/>
        <v>73801.100000000006</v>
      </c>
      <c r="Z37" s="39"/>
    </row>
    <row r="38" spans="1:26" x14ac:dyDescent="0.25">
      <c r="A38" s="30">
        <v>46052</v>
      </c>
      <c r="B38" s="42">
        <v>1937</v>
      </c>
      <c r="C38" s="43">
        <v>2090</v>
      </c>
      <c r="D38" s="31">
        <f t="shared" si="7"/>
        <v>4027</v>
      </c>
      <c r="E38" s="32">
        <v>443</v>
      </c>
      <c r="F38" s="32">
        <v>1642.5</v>
      </c>
      <c r="G38" s="32">
        <v>489</v>
      </c>
      <c r="H38" s="32"/>
      <c r="I38" s="32">
        <v>28</v>
      </c>
      <c r="J38" s="31">
        <f t="shared" si="0"/>
        <v>2602.5</v>
      </c>
      <c r="K38" s="32">
        <f t="shared" si="1"/>
        <v>6629.5</v>
      </c>
      <c r="L38" s="32">
        <v>4443</v>
      </c>
      <c r="M38" s="32">
        <f t="shared" si="2"/>
        <v>2186.5</v>
      </c>
      <c r="N38" s="32"/>
      <c r="O38" s="26">
        <f t="shared" si="9"/>
        <v>27312.600000000002</v>
      </c>
      <c r="P38" s="34">
        <f t="shared" si="4"/>
        <v>6629.5</v>
      </c>
      <c r="Q38" s="34"/>
      <c r="R38" s="34">
        <f t="shared" si="5"/>
        <v>4443</v>
      </c>
      <c r="S38" s="32"/>
      <c r="T38" s="32"/>
      <c r="U38" s="32"/>
      <c r="V38" s="32"/>
      <c r="W38" s="27"/>
      <c r="X38" s="35">
        <f t="shared" si="8"/>
        <v>75987.600000000006</v>
      </c>
    </row>
    <row r="39" spans="1:26" x14ac:dyDescent="0.25">
      <c r="A39" s="30">
        <v>46053</v>
      </c>
      <c r="B39" s="42"/>
      <c r="C39" s="43"/>
      <c r="D39" s="31"/>
      <c r="E39" s="32">
        <v>19</v>
      </c>
      <c r="F39" s="32">
        <v>174.6</v>
      </c>
      <c r="G39" s="32">
        <v>486.5</v>
      </c>
      <c r="H39" s="32"/>
      <c r="I39" s="32">
        <v>24</v>
      </c>
      <c r="J39" s="31">
        <f t="shared" si="0"/>
        <v>704.1</v>
      </c>
      <c r="K39" s="32">
        <f t="shared" si="1"/>
        <v>704.1</v>
      </c>
      <c r="L39" s="32">
        <v>6</v>
      </c>
      <c r="M39" s="32">
        <f t="shared" si="2"/>
        <v>698.1</v>
      </c>
      <c r="N39" s="32">
        <v>30</v>
      </c>
      <c r="O39" s="26">
        <f t="shared" si="9"/>
        <v>28010.7</v>
      </c>
      <c r="P39" s="44"/>
      <c r="Q39" s="44"/>
      <c r="R39" s="34">
        <f t="shared" si="5"/>
        <v>6</v>
      </c>
      <c r="S39" s="45"/>
      <c r="T39" s="45"/>
      <c r="U39" s="45"/>
      <c r="V39" s="45"/>
      <c r="W39" s="27"/>
      <c r="X39" s="35">
        <f t="shared" si="8"/>
        <v>76685.700000000012</v>
      </c>
    </row>
    <row r="40" spans="1:26" x14ac:dyDescent="0.25">
      <c r="A40" s="30"/>
      <c r="B40" s="31">
        <f t="shared" ref="B40:D40" si="10">SUM(B8:B38)</f>
        <v>6564</v>
      </c>
      <c r="C40" s="31">
        <f t="shared" si="10"/>
        <v>8611</v>
      </c>
      <c r="D40" s="31">
        <f t="shared" si="10"/>
        <v>15175</v>
      </c>
      <c r="E40" s="31">
        <f>SUM(E8:E39)</f>
        <v>29599.500000000004</v>
      </c>
      <c r="F40" s="31">
        <f t="shared" ref="F40:N40" si="11">SUM(F8:F39)</f>
        <v>30818.699999999997</v>
      </c>
      <c r="G40" s="31">
        <f t="shared" si="11"/>
        <v>14806</v>
      </c>
      <c r="H40" s="31">
        <f t="shared" si="11"/>
        <v>739.8</v>
      </c>
      <c r="I40" s="31">
        <f t="shared" si="11"/>
        <v>293</v>
      </c>
      <c r="J40" s="31">
        <f t="shared" si="11"/>
        <v>76257.000000000015</v>
      </c>
      <c r="K40" s="31">
        <f t="shared" si="11"/>
        <v>91432.000000000015</v>
      </c>
      <c r="L40" s="31">
        <f t="shared" si="11"/>
        <v>21196.799999999999</v>
      </c>
      <c r="M40" s="31">
        <f t="shared" si="11"/>
        <v>70235.199999999997</v>
      </c>
      <c r="N40" s="31">
        <f t="shared" si="11"/>
        <v>14195.600000000002</v>
      </c>
      <c r="O40" s="31"/>
      <c r="P40" s="45">
        <f>SUM(P8:P38)</f>
        <v>104893.49999999999</v>
      </c>
      <c r="Q40" s="45">
        <f>SUM(Q8:Q38)</f>
        <v>26149.9</v>
      </c>
      <c r="R40" s="45">
        <f>SUM(R8:R38)</f>
        <v>46282.299999999988</v>
      </c>
      <c r="S40" s="45">
        <f>SUM(S8:S39)</f>
        <v>66198.3</v>
      </c>
      <c r="T40" s="45">
        <f t="shared" ref="T40:V40" si="12">SUM(T8:T39)</f>
        <v>1221.2</v>
      </c>
      <c r="U40" s="45">
        <f t="shared" si="12"/>
        <v>7931.4</v>
      </c>
      <c r="V40" s="45">
        <f t="shared" si="12"/>
        <v>1440.1</v>
      </c>
      <c r="W40" s="27">
        <f>SUM(W9:W38)</f>
        <v>20000</v>
      </c>
      <c r="X40" s="47"/>
      <c r="Y40" s="46">
        <f>SUM(Y8:Y38)</f>
        <v>5266</v>
      </c>
    </row>
  </sheetData>
  <mergeCells count="14">
    <mergeCell ref="L6:L7"/>
    <mergeCell ref="M6:M7"/>
    <mergeCell ref="O6:O7"/>
    <mergeCell ref="X6:X7"/>
    <mergeCell ref="A1:O1"/>
    <mergeCell ref="A3:O3"/>
    <mergeCell ref="C4:E4"/>
    <mergeCell ref="B5:C5"/>
    <mergeCell ref="A6:A7"/>
    <mergeCell ref="B6:C6"/>
    <mergeCell ref="D6:D7"/>
    <mergeCell ref="E6:G6"/>
    <mergeCell ref="J6:J7"/>
    <mergeCell ref="K6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Fatima</vt:lpstr>
      <vt:lpstr>contadora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Alfredo Paredes Flores</dc:creator>
  <cp:lastModifiedBy>Oscar Alfredo Paredes Flores</cp:lastModifiedBy>
  <cp:lastPrinted>2026-02-17T00:52:07Z</cp:lastPrinted>
  <dcterms:created xsi:type="dcterms:W3CDTF">2026-01-08T00:37:07Z</dcterms:created>
  <dcterms:modified xsi:type="dcterms:W3CDTF">2026-03-14T23:01:55Z</dcterms:modified>
</cp:coreProperties>
</file>