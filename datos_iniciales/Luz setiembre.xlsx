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MYM\Desktop\"/>
    </mc:Choice>
  </mc:AlternateContent>
  <xr:revisionPtr revIDLastSave="0" documentId="13_ncr:1_{54C47D6F-AF78-48B7-A1D7-D4188FFE7758}" xr6:coauthVersionLast="47" xr6:coauthVersionMax="47" xr10:uidLastSave="{00000000-0000-0000-0000-000000000000}"/>
  <bookViews>
    <workbookView xWindow="-120" yWindow="-120" windowWidth="19440" windowHeight="10440" firstSheet="1" activeTab="3" xr2:uid="{9E98127E-4D1F-42D6-9BAA-B0FCD27FB292}"/>
  </bookViews>
  <sheets>
    <sheet name=" SETIEMBRE CON MEDIDORES SOCIOS" sheetId="1" r:id="rId1"/>
    <sheet name="socios sin medidores" sheetId="2" r:id="rId2"/>
    <sheet name="Hoja1" sheetId="4" r:id="rId3"/>
    <sheet name="INQUILINOS SETIEMBRE" sheetId="3" r:id="rId4"/>
  </sheets>
  <definedNames>
    <definedName name="_xlnm._FilterDatabase" localSheetId="0" hidden="1">' SETIEMBRE CON MEDIDORES SOCIOS'!$A$1:$G$118</definedName>
    <definedName name="_xlnm._FilterDatabase" localSheetId="3" hidden="1">'INQUILINOS SETIEMBRE'!$A$2:$H$61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0" i="4" l="1"/>
  <c r="H80" i="4" s="1"/>
  <c r="F79" i="4"/>
  <c r="H79" i="4" s="1"/>
  <c r="F78" i="4"/>
  <c r="H78" i="4" s="1"/>
  <c r="F77" i="4"/>
  <c r="H77" i="4" s="1"/>
  <c r="F76" i="4"/>
  <c r="H76" i="4" s="1"/>
  <c r="F75" i="4"/>
  <c r="H75" i="4" s="1"/>
  <c r="F74" i="4"/>
  <c r="H74" i="4" s="1"/>
  <c r="F73" i="4"/>
  <c r="H73" i="4" s="1"/>
  <c r="F72" i="4"/>
  <c r="H72" i="4" s="1"/>
  <c r="F71" i="4"/>
  <c r="H71" i="4" s="1"/>
  <c r="F70" i="4"/>
  <c r="H70" i="4" s="1"/>
  <c r="F69" i="4"/>
  <c r="H69" i="4" s="1"/>
  <c r="F68" i="4"/>
  <c r="H68" i="4" s="1"/>
  <c r="F67" i="4"/>
  <c r="H67" i="4" s="1"/>
  <c r="F66" i="4"/>
  <c r="H66" i="4" s="1"/>
  <c r="F65" i="4"/>
  <c r="H65" i="4" s="1"/>
  <c r="F64" i="4"/>
  <c r="H64" i="4" s="1"/>
  <c r="F63" i="4"/>
  <c r="H63" i="4" s="1"/>
  <c r="F62" i="4"/>
  <c r="H62" i="4" s="1"/>
  <c r="F61" i="4"/>
  <c r="H61" i="4" s="1"/>
  <c r="F60" i="4"/>
  <c r="H60" i="4" s="1"/>
  <c r="F59" i="4"/>
  <c r="H59" i="4" s="1"/>
  <c r="F58" i="4"/>
  <c r="H58" i="4" s="1"/>
  <c r="F57" i="4"/>
  <c r="H57" i="4" s="1"/>
  <c r="F56" i="4"/>
  <c r="H56" i="4" s="1"/>
  <c r="F55" i="4"/>
  <c r="H55" i="4" s="1"/>
  <c r="F54" i="4"/>
  <c r="H54" i="4" s="1"/>
  <c r="F53" i="4"/>
  <c r="H53" i="4" s="1"/>
  <c r="F52" i="4"/>
  <c r="H52" i="4" s="1"/>
  <c r="F51" i="4"/>
  <c r="H51" i="4" s="1"/>
  <c r="F50" i="4"/>
  <c r="H50" i="4" s="1"/>
  <c r="F49" i="4"/>
  <c r="H49" i="4" s="1"/>
  <c r="F48" i="4"/>
  <c r="H48" i="4" s="1"/>
  <c r="F47" i="4"/>
  <c r="H47" i="4" s="1"/>
  <c r="F46" i="4"/>
  <c r="H46" i="4" s="1"/>
  <c r="F45" i="4"/>
  <c r="H45" i="4" s="1"/>
  <c r="F44" i="4"/>
  <c r="H44" i="4" s="1"/>
  <c r="F43" i="4"/>
  <c r="H43" i="4" s="1"/>
  <c r="F42" i="4"/>
  <c r="H42" i="4" s="1"/>
  <c r="F41" i="4"/>
  <c r="H41" i="4" s="1"/>
  <c r="F40" i="4"/>
  <c r="H40" i="4" s="1"/>
  <c r="F39" i="4"/>
  <c r="H39" i="4" s="1"/>
  <c r="F38" i="4"/>
  <c r="H38" i="4" s="1"/>
  <c r="F37" i="4"/>
  <c r="H37" i="4" s="1"/>
  <c r="F36" i="4"/>
  <c r="H36" i="4" s="1"/>
  <c r="F35" i="4"/>
  <c r="H35" i="4" s="1"/>
  <c r="F34" i="4"/>
  <c r="F33" i="4"/>
  <c r="H33" i="4" s="1"/>
  <c r="F32" i="4"/>
  <c r="H32" i="4" s="1"/>
  <c r="F31" i="4"/>
  <c r="H31" i="4" s="1"/>
  <c r="F30" i="4"/>
  <c r="H30" i="4" s="1"/>
  <c r="H29" i="4"/>
  <c r="F29" i="4"/>
  <c r="F28" i="4"/>
  <c r="H28" i="4" s="1"/>
  <c r="F27" i="4"/>
  <c r="H27" i="4" s="1"/>
  <c r="F26" i="4"/>
  <c r="F25" i="4"/>
  <c r="H25" i="4" s="1"/>
  <c r="F24" i="4"/>
  <c r="H24" i="4" s="1"/>
  <c r="F23" i="4"/>
  <c r="H23" i="4" s="1"/>
  <c r="F22" i="4"/>
  <c r="H22" i="4" s="1"/>
  <c r="F21" i="4"/>
  <c r="H21" i="4" s="1"/>
  <c r="F20" i="4"/>
  <c r="H20" i="4" s="1"/>
  <c r="F19" i="4"/>
  <c r="H19" i="4" s="1"/>
  <c r="F18" i="4"/>
  <c r="H18" i="4" s="1"/>
  <c r="F17" i="4"/>
  <c r="H17" i="4" s="1"/>
  <c r="F16" i="4"/>
  <c r="H16" i="4" s="1"/>
  <c r="F15" i="4"/>
  <c r="H15" i="4" s="1"/>
  <c r="F14" i="4"/>
  <c r="H13" i="4"/>
  <c r="F13" i="4"/>
  <c r="F12" i="4"/>
  <c r="H12" i="4" s="1"/>
  <c r="F11" i="4"/>
  <c r="H11" i="4" s="1"/>
  <c r="F10" i="4"/>
  <c r="H10" i="4" s="1"/>
  <c r="F9" i="4"/>
  <c r="H9" i="4" s="1"/>
  <c r="F8" i="4"/>
  <c r="H8" i="4" s="1"/>
  <c r="F7" i="4"/>
  <c r="H7" i="4" s="1"/>
  <c r="H6" i="4"/>
  <c r="F6" i="4"/>
  <c r="F5" i="4"/>
  <c r="H5" i="4" s="1"/>
  <c r="F4" i="4"/>
  <c r="H4" i="4" s="1"/>
  <c r="F3" i="4"/>
  <c r="H3" i="4" s="1"/>
  <c r="E91" i="2"/>
  <c r="H5" i="2"/>
  <c r="H6" i="2"/>
  <c r="H7" i="2"/>
  <c r="H8" i="2"/>
  <c r="H9" i="2"/>
  <c r="H10" i="2"/>
  <c r="H11" i="2"/>
  <c r="H12" i="2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H28" i="2"/>
  <c r="H29" i="2"/>
  <c r="H30" i="2"/>
  <c r="H31" i="2"/>
  <c r="H32" i="2"/>
  <c r="H33" i="2"/>
  <c r="H34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4" i="2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4" i="1"/>
  <c r="G60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8" i="3"/>
  <c r="G9" i="3"/>
  <c r="G10" i="3"/>
  <c r="G11" i="3"/>
  <c r="E89" i="2"/>
  <c r="F61" i="2" l="1"/>
  <c r="F47" i="2"/>
  <c r="H58" i="3"/>
  <c r="H56" i="3"/>
  <c r="H55" i="3"/>
  <c r="H54" i="3"/>
  <c r="H53" i="3"/>
  <c r="H52" i="3"/>
  <c r="H51" i="3"/>
  <c r="H50" i="3"/>
  <c r="H47" i="3"/>
  <c r="H46" i="3"/>
  <c r="H45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7" i="3"/>
  <c r="G7" i="3"/>
  <c r="H6" i="3"/>
  <c r="G6" i="3"/>
  <c r="H5" i="3"/>
  <c r="G5" i="3"/>
  <c r="H4" i="3"/>
  <c r="G4" i="3"/>
  <c r="H3" i="3"/>
  <c r="G3" i="3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82" i="2" l="1"/>
  <c r="H61" i="3"/>
  <c r="F118" i="1"/>
  <c r="G118" i="1"/>
  <c r="H82" i="2" l="1"/>
</calcChain>
</file>

<file path=xl/sharedStrings.xml><?xml version="1.0" encoding="utf-8"?>
<sst xmlns="http://schemas.openxmlformats.org/spreadsheetml/2006/main" count="608" uniqueCount="347">
  <si>
    <t>MONTO COBRADO POR kilowatts</t>
  </si>
  <si>
    <t>Nº</t>
  </si>
  <si>
    <t>NOMBRE Y APELLIDO (SOCIOS)</t>
  </si>
  <si>
    <t xml:space="preserve">N° DE PUESTO </t>
  </si>
  <si>
    <t>Coms. Kwh</t>
  </si>
  <si>
    <t>HUAYHUALLA DE LOPEZ DONATILA</t>
  </si>
  <si>
    <t>QUISPE COPAYO  ELIO CARLOS</t>
  </si>
  <si>
    <t>RODRIGUEZ CORDOVA MARCOS</t>
  </si>
  <si>
    <t>HUAMAN YNCA VISITACION</t>
  </si>
  <si>
    <t>TORRES ASTO FRANCISCO</t>
  </si>
  <si>
    <t>MAYHUASCA BASTIDAS ULISES</t>
  </si>
  <si>
    <t>CARTAGENA MAMANI BENJAMIN</t>
  </si>
  <si>
    <t>PEREZ PONCE SATURNINA MARGARITA</t>
  </si>
  <si>
    <t>PALOMINO HANCCO CECILIA</t>
  </si>
  <si>
    <t>ZAPATA RIVERA ROSANA</t>
  </si>
  <si>
    <t>RIOS RAMOS MANUEL ELOY</t>
  </si>
  <si>
    <t>QUISPE CONSA MIGUEL</t>
  </si>
  <si>
    <t xml:space="preserve">TINEO CABRERA SONIA </t>
  </si>
  <si>
    <t>CHALLCO DE PALOMINO NICOLAZA</t>
  </si>
  <si>
    <t>PALOMINO TENORIO SILVIO EDUARDO</t>
  </si>
  <si>
    <t>CULE CARRASCO HAYDEE MONICA</t>
  </si>
  <si>
    <t>YRUPAILLA ANAMPA ISIDRO</t>
  </si>
  <si>
    <t>VALENCIA TOMAS VICENTE</t>
  </si>
  <si>
    <t>TORRES ASTO NERY (F)</t>
  </si>
  <si>
    <t>RIVERA FERNANDEZ MARINA MAXILIANA</t>
  </si>
  <si>
    <t>FLORES FLORES UMBELINA DORA</t>
  </si>
  <si>
    <t>MAYHUASCA BASTIDAS MARILU</t>
  </si>
  <si>
    <t>ORTIZ ÑAUPA WELINTONH</t>
  </si>
  <si>
    <t>ESTRADA OSORIO DONATO</t>
  </si>
  <si>
    <t>MEDINA MEDRANO JUAN CARLOS</t>
  </si>
  <si>
    <t>RICSE SAYES TERESA REYNA</t>
  </si>
  <si>
    <t>CCOYLLO POLANCO DANIEL</t>
  </si>
  <si>
    <t>CCOYLLO MAYHUASCA ALEXIS</t>
  </si>
  <si>
    <t xml:space="preserve">MALLQUI JULCA ALEJANDRINO TEODORO </t>
  </si>
  <si>
    <t>GUTIERREZ CASTILLO  JORGE</t>
  </si>
  <si>
    <t>CHOQUEHUAMANI FELIX CEFERINO</t>
  </si>
  <si>
    <t>GELDRES REVILLA MIGUEL</t>
  </si>
  <si>
    <t>VARA DE ROSAS ALICIA VALENTINA</t>
  </si>
  <si>
    <t>MAYHUASCA BASTIDAS CLUDDY</t>
  </si>
  <si>
    <t xml:space="preserve">NICHO LOPEZ ESTHEPANY CARICIA </t>
  </si>
  <si>
    <t>JARA ALVARES CRISTALINA</t>
  </si>
  <si>
    <t>CRUZ JARAMILLO LUIS</t>
  </si>
  <si>
    <t>CALDERON VERA SEGUNDO ALCIDES</t>
  </si>
  <si>
    <t>CARPIO VASQUEZ TEOFILA</t>
  </si>
  <si>
    <t xml:space="preserve">VILLANUEVA INGA DE VASQUEZ ROSA </t>
  </si>
  <si>
    <t>VICENTE CALIXTO JOSE ALBERTO</t>
  </si>
  <si>
    <t>ZAPATA  VELIT VICTORIANO</t>
  </si>
  <si>
    <t>AGUIRRE QUISPE WILFREDO GILMER</t>
  </si>
  <si>
    <t>OQUENDO ARISACA MELESIA ROSARIO</t>
  </si>
  <si>
    <t>CABALLERO CALZADO GLADYS VICTORIA</t>
  </si>
  <si>
    <t>CORDOVA PEREZ MARCO ANTONIO</t>
  </si>
  <si>
    <t>VILCHEZ GUTARRA LOURDES FANNY</t>
  </si>
  <si>
    <t>CASTRO ALEJANDRO HORTENCIA LUCILA</t>
  </si>
  <si>
    <t>ALVAREZ MARIN MARIANELA</t>
  </si>
  <si>
    <t>QUISPE CONSA VIDAL</t>
  </si>
  <si>
    <t xml:space="preserve">ESTELA SUAREZ ELVIA </t>
  </si>
  <si>
    <t>MESIA CRUZ GLADYS</t>
  </si>
  <si>
    <t>VARA CASTRO ERNESTINA</t>
  </si>
  <si>
    <t>QUISPE DE PALOMINO DOROTEA</t>
  </si>
  <si>
    <t>PALOMINO VELASQUEZ EUSEBIO</t>
  </si>
  <si>
    <t>MAYTA COLQUI VIOLETA</t>
  </si>
  <si>
    <t>GUTIERREZ CASTRO JORGE</t>
  </si>
  <si>
    <t>ALHUAY PALOMINO DE ALHUAY JUANA</t>
  </si>
  <si>
    <t>ORDOÑEZ NICHO AZUL CARILE</t>
  </si>
  <si>
    <t>LOPEZ HUAYHUALLA NELLY NATIVIDAD</t>
  </si>
  <si>
    <t>CAHUANA VDA DE DAVILA VICENTINA</t>
  </si>
  <si>
    <t>OQUENDO QUISPE MIGUEL   cerrado</t>
  </si>
  <si>
    <t>OJEDA CAMPOS EDSON</t>
  </si>
  <si>
    <t>MEJIA HUAMAN ÑAHUE DE ARCE VICTORIA</t>
  </si>
  <si>
    <t>GAVILAN MOSQUERA NORMA</t>
  </si>
  <si>
    <t>MARIN LONDOÑE MARIA LUZ</t>
  </si>
  <si>
    <t>CARTAGENA PALOMINO ALVARO BENJAMIN</t>
  </si>
  <si>
    <t>MARIN ILIZARDE BASILISA</t>
  </si>
  <si>
    <t>TITO FALCON JESUSA RICARDINA</t>
  </si>
  <si>
    <t>MELO BACA MARINA</t>
  </si>
  <si>
    <t>RAMOS CUEVA PEDRO</t>
  </si>
  <si>
    <t>SALVATIERRA AYALA JUAN</t>
  </si>
  <si>
    <t>QUISPE DURAN ADRIANA</t>
  </si>
  <si>
    <t>RODRIGUEZ MORENO NORA</t>
  </si>
  <si>
    <t>ATANASIO ORTEGA MAXIMILIANA</t>
  </si>
  <si>
    <t>OQUENDO QUISPE JESSICA</t>
  </si>
  <si>
    <t>ROMERO YSLA ESTEBAN LIDIO</t>
  </si>
  <si>
    <t>CALLE ALVAREZ MARCO</t>
  </si>
  <si>
    <t>MALLQUI LOPEZ LIZBETH</t>
  </si>
  <si>
    <t>PORRAS DE OROYA OLIMPIA</t>
  </si>
  <si>
    <t>BASTIDAS MEDINA HERMEREGILDO</t>
  </si>
  <si>
    <t>QUINTANA VIDAL GLICERIO</t>
  </si>
  <si>
    <t>HERMELINDA MAYTA MATOS</t>
  </si>
  <si>
    <t>TORRES ASTO VDA DE CALDERON JUANA</t>
  </si>
  <si>
    <t>MORENO CHAVEZ RAFAEL FREDY</t>
  </si>
  <si>
    <t>JARA ALVAREZ SANTOS</t>
  </si>
  <si>
    <t>SOTO VARGAS DE FLORES MARIA DEL CARMEN</t>
  </si>
  <si>
    <t>CERDA YUPANQUI CARMEN ROSA</t>
  </si>
  <si>
    <t>SANTILLAN MESIA ZOILA</t>
  </si>
  <si>
    <t>VALLEJOS HUAMAN MARIA</t>
  </si>
  <si>
    <t>HEREDIA MUÑOZ DE BRAVO MARIA</t>
  </si>
  <si>
    <t>ALVAREZ CAMPOS VICTOR</t>
  </si>
  <si>
    <t>LUJAN GONZALES MARINO JUAN</t>
  </si>
  <si>
    <t>CUCHO DE LA CRUZ SAUL</t>
  </si>
  <si>
    <t>MEDINA GUITIERRES HONORATA</t>
  </si>
  <si>
    <t>CUSI LAURA SONIA</t>
  </si>
  <si>
    <t>ROMERO FLORES EDDNA</t>
  </si>
  <si>
    <t>CORNEJO DONATO DE CORDOVA ESTELA PILAR</t>
  </si>
  <si>
    <t>DE LA CRUZ ESTEBAN JOSE</t>
  </si>
  <si>
    <t>SALAZAR CONCEPCION VICTORIA</t>
  </si>
  <si>
    <t>ROJAS CORNEJO ERICK</t>
  </si>
  <si>
    <t>BERNAOLA DE PRADO FLORENCIA</t>
  </si>
  <si>
    <t>GUTIERREZ CASTILLO  TERESA JESUS</t>
  </si>
  <si>
    <t>SANCHEZ RODRIGUEZ JUDITH</t>
  </si>
  <si>
    <t>SOTO GALLEGO DE VALERO</t>
  </si>
  <si>
    <t>TELLO QUINTANA EDGAR</t>
  </si>
  <si>
    <t>HALIRE YUCRA JOSUE</t>
  </si>
  <si>
    <t>CAMPUZANO CABELLO VICENTA DONATILA</t>
  </si>
  <si>
    <t>MARIN ROCHA ESTEFANY</t>
  </si>
  <si>
    <t>REYES PEREZ DE VALENCIA NANCY</t>
  </si>
  <si>
    <t>FLORES FLORES IRENE BERTILIA</t>
  </si>
  <si>
    <t>VALERO SOTO  MAXIMO ELIAS</t>
  </si>
  <si>
    <t>QUISPE ORTEGA ROSA CARMEN</t>
  </si>
  <si>
    <t xml:space="preserve">MARIN LONDOÑE EDUARDO SANTIAGO </t>
  </si>
  <si>
    <t>TOTAL</t>
  </si>
  <si>
    <t>COPERATIVA DE SERVICIOS ESPECIALES PRIMERO DE MAYO</t>
  </si>
  <si>
    <t xml:space="preserve">Nº </t>
  </si>
  <si>
    <t>Titular</t>
  </si>
  <si>
    <t>Tipo</t>
  </si>
  <si>
    <t>Puesto</t>
  </si>
  <si>
    <t>Amperaje</t>
  </si>
  <si>
    <t>Consumo KWH</t>
  </si>
  <si>
    <t>Prec. X KWH</t>
  </si>
  <si>
    <t>Sub-Total</t>
  </si>
  <si>
    <t>Huamani Romero Donatila</t>
  </si>
  <si>
    <t>SOCIO</t>
  </si>
  <si>
    <t>Limas Vargas Carmen Rosa</t>
  </si>
  <si>
    <t>Romero Ninahuaman Javier</t>
  </si>
  <si>
    <t>Sosa Valdivia Juana Isabel</t>
  </si>
  <si>
    <t>Medina Jota Vicenta</t>
  </si>
  <si>
    <t>Salas Montalvo Ruth</t>
  </si>
  <si>
    <t>Uretra Cruz Emilia</t>
  </si>
  <si>
    <t>Huashuyo Gomez Eudosia</t>
  </si>
  <si>
    <t>Ayala Toboada Eliseo</t>
  </si>
  <si>
    <t xml:space="preserve"> Coop. (Ayala Huashuayo Marlen Ester)</t>
  </si>
  <si>
    <t>INQUILINA</t>
  </si>
  <si>
    <t>Ayala Huashuayo Norma Gladys</t>
  </si>
  <si>
    <t>Cardeña Villafuerte Alejandrina</t>
  </si>
  <si>
    <t>Falcon Chiara Hector  Marcial</t>
  </si>
  <si>
    <t>Burga Carrasco Elida</t>
  </si>
  <si>
    <t xml:space="preserve"> Cuya Sanchez Alberto</t>
  </si>
  <si>
    <t>Choque Alata Marta Nelida</t>
  </si>
  <si>
    <t>Gutierrez Aquiles Lucrecia</t>
  </si>
  <si>
    <t>Paredes Morales Diana</t>
  </si>
  <si>
    <t>Javier Sermeño Gutierrez</t>
  </si>
  <si>
    <t>Valero Pariona Maximo</t>
  </si>
  <si>
    <t>Valero Soto Willy Perseo Albino</t>
  </si>
  <si>
    <t>Yaurimucha Rimachi Marcos</t>
  </si>
  <si>
    <t>Flores Yato Francisca Dolores</t>
  </si>
  <si>
    <t>Lagos Luna de Leiva Zaida</t>
  </si>
  <si>
    <t>Taype Oquendo Eugenio Joel</t>
  </si>
  <si>
    <t>Clemente Aller Cirila</t>
  </si>
  <si>
    <t>Paredes Morales Oscar Martín</t>
  </si>
  <si>
    <t>Paconpia Cardeña Giovanni</t>
  </si>
  <si>
    <t>Quispe Uribe Luciano</t>
  </si>
  <si>
    <t>Marin Huaman de Salamanca Maria</t>
  </si>
  <si>
    <t>Cooperativa  peluqueria</t>
  </si>
  <si>
    <t>INQUILINO</t>
  </si>
  <si>
    <t>Pittman Concepción Nelly Maria</t>
  </si>
  <si>
    <t xml:space="preserve">Segovia Villafuerte de Ponce  </t>
  </si>
  <si>
    <t>Espejo Urbano Rosa Florencia</t>
  </si>
  <si>
    <t xml:space="preserve">Sanchez Astos de Torres Yolanda Sofia </t>
  </si>
  <si>
    <t>Cabero Mendoza Gloria</t>
  </si>
  <si>
    <t>Montalvo Neira de Salas Rufina</t>
  </si>
  <si>
    <t>Gutierrez Flores Roger Reyman</t>
  </si>
  <si>
    <t>Perez Quispe Epifania</t>
  </si>
  <si>
    <t>Rojas Ignacio Leonila</t>
  </si>
  <si>
    <t>Prado Llancari Zosima</t>
  </si>
  <si>
    <t>Saavedra Curipuma Luis Humberto</t>
  </si>
  <si>
    <t>Tello Alvarez Marino</t>
  </si>
  <si>
    <t>libre</t>
  </si>
  <si>
    <t>Cooperativa Inq. Loceria</t>
  </si>
  <si>
    <t>Juarez Cuellar Leonor</t>
  </si>
  <si>
    <t>Ancco Leon Valentina</t>
  </si>
  <si>
    <t>Ccoyllo Polanco German</t>
  </si>
  <si>
    <t>Jara Alvarez Maria Cenaida</t>
  </si>
  <si>
    <t>Rodriguez Arquiñego Idilio Félix</t>
  </si>
  <si>
    <t>Cooperativa Inq. L</t>
  </si>
  <si>
    <t>Paredes Flores Oscar</t>
  </si>
  <si>
    <t>Juan Valverde Rosas (CERRADO)</t>
  </si>
  <si>
    <t>Ccoyllo Chinchay Judith</t>
  </si>
  <si>
    <t>Calle Calle Fidel</t>
  </si>
  <si>
    <t xml:space="preserve">Davila Cahuana Marisol </t>
  </si>
  <si>
    <t>Estela Calderon Torres</t>
  </si>
  <si>
    <t>Alarcon Anampa Nancy Gisela</t>
  </si>
  <si>
    <t>Anampa Corahua Clemencia Migdonia</t>
  </si>
  <si>
    <t>Ñahui Ruiz Aurelio</t>
  </si>
  <si>
    <t>Ccoyllo Chinchay Daniel Masia</t>
  </si>
  <si>
    <t>Alarcon Anampa Betsy</t>
  </si>
  <si>
    <t>Bravo Heredia Ana Maritza</t>
  </si>
  <si>
    <t>Sanchez Soto Lucia</t>
  </si>
  <si>
    <t>Yruipalla Falcon Hilda</t>
  </si>
  <si>
    <t>Chuchuyo Hacha José</t>
  </si>
  <si>
    <t>Soria Tapia Edith Catalina</t>
  </si>
  <si>
    <t>Rivera Callpa Juana Regis</t>
  </si>
  <si>
    <t>Torres Anyorsa Marcelino</t>
  </si>
  <si>
    <t>Cuevas Mayo Enrique</t>
  </si>
  <si>
    <t>Tintaya Cahuana Patricia</t>
  </si>
  <si>
    <t>Alvarez Campos Rolando</t>
  </si>
  <si>
    <t>Bastidas Medina Dina</t>
  </si>
  <si>
    <t>Carrasco Salvatierra Felicitas</t>
  </si>
  <si>
    <t>Cajaleon Carrasco Luis Enrique</t>
  </si>
  <si>
    <t>Chirinos Cabracancha María</t>
  </si>
  <si>
    <t>escalera castillo</t>
  </si>
  <si>
    <t>Renovadora 2E</t>
  </si>
  <si>
    <t>NOMBRE Y APELLIDO (INQUILINOS)</t>
  </si>
  <si>
    <t>Medidor</t>
  </si>
  <si>
    <t>consumo KWH</t>
  </si>
  <si>
    <t xml:space="preserve">Sub-total </t>
  </si>
  <si>
    <t>BELLIDO DE LA TORRE DE CHUQUITAIPE ZENAIDA</t>
  </si>
  <si>
    <t>4-E</t>
  </si>
  <si>
    <t>MAYHUASCA BASTIDAS DORIS</t>
  </si>
  <si>
    <t>5-E</t>
  </si>
  <si>
    <t>REBAZA REBAZA CASILDA</t>
  </si>
  <si>
    <t>6-E</t>
  </si>
  <si>
    <t>ZANABRIA LADERA LILIA</t>
  </si>
  <si>
    <t>7-E</t>
  </si>
  <si>
    <t xml:space="preserve">CHOQUEHUANCA HUMAN DERSE </t>
  </si>
  <si>
    <t>57-E</t>
  </si>
  <si>
    <t>MIRANDA CACERES FELICITAS</t>
  </si>
  <si>
    <t>27-E</t>
  </si>
  <si>
    <t>No</t>
  </si>
  <si>
    <t>BURGA CARRASCO ELMER</t>
  </si>
  <si>
    <t>8-E</t>
  </si>
  <si>
    <t>YAUYOS MENDIETA MARLENE</t>
  </si>
  <si>
    <t>9-E</t>
  </si>
  <si>
    <t>LAPAS SALAZAR ANA MARIA</t>
  </si>
  <si>
    <t>26-E</t>
  </si>
  <si>
    <t>CERDAN  MUÑOZ MARIA</t>
  </si>
  <si>
    <t>25-E</t>
  </si>
  <si>
    <t>PFUÑO RAMOS VICTOR</t>
  </si>
  <si>
    <t>10-E</t>
  </si>
  <si>
    <t>CARRASCO PICHIHUA MERY RUTH</t>
  </si>
  <si>
    <t>24-E</t>
  </si>
  <si>
    <t>AZURZA TRIBIÑOS DAYSI ELIZABETH</t>
  </si>
  <si>
    <t>11-E</t>
  </si>
  <si>
    <t>DAVID VICENTE CCENCHO CARRASCO</t>
  </si>
  <si>
    <t>23-E</t>
  </si>
  <si>
    <t>AZURZA TRIBIÑOS SILVIA FABIOLA</t>
  </si>
  <si>
    <t>12-E</t>
  </si>
  <si>
    <t>DAVILA HILARES YESENIA</t>
  </si>
  <si>
    <t>22-E</t>
  </si>
  <si>
    <t>LOPEZ CERRON HAYDEE</t>
  </si>
  <si>
    <t>13-E</t>
  </si>
  <si>
    <t>YAURIMUCHA RIMACHI URSULA</t>
  </si>
  <si>
    <t>21-E</t>
  </si>
  <si>
    <t>CERVANTES GARCIA CARLOS ARTURO</t>
  </si>
  <si>
    <t>14-E</t>
  </si>
  <si>
    <t>HERNANDEZ HERNANDEZ LILIBETH</t>
  </si>
  <si>
    <t>20-E</t>
  </si>
  <si>
    <t>GARCIA VDA MEDINA CLEMENCIA BEATRIZ</t>
  </si>
  <si>
    <t>15-E</t>
  </si>
  <si>
    <t>GLADYS ENCARNACION PAUCARPOMA</t>
  </si>
  <si>
    <t>19-E</t>
  </si>
  <si>
    <t>ARREDONDO GARCIA GLADYS</t>
  </si>
  <si>
    <t>16-E</t>
  </si>
  <si>
    <t>PRADO CATAÑO MIRIAM MILAGROS</t>
  </si>
  <si>
    <t>18-E</t>
  </si>
  <si>
    <t>PEÑA VDA DE VILLANUEVA TEREZA</t>
  </si>
  <si>
    <t>17-E</t>
  </si>
  <si>
    <t>PALOMINO CUSI ROSA</t>
  </si>
  <si>
    <t>28-E</t>
  </si>
  <si>
    <t>AIRE MALPARTIDA HECTOR</t>
  </si>
  <si>
    <t>31-E</t>
  </si>
  <si>
    <t>SEGUNDO ELVIS SATALAYA TAPULIMA</t>
  </si>
  <si>
    <t>32-E</t>
  </si>
  <si>
    <t xml:space="preserve">CAHUANA PUCURUMAY ALEX </t>
  </si>
  <si>
    <t>30-E</t>
  </si>
  <si>
    <t>ARMESTA GODOS JUANA JACKELINE</t>
  </si>
  <si>
    <t>29-E</t>
  </si>
  <si>
    <t>LA ROSA LOPEZ MARGARITA</t>
  </si>
  <si>
    <t>47-E</t>
  </si>
  <si>
    <t>GOMERO DULANTO MARGARITA</t>
  </si>
  <si>
    <t>46-E</t>
  </si>
  <si>
    <t xml:space="preserve">CASTRO RODRIGUEZ JANET  CONSUELO </t>
  </si>
  <si>
    <t>45-E</t>
  </si>
  <si>
    <t>MUJICA PALOMINO SANDRA</t>
  </si>
  <si>
    <t>44-E</t>
  </si>
  <si>
    <t>AVILA CHAVEZ ROSA</t>
  </si>
  <si>
    <t>48-E</t>
  </si>
  <si>
    <t>49-E</t>
  </si>
  <si>
    <t>SALAZAR VASQUEZ MARIA</t>
  </si>
  <si>
    <t>50-E</t>
  </si>
  <si>
    <t>CONDORI MAMANI LIDIA</t>
  </si>
  <si>
    <t>51-E</t>
  </si>
  <si>
    <t>FLORES LAREDO DOMINICIA LUCIANA</t>
  </si>
  <si>
    <t>52-E</t>
  </si>
  <si>
    <t>MALLMA CONDORI LIZBETH LUCIA</t>
  </si>
  <si>
    <t>42-E</t>
  </si>
  <si>
    <t>DEPOSITO DEL LA SRA. VILLANUEVA ROSA</t>
  </si>
  <si>
    <t>43-E</t>
  </si>
  <si>
    <t>OBREGON CASTILLO FERNANDO MARTIN</t>
  </si>
  <si>
    <t>41-E</t>
  </si>
  <si>
    <t>LEONARDO AMARILLO ROSANA PILAR</t>
  </si>
  <si>
    <t>40-E</t>
  </si>
  <si>
    <t>39-E</t>
  </si>
  <si>
    <t>LEON RODRIGUEZ ANGIE MARGARITA</t>
  </si>
  <si>
    <t>33-E</t>
  </si>
  <si>
    <t>CLAROS SANTOS</t>
  </si>
  <si>
    <t>38-E</t>
  </si>
  <si>
    <t>QUISPE CHAVEZ MARISOL</t>
  </si>
  <si>
    <t>BUSTAMANTE CHILON GRACIELA</t>
  </si>
  <si>
    <t>37-E</t>
  </si>
  <si>
    <t>verdura</t>
  </si>
  <si>
    <t>ALVAREZ CHIARA EDGAR</t>
  </si>
  <si>
    <t>36-E</t>
  </si>
  <si>
    <t>cortinas</t>
  </si>
  <si>
    <t>DEISSY YESENIA LUJAN HUERTA </t>
  </si>
  <si>
    <t>34-E</t>
  </si>
  <si>
    <t>HERRERA CAMPOS ORFELITA</t>
  </si>
  <si>
    <t>35-E</t>
  </si>
  <si>
    <t>costura</t>
  </si>
  <si>
    <t>CHOQUEHUANCA HUAMAN DAVID</t>
  </si>
  <si>
    <t>53-E Y 54-E</t>
  </si>
  <si>
    <t>HERRERA PEVES ROMINA DEL CARMEN</t>
  </si>
  <si>
    <t>GOMEZ MITMA MARIBEL</t>
  </si>
  <si>
    <t>56-E</t>
  </si>
  <si>
    <t>CHAMBI APAZA SIMONA</t>
  </si>
  <si>
    <t>60-E</t>
  </si>
  <si>
    <t>59-E</t>
  </si>
  <si>
    <t>QUISPE MAMANI PATRICIA PAOLA</t>
  </si>
  <si>
    <t>58-E</t>
  </si>
  <si>
    <t>INQUILINOS</t>
  </si>
  <si>
    <t>LUZ DE JUNIO SIN ALUMBRADO</t>
  </si>
  <si>
    <t>SOCIOS SIN MEDIDORES</t>
  </si>
  <si>
    <t>SOCIOS CON MEDIDORES</t>
  </si>
  <si>
    <t>RECIBO DE LUZ DE JUNIO</t>
  </si>
  <si>
    <t>Luz que asume la cooperativa</t>
  </si>
  <si>
    <t>Cooperativa Inq. Peluquería</t>
  </si>
  <si>
    <t>Lect. Agos.</t>
  </si>
  <si>
    <t>Lect. Setiembre</t>
  </si>
  <si>
    <t>LEONARDO AMARILLO FEDERICO</t>
  </si>
  <si>
    <t>Lect. Agosto</t>
  </si>
  <si>
    <t>Lect. Setiem.</t>
  </si>
  <si>
    <t>COMSUMO DE LUZ INTERNA DE PUESTOS CON MEDIDORES DE SETIEMBRE 2025</t>
  </si>
  <si>
    <t>SETIEMBRE</t>
  </si>
  <si>
    <t>Luz Setiembre</t>
  </si>
  <si>
    <t>LUZ DEL 2025 MES SETIEMBRE PUESTOS SIN MEDIDORES</t>
  </si>
  <si>
    <t>TITO ENCISO ISABEL GABY</t>
  </si>
  <si>
    <t>Nº DE PUESTO</t>
  </si>
  <si>
    <t>COMS. KW</t>
  </si>
  <si>
    <t>DIANA SANCHEZ  ( Inquilina)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</si>
</sst>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S/&quot;* #,##0.00_-;\-&quot;S/&quot;* #,##0.00_-;_-&quot;S/&quot;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C00000"/>
      <name val="Arial"/>
      <family val="2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sz val="11"/>
      <name val="Arial"/>
      <family val="2"/>
    </font>
    <font>
      <sz val="11"/>
      <color rgb="FF242424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theme="1"/>
      <name val="Calibri"/>
      <family val="2"/>
      <scheme val="minor"/>
    </font>
    <font>
      <b/>
      <sz val="11"/>
      <color rgb="FF24242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12" fillId="0" borderId="0"/>
  </cellStyleXfs>
  <cellXfs count="9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6" fillId="0" borderId="1" xfId="0" applyFont="1" applyBorder="1"/>
    <xf numFmtId="2" fontId="0" fillId="0" borderId="1" xfId="0" applyNumberFormat="1" applyBorder="1"/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/>
    <xf numFmtId="0" fontId="9" fillId="0" borderId="1" xfId="2" applyFont="1" applyBorder="1" applyAlignment="1">
      <alignment horizontal="left" vertical="center"/>
    </xf>
    <xf numFmtId="0" fontId="10" fillId="0" borderId="1" xfId="2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3" fontId="11" fillId="0" borderId="0" xfId="1" applyFo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1" xfId="0" applyFont="1" applyBorder="1"/>
    <xf numFmtId="0" fontId="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64" fontId="11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19" fillId="0" borderId="1" xfId="2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9" fillId="2" borderId="1" xfId="2" applyFont="1" applyFill="1" applyBorder="1" applyAlignment="1">
      <alignment vertical="center"/>
    </xf>
    <xf numFmtId="2" fontId="0" fillId="2" borderId="1" xfId="0" applyNumberFormat="1" applyFill="1" applyBorder="1"/>
    <xf numFmtId="0" fontId="7" fillId="3" borderId="1" xfId="0" applyFont="1" applyFill="1" applyBorder="1" applyAlignment="1">
      <alignment vertical="center"/>
    </xf>
    <xf numFmtId="0" fontId="19" fillId="3" borderId="1" xfId="2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0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7" fillId="0" borderId="0" xfId="0" applyFont="1" applyAlignment="1">
      <alignment vertical="center"/>
    </xf>
    <xf numFmtId="43" fontId="6" fillId="0" borderId="0" xfId="1" applyFont="1"/>
    <xf numFmtId="164" fontId="23" fillId="0" borderId="3" xfId="0" applyNumberFormat="1" applyFont="1" applyBorder="1" applyAlignment="1">
      <alignment horizontal="center" vertical="center"/>
    </xf>
    <xf numFmtId="43" fontId="6" fillId="0" borderId="1" xfId="1" applyFont="1" applyBorder="1"/>
    <xf numFmtId="43" fontId="4" fillId="0" borderId="1" xfId="1" applyFont="1" applyBorder="1"/>
    <xf numFmtId="0" fontId="3" fillId="0" borderId="1" xfId="0" applyFont="1" applyBorder="1"/>
    <xf numFmtId="164" fontId="11" fillId="0" borderId="1" xfId="0" applyNumberFormat="1" applyFont="1" applyBorder="1"/>
    <xf numFmtId="164" fontId="23" fillId="0" borderId="1" xfId="0" applyNumberFormat="1" applyFont="1" applyBorder="1"/>
    <xf numFmtId="0" fontId="7" fillId="0" borderId="3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22" fillId="0" borderId="1" xfId="2" applyFont="1" applyBorder="1" applyAlignment="1">
      <alignment horizontal="left" vertical="center"/>
    </xf>
    <xf numFmtId="43" fontId="3" fillId="0" borderId="1" xfId="1" applyFont="1" applyBorder="1"/>
    <xf numFmtId="0" fontId="0" fillId="0" borderId="1" xfId="0" applyFont="1" applyBorder="1"/>
    <xf numFmtId="0" fontId="0" fillId="0" borderId="3" xfId="0" applyFont="1" applyBorder="1"/>
    <xf numFmtId="0" fontId="13" fillId="0" borderId="5" xfId="3" applyFont="1" applyBorder="1"/>
    <xf numFmtId="0" fontId="13" fillId="0" borderId="1" xfId="3" applyFont="1" applyBorder="1"/>
    <xf numFmtId="0" fontId="13" fillId="0" borderId="2" xfId="3" applyFont="1" applyBorder="1"/>
    <xf numFmtId="0" fontId="0" fillId="0" borderId="2" xfId="0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1" fillId="0" borderId="10" xfId="2" applyFont="1" applyBorder="1" applyAlignment="1">
      <alignment vertical="center"/>
    </xf>
    <xf numFmtId="0" fontId="0" fillId="0" borderId="11" xfId="0" applyBorder="1"/>
    <xf numFmtId="2" fontId="3" fillId="0" borderId="12" xfId="0" applyNumberFormat="1" applyFont="1" applyBorder="1"/>
    <xf numFmtId="0" fontId="20" fillId="0" borderId="3" xfId="0" applyFont="1" applyBorder="1" applyAlignment="1">
      <alignment vertical="center"/>
    </xf>
    <xf numFmtId="0" fontId="0" fillId="0" borderId="3" xfId="0" applyBorder="1"/>
    <xf numFmtId="0" fontId="24" fillId="0" borderId="10" xfId="0" applyFont="1" applyBorder="1" applyAlignment="1">
      <alignment vertical="center"/>
    </xf>
    <xf numFmtId="0" fontId="17" fillId="0" borderId="7" xfId="0" applyFont="1" applyBorder="1" applyAlignment="1">
      <alignment horizontal="center" vertical="center"/>
    </xf>
    <xf numFmtId="0" fontId="3" fillId="0" borderId="7" xfId="0" applyFont="1" applyBorder="1"/>
    <xf numFmtId="0" fontId="0" fillId="5" borderId="1" xfId="0" applyFill="1" applyBorder="1"/>
    <xf numFmtId="0" fontId="5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0" fillId="5" borderId="1" xfId="0" applyFont="1" applyFill="1" applyBorder="1"/>
    <xf numFmtId="0" fontId="0" fillId="5" borderId="0" xfId="0" applyFill="1"/>
    <xf numFmtId="43" fontId="0" fillId="0" borderId="8" xfId="1" applyFont="1" applyBorder="1"/>
    <xf numFmtId="0" fontId="13" fillId="0" borderId="0" xfId="3" applyFont="1" applyFill="1" applyBorder="1"/>
    <xf numFmtId="0" fontId="13" fillId="0" borderId="0" xfId="3" applyFont="1" applyBorder="1"/>
    <xf numFmtId="0" fontId="0" fillId="0" borderId="0" xfId="0" applyBorder="1" applyAlignment="1">
      <alignment horizontal="left"/>
    </xf>
    <xf numFmtId="0" fontId="6" fillId="0" borderId="0" xfId="0" applyFont="1" applyBorder="1"/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22" fontId="3" fillId="0" borderId="0" xfId="0" applyNumberFormat="1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">
    <cellStyle name="Millares" xfId="1" builtinId="3"/>
    <cellStyle name="Normal" xfId="0" builtinId="0"/>
    <cellStyle name="Normal 2 10" xfId="2" xr:uid="{9B8FF9DD-FCA5-4673-8C05-D096C678F591}"/>
    <cellStyle name="Normal 3" xfId="3" xr:uid="{B7D910E5-9592-48FE-9A5D-A19F3425224F}"/>
  </cellStyles>
  <dxfs count="9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6BD3-F47F-464C-884A-ECB4414451A8}">
  <dimension ref="A1:G118"/>
  <sheetViews>
    <sheetView workbookViewId="0">
      <selection activeCell="G4" sqref="G4"/>
    </sheetView>
  </sheetViews>
  <sheetFormatPr baseColWidth="10" defaultRowHeight="15" x14ac:dyDescent="0.25"/>
  <cols>
    <col min="1" max="1" width="3.85546875" customWidth="1"/>
    <col min="2" max="2" width="43" customWidth="1"/>
    <col min="5" max="5" width="12.7109375" customWidth="1"/>
    <col min="7" max="7" width="13.140625" customWidth="1"/>
  </cols>
  <sheetData>
    <row r="1" spans="1:7" x14ac:dyDescent="0.25">
      <c r="B1" s="93" t="s">
        <v>339</v>
      </c>
      <c r="C1" s="93"/>
      <c r="D1" s="93"/>
      <c r="E1" s="93"/>
      <c r="F1" s="93"/>
      <c r="G1" s="93"/>
    </row>
    <row r="2" spans="1:7" x14ac:dyDescent="0.25">
      <c r="B2" s="1" t="s">
        <v>0</v>
      </c>
      <c r="C2" s="94" t="s">
        <v>340</v>
      </c>
      <c r="D2" s="94"/>
      <c r="E2" s="94"/>
      <c r="F2" s="94"/>
      <c r="G2" s="1">
        <v>0.75</v>
      </c>
    </row>
    <row r="3" spans="1:7" ht="18" customHeight="1" x14ac:dyDescent="0.25">
      <c r="A3" s="2" t="s">
        <v>1</v>
      </c>
      <c r="B3" s="50" t="s">
        <v>2</v>
      </c>
      <c r="C3" s="50" t="s">
        <v>3</v>
      </c>
      <c r="D3" s="50" t="s">
        <v>337</v>
      </c>
      <c r="E3" s="50" t="s">
        <v>338</v>
      </c>
      <c r="F3" s="50" t="s">
        <v>4</v>
      </c>
      <c r="G3" s="50" t="s">
        <v>341</v>
      </c>
    </row>
    <row r="4" spans="1:7" s="84" customFormat="1" x14ac:dyDescent="0.25">
      <c r="A4" s="80">
        <v>1</v>
      </c>
      <c r="B4" s="81" t="s">
        <v>5</v>
      </c>
      <c r="C4" s="82">
        <v>113</v>
      </c>
      <c r="D4" s="83">
        <v>1542.4</v>
      </c>
      <c r="E4" s="83">
        <v>1632</v>
      </c>
      <c r="F4" s="83">
        <f>SUM(E4-D4)</f>
        <v>89.599999999999909</v>
      </c>
      <c r="G4" s="83">
        <f>SUM(F4*0.75)</f>
        <v>67.199999999999932</v>
      </c>
    </row>
    <row r="5" spans="1:7" x14ac:dyDescent="0.25">
      <c r="A5" s="3">
        <v>2</v>
      </c>
      <c r="B5" s="7" t="s">
        <v>6</v>
      </c>
      <c r="C5" s="8">
        <v>114</v>
      </c>
      <c r="D5" s="57">
        <v>13791</v>
      </c>
      <c r="E5" s="57">
        <v>14884.6</v>
      </c>
      <c r="F5" s="57">
        <f t="shared" ref="F5:F68" si="0">SUM(E5-D5)</f>
        <v>1093.6000000000004</v>
      </c>
      <c r="G5" s="83">
        <f t="shared" ref="G5:G68" si="1">SUM(F5*0.75)</f>
        <v>820.20000000000027</v>
      </c>
    </row>
    <row r="6" spans="1:7" x14ac:dyDescent="0.25">
      <c r="A6" s="3">
        <v>3</v>
      </c>
      <c r="B6" s="7" t="s">
        <v>7</v>
      </c>
      <c r="C6" s="8">
        <v>139</v>
      </c>
      <c r="D6" s="9">
        <v>442.9</v>
      </c>
      <c r="E6" s="9">
        <v>485</v>
      </c>
      <c r="F6" s="57">
        <f t="shared" si="0"/>
        <v>42.100000000000023</v>
      </c>
      <c r="G6" s="83">
        <f t="shared" si="1"/>
        <v>31.575000000000017</v>
      </c>
    </row>
    <row r="7" spans="1:7" x14ac:dyDescent="0.25">
      <c r="A7" s="3">
        <v>4</v>
      </c>
      <c r="B7" s="7" t="s">
        <v>8</v>
      </c>
      <c r="C7" s="8">
        <v>140</v>
      </c>
      <c r="D7" s="9">
        <v>442.7</v>
      </c>
      <c r="E7" s="9">
        <v>481.3</v>
      </c>
      <c r="F7" s="57">
        <f t="shared" si="0"/>
        <v>38.600000000000023</v>
      </c>
      <c r="G7" s="83">
        <f t="shared" si="1"/>
        <v>28.950000000000017</v>
      </c>
    </row>
    <row r="8" spans="1:7" x14ac:dyDescent="0.25">
      <c r="A8" s="3">
        <v>5</v>
      </c>
      <c r="B8" s="7" t="s">
        <v>9</v>
      </c>
      <c r="C8" s="8">
        <v>189</v>
      </c>
      <c r="D8" s="57">
        <v>726</v>
      </c>
      <c r="E8" s="57">
        <v>780.8</v>
      </c>
      <c r="F8" s="57">
        <f t="shared" si="0"/>
        <v>54.799999999999955</v>
      </c>
      <c r="G8" s="83">
        <f t="shared" si="1"/>
        <v>41.099999999999966</v>
      </c>
    </row>
    <row r="9" spans="1:7" x14ac:dyDescent="0.25">
      <c r="A9" s="3">
        <v>6</v>
      </c>
      <c r="B9" s="7" t="s">
        <v>10</v>
      </c>
      <c r="C9" s="8">
        <v>188</v>
      </c>
      <c r="D9" s="57">
        <v>467.3</v>
      </c>
      <c r="E9" s="57">
        <v>520.1</v>
      </c>
      <c r="F9" s="57">
        <f t="shared" si="0"/>
        <v>52.800000000000011</v>
      </c>
      <c r="G9" s="83">
        <f t="shared" si="1"/>
        <v>39.600000000000009</v>
      </c>
    </row>
    <row r="10" spans="1:7" x14ac:dyDescent="0.25">
      <c r="A10" s="3">
        <v>7</v>
      </c>
      <c r="B10" s="7" t="s">
        <v>11</v>
      </c>
      <c r="C10" s="8">
        <v>165</v>
      </c>
      <c r="D10" s="57">
        <v>178.5</v>
      </c>
      <c r="E10" s="57">
        <v>196.4</v>
      </c>
      <c r="F10" s="57">
        <f t="shared" si="0"/>
        <v>17.900000000000006</v>
      </c>
      <c r="G10" s="83">
        <f t="shared" si="1"/>
        <v>13.425000000000004</v>
      </c>
    </row>
    <row r="11" spans="1:7" x14ac:dyDescent="0.25">
      <c r="A11" s="3">
        <v>8</v>
      </c>
      <c r="B11" s="7" t="s">
        <v>12</v>
      </c>
      <c r="C11" s="8">
        <v>187</v>
      </c>
      <c r="D11" s="57">
        <v>171.2</v>
      </c>
      <c r="E11" s="57">
        <v>182.3</v>
      </c>
      <c r="F11" s="57">
        <f t="shared" si="0"/>
        <v>11.100000000000023</v>
      </c>
      <c r="G11" s="83">
        <f t="shared" si="1"/>
        <v>8.3250000000000171</v>
      </c>
    </row>
    <row r="12" spans="1:7" x14ac:dyDescent="0.25">
      <c r="A12" s="3">
        <v>9</v>
      </c>
      <c r="B12" s="7" t="s">
        <v>13</v>
      </c>
      <c r="C12" s="8">
        <v>164</v>
      </c>
      <c r="D12" s="57">
        <v>3963.5</v>
      </c>
      <c r="E12" s="57">
        <v>4266.1000000000004</v>
      </c>
      <c r="F12" s="57">
        <f t="shared" si="0"/>
        <v>302.60000000000036</v>
      </c>
      <c r="G12" s="83">
        <f t="shared" si="1"/>
        <v>226.95000000000027</v>
      </c>
    </row>
    <row r="13" spans="1:7" x14ac:dyDescent="0.25">
      <c r="A13" s="3">
        <v>10</v>
      </c>
      <c r="B13" s="7" t="s">
        <v>14</v>
      </c>
      <c r="C13" s="8">
        <v>141</v>
      </c>
      <c r="D13" s="57">
        <v>1661.7</v>
      </c>
      <c r="E13" s="57">
        <v>1752.8</v>
      </c>
      <c r="F13" s="57">
        <f t="shared" si="0"/>
        <v>91.099999999999909</v>
      </c>
      <c r="G13" s="83">
        <f t="shared" si="1"/>
        <v>68.324999999999932</v>
      </c>
    </row>
    <row r="14" spans="1:7" x14ac:dyDescent="0.25">
      <c r="A14" s="3">
        <v>11</v>
      </c>
      <c r="B14" s="7" t="s">
        <v>15</v>
      </c>
      <c r="C14" s="8">
        <v>138</v>
      </c>
      <c r="D14" s="57">
        <v>125</v>
      </c>
      <c r="E14" s="57">
        <v>127.9</v>
      </c>
      <c r="F14" s="57">
        <f t="shared" si="0"/>
        <v>2.9000000000000057</v>
      </c>
      <c r="G14" s="83">
        <f t="shared" si="1"/>
        <v>2.1750000000000043</v>
      </c>
    </row>
    <row r="15" spans="1:7" x14ac:dyDescent="0.25">
      <c r="A15" s="3">
        <v>12</v>
      </c>
      <c r="B15" s="10" t="s">
        <v>16</v>
      </c>
      <c r="C15" s="8">
        <v>115</v>
      </c>
      <c r="D15" s="57">
        <v>9737.6</v>
      </c>
      <c r="E15" s="57">
        <v>10669.6</v>
      </c>
      <c r="F15" s="57">
        <f t="shared" si="0"/>
        <v>932</v>
      </c>
      <c r="G15" s="83">
        <f t="shared" si="1"/>
        <v>699</v>
      </c>
    </row>
    <row r="16" spans="1:7" x14ac:dyDescent="0.25">
      <c r="A16" s="3">
        <v>13</v>
      </c>
      <c r="B16" s="10" t="s">
        <v>17</v>
      </c>
      <c r="C16" s="8">
        <v>112</v>
      </c>
      <c r="D16" s="57">
        <v>496.9</v>
      </c>
      <c r="E16" s="57">
        <v>544.20000000000005</v>
      </c>
      <c r="F16" s="57">
        <f t="shared" si="0"/>
        <v>47.300000000000068</v>
      </c>
      <c r="G16" s="83">
        <f t="shared" si="1"/>
        <v>35.475000000000051</v>
      </c>
    </row>
    <row r="17" spans="1:7" x14ac:dyDescent="0.25">
      <c r="A17" s="3">
        <v>14</v>
      </c>
      <c r="B17" s="10" t="s">
        <v>18</v>
      </c>
      <c r="C17" s="8">
        <v>194</v>
      </c>
      <c r="D17" s="57">
        <v>11747.6</v>
      </c>
      <c r="E17" s="57">
        <v>12684.9</v>
      </c>
      <c r="F17" s="57">
        <f t="shared" si="0"/>
        <v>937.29999999999927</v>
      </c>
      <c r="G17" s="83">
        <f t="shared" si="1"/>
        <v>702.97499999999945</v>
      </c>
    </row>
    <row r="18" spans="1:7" x14ac:dyDescent="0.25">
      <c r="A18" s="3">
        <v>15</v>
      </c>
      <c r="B18" s="10" t="s">
        <v>19</v>
      </c>
      <c r="C18" s="8">
        <v>195</v>
      </c>
      <c r="D18" s="57">
        <v>505.7</v>
      </c>
      <c r="E18" s="57">
        <v>547.6</v>
      </c>
      <c r="F18" s="57">
        <f t="shared" si="0"/>
        <v>41.900000000000034</v>
      </c>
      <c r="G18" s="83">
        <f t="shared" si="1"/>
        <v>31.425000000000026</v>
      </c>
    </row>
    <row r="19" spans="1:7" x14ac:dyDescent="0.25">
      <c r="A19" s="3">
        <v>16</v>
      </c>
      <c r="B19" s="10" t="s">
        <v>20</v>
      </c>
      <c r="C19" s="8">
        <v>171</v>
      </c>
      <c r="D19" s="57">
        <v>276.89999999999998</v>
      </c>
      <c r="E19" s="57">
        <v>300.10000000000002</v>
      </c>
      <c r="F19" s="57">
        <f t="shared" si="0"/>
        <v>23.200000000000045</v>
      </c>
      <c r="G19" s="83">
        <f t="shared" si="1"/>
        <v>17.400000000000034</v>
      </c>
    </row>
    <row r="20" spans="1:7" x14ac:dyDescent="0.25">
      <c r="A20" s="3">
        <v>17</v>
      </c>
      <c r="B20" s="10" t="s">
        <v>21</v>
      </c>
      <c r="C20" s="8">
        <v>111</v>
      </c>
      <c r="D20" s="57">
        <v>106.5</v>
      </c>
      <c r="E20" s="57">
        <v>109.9</v>
      </c>
      <c r="F20" s="57">
        <f t="shared" si="0"/>
        <v>3.4000000000000057</v>
      </c>
      <c r="G20" s="83">
        <f t="shared" si="1"/>
        <v>2.5500000000000043</v>
      </c>
    </row>
    <row r="21" spans="1:7" x14ac:dyDescent="0.25">
      <c r="A21" s="3">
        <v>18</v>
      </c>
      <c r="B21" s="10" t="s">
        <v>22</v>
      </c>
      <c r="C21" s="8">
        <v>116</v>
      </c>
      <c r="D21" s="57">
        <v>7333.2</v>
      </c>
      <c r="E21" s="57">
        <v>7961</v>
      </c>
      <c r="F21" s="57">
        <f t="shared" si="0"/>
        <v>627.80000000000018</v>
      </c>
      <c r="G21" s="83">
        <f t="shared" si="1"/>
        <v>470.85000000000014</v>
      </c>
    </row>
    <row r="22" spans="1:7" x14ac:dyDescent="0.25">
      <c r="A22" s="3">
        <v>19</v>
      </c>
      <c r="B22" s="10" t="s">
        <v>23</v>
      </c>
      <c r="C22" s="8">
        <v>137</v>
      </c>
      <c r="D22" s="57">
        <v>82.2</v>
      </c>
      <c r="E22" s="57">
        <v>88.7</v>
      </c>
      <c r="F22" s="57">
        <f t="shared" si="0"/>
        <v>6.5</v>
      </c>
      <c r="G22" s="83">
        <f t="shared" si="1"/>
        <v>4.875</v>
      </c>
    </row>
    <row r="23" spans="1:7" x14ac:dyDescent="0.25">
      <c r="A23" s="3">
        <v>20</v>
      </c>
      <c r="B23" s="10" t="s">
        <v>24</v>
      </c>
      <c r="C23" s="8">
        <v>142</v>
      </c>
      <c r="D23" s="57">
        <v>274.5</v>
      </c>
      <c r="E23" s="57">
        <v>281.5</v>
      </c>
      <c r="F23" s="57">
        <f t="shared" si="0"/>
        <v>7</v>
      </c>
      <c r="G23" s="83">
        <f t="shared" si="1"/>
        <v>5.25</v>
      </c>
    </row>
    <row r="24" spans="1:7" x14ac:dyDescent="0.25">
      <c r="A24" s="3">
        <v>21</v>
      </c>
      <c r="B24" s="10" t="s">
        <v>25</v>
      </c>
      <c r="C24" s="8">
        <v>163</v>
      </c>
      <c r="D24" s="57">
        <v>3349.5</v>
      </c>
      <c r="E24" s="57">
        <v>3635.6</v>
      </c>
      <c r="F24" s="57">
        <f t="shared" si="0"/>
        <v>286.09999999999991</v>
      </c>
      <c r="G24" s="83">
        <f t="shared" si="1"/>
        <v>214.57499999999993</v>
      </c>
    </row>
    <row r="25" spans="1:7" x14ac:dyDescent="0.25">
      <c r="A25" s="3">
        <v>22</v>
      </c>
      <c r="B25" s="10" t="s">
        <v>26</v>
      </c>
      <c r="C25" s="8">
        <v>186</v>
      </c>
      <c r="D25" s="57">
        <v>3566.8</v>
      </c>
      <c r="E25" s="57">
        <v>3890.8</v>
      </c>
      <c r="F25" s="57">
        <f t="shared" si="0"/>
        <v>324</v>
      </c>
      <c r="G25" s="83">
        <f t="shared" si="1"/>
        <v>243</v>
      </c>
    </row>
    <row r="26" spans="1:7" x14ac:dyDescent="0.25">
      <c r="A26" s="3">
        <v>23</v>
      </c>
      <c r="B26" s="10" t="s">
        <v>27</v>
      </c>
      <c r="C26" s="8">
        <v>185</v>
      </c>
      <c r="D26" s="57">
        <v>2455.3000000000002</v>
      </c>
      <c r="E26" s="57">
        <v>2663.5</v>
      </c>
      <c r="F26" s="57">
        <f t="shared" si="0"/>
        <v>208.19999999999982</v>
      </c>
      <c r="G26" s="83">
        <f t="shared" si="1"/>
        <v>156.14999999999986</v>
      </c>
    </row>
    <row r="27" spans="1:7" x14ac:dyDescent="0.25">
      <c r="A27" s="3">
        <v>24</v>
      </c>
      <c r="B27" s="10" t="s">
        <v>28</v>
      </c>
      <c r="C27" s="8">
        <v>162</v>
      </c>
      <c r="D27" s="57">
        <v>291.7</v>
      </c>
      <c r="E27" s="57">
        <v>319.5</v>
      </c>
      <c r="F27" s="57">
        <f t="shared" si="0"/>
        <v>27.800000000000011</v>
      </c>
      <c r="G27" s="83">
        <f t="shared" si="1"/>
        <v>20.850000000000009</v>
      </c>
    </row>
    <row r="28" spans="1:7" x14ac:dyDescent="0.25">
      <c r="A28" s="3">
        <v>25</v>
      </c>
      <c r="B28" s="10" t="s">
        <v>29</v>
      </c>
      <c r="C28" s="8">
        <v>143</v>
      </c>
      <c r="D28" s="57">
        <v>136.9</v>
      </c>
      <c r="E28" s="57">
        <v>150.6</v>
      </c>
      <c r="F28" s="57">
        <f t="shared" si="0"/>
        <v>13.699999999999989</v>
      </c>
      <c r="G28" s="83">
        <f t="shared" si="1"/>
        <v>10.274999999999991</v>
      </c>
    </row>
    <row r="29" spans="1:7" x14ac:dyDescent="0.25">
      <c r="A29" s="3">
        <v>26</v>
      </c>
      <c r="B29" s="10" t="s">
        <v>30</v>
      </c>
      <c r="C29" s="8">
        <v>136</v>
      </c>
      <c r="D29" s="57">
        <v>97.7</v>
      </c>
      <c r="E29" s="57">
        <v>104.6</v>
      </c>
      <c r="F29" s="57">
        <f t="shared" si="0"/>
        <v>6.8999999999999915</v>
      </c>
      <c r="G29" s="83">
        <f t="shared" si="1"/>
        <v>5.1749999999999936</v>
      </c>
    </row>
    <row r="30" spans="1:7" x14ac:dyDescent="0.25">
      <c r="A30" s="3">
        <v>27</v>
      </c>
      <c r="B30" s="10" t="s">
        <v>31</v>
      </c>
      <c r="C30" s="8">
        <v>117</v>
      </c>
      <c r="D30" s="57">
        <v>5850.6</v>
      </c>
      <c r="E30" s="57">
        <v>6400.1</v>
      </c>
      <c r="F30" s="57">
        <f t="shared" si="0"/>
        <v>549.5</v>
      </c>
      <c r="G30" s="83">
        <f t="shared" si="1"/>
        <v>412.125</v>
      </c>
    </row>
    <row r="31" spans="1:7" x14ac:dyDescent="0.25">
      <c r="A31" s="3">
        <v>28</v>
      </c>
      <c r="B31" s="10" t="s">
        <v>32</v>
      </c>
      <c r="C31" s="8">
        <v>110</v>
      </c>
      <c r="D31" s="57">
        <v>71.8</v>
      </c>
      <c r="E31" s="57">
        <v>78.3</v>
      </c>
      <c r="F31" s="57">
        <f t="shared" si="0"/>
        <v>6.5</v>
      </c>
      <c r="G31" s="83">
        <f t="shared" si="1"/>
        <v>4.875</v>
      </c>
    </row>
    <row r="32" spans="1:7" x14ac:dyDescent="0.25">
      <c r="A32" s="3">
        <v>29</v>
      </c>
      <c r="B32" s="10" t="s">
        <v>33</v>
      </c>
      <c r="C32" s="8">
        <v>192</v>
      </c>
      <c r="D32" s="57">
        <v>443.7</v>
      </c>
      <c r="E32" s="57">
        <v>491.6</v>
      </c>
      <c r="F32" s="57">
        <f t="shared" si="0"/>
        <v>47.900000000000034</v>
      </c>
      <c r="G32" s="83">
        <f t="shared" si="1"/>
        <v>35.925000000000026</v>
      </c>
    </row>
    <row r="33" spans="1:7" x14ac:dyDescent="0.25">
      <c r="A33" s="3">
        <v>30</v>
      </c>
      <c r="B33" s="10" t="s">
        <v>34</v>
      </c>
      <c r="C33" s="8">
        <v>191</v>
      </c>
      <c r="D33" s="57">
        <v>1008.2</v>
      </c>
      <c r="E33" s="57">
        <v>1071.2</v>
      </c>
      <c r="F33" s="57">
        <f t="shared" si="0"/>
        <v>63</v>
      </c>
      <c r="G33" s="83">
        <f t="shared" si="1"/>
        <v>47.25</v>
      </c>
    </row>
    <row r="34" spans="1:7" x14ac:dyDescent="0.25">
      <c r="A34" s="3">
        <v>31</v>
      </c>
      <c r="B34" s="10" t="s">
        <v>35</v>
      </c>
      <c r="C34" s="8">
        <v>93</v>
      </c>
      <c r="D34" s="57">
        <v>118.4</v>
      </c>
      <c r="E34" s="57">
        <v>136.30000000000001</v>
      </c>
      <c r="F34" s="57">
        <f t="shared" si="0"/>
        <v>17.900000000000006</v>
      </c>
      <c r="G34" s="83">
        <f t="shared" si="1"/>
        <v>13.425000000000004</v>
      </c>
    </row>
    <row r="35" spans="1:7" x14ac:dyDescent="0.25">
      <c r="A35" s="3">
        <v>32</v>
      </c>
      <c r="B35" s="10" t="s">
        <v>36</v>
      </c>
      <c r="C35" s="8">
        <v>109</v>
      </c>
      <c r="D35" s="57">
        <v>436.4</v>
      </c>
      <c r="E35" s="57">
        <v>468.2</v>
      </c>
      <c r="F35" s="57">
        <f t="shared" si="0"/>
        <v>31.800000000000011</v>
      </c>
      <c r="G35" s="83">
        <f t="shared" si="1"/>
        <v>23.850000000000009</v>
      </c>
    </row>
    <row r="36" spans="1:7" x14ac:dyDescent="0.25">
      <c r="A36" s="3">
        <v>33</v>
      </c>
      <c r="B36" s="10" t="s">
        <v>37</v>
      </c>
      <c r="C36" s="8">
        <v>118</v>
      </c>
      <c r="D36" s="57">
        <v>3077.2</v>
      </c>
      <c r="E36" s="57">
        <v>3262.9</v>
      </c>
      <c r="F36" s="57">
        <f t="shared" si="0"/>
        <v>185.70000000000027</v>
      </c>
      <c r="G36" s="83">
        <f t="shared" si="1"/>
        <v>139.2750000000002</v>
      </c>
    </row>
    <row r="37" spans="1:7" x14ac:dyDescent="0.25">
      <c r="A37" s="3">
        <v>34</v>
      </c>
      <c r="B37" s="10" t="s">
        <v>38</v>
      </c>
      <c r="C37" s="8">
        <v>135</v>
      </c>
      <c r="D37" s="57">
        <v>6395.1</v>
      </c>
      <c r="E37" s="57">
        <v>6807.1</v>
      </c>
      <c r="F37" s="57">
        <f t="shared" si="0"/>
        <v>412</v>
      </c>
      <c r="G37" s="83">
        <f t="shared" si="1"/>
        <v>309</v>
      </c>
    </row>
    <row r="38" spans="1:7" x14ac:dyDescent="0.25">
      <c r="A38" s="3">
        <v>35</v>
      </c>
      <c r="B38" s="10" t="s">
        <v>39</v>
      </c>
      <c r="C38" s="8">
        <v>144</v>
      </c>
      <c r="D38" s="57">
        <v>5055.1000000000004</v>
      </c>
      <c r="E38" s="57">
        <v>5607.4</v>
      </c>
      <c r="F38" s="57">
        <f t="shared" si="0"/>
        <v>552.29999999999927</v>
      </c>
      <c r="G38" s="83">
        <f t="shared" si="1"/>
        <v>414.22499999999945</v>
      </c>
    </row>
    <row r="39" spans="1:7" x14ac:dyDescent="0.25">
      <c r="A39" s="3">
        <v>36</v>
      </c>
      <c r="B39" s="10" t="s">
        <v>40</v>
      </c>
      <c r="C39" s="8">
        <v>161</v>
      </c>
      <c r="D39" s="57">
        <v>337</v>
      </c>
      <c r="E39" s="57">
        <v>361.6</v>
      </c>
      <c r="F39" s="57">
        <f t="shared" si="0"/>
        <v>24.600000000000023</v>
      </c>
      <c r="G39" s="83">
        <f t="shared" si="1"/>
        <v>18.450000000000017</v>
      </c>
    </row>
    <row r="40" spans="1:7" x14ac:dyDescent="0.25">
      <c r="A40" s="3">
        <v>37</v>
      </c>
      <c r="B40" s="10" t="s">
        <v>41</v>
      </c>
      <c r="C40" s="8">
        <v>167</v>
      </c>
      <c r="D40" s="57">
        <v>313.60000000000002</v>
      </c>
      <c r="E40" s="57">
        <v>349.9</v>
      </c>
      <c r="F40" s="57">
        <f t="shared" si="0"/>
        <v>36.299999999999955</v>
      </c>
      <c r="G40" s="83">
        <f t="shared" si="1"/>
        <v>27.224999999999966</v>
      </c>
    </row>
    <row r="41" spans="1:7" x14ac:dyDescent="0.25">
      <c r="A41" s="3">
        <v>38</v>
      </c>
      <c r="B41" s="10" t="s">
        <v>42</v>
      </c>
      <c r="C41" s="8">
        <v>184</v>
      </c>
      <c r="D41" s="57">
        <v>5228.1000000000004</v>
      </c>
      <c r="E41" s="57">
        <v>5465.1</v>
      </c>
      <c r="F41" s="57">
        <f t="shared" si="0"/>
        <v>237</v>
      </c>
      <c r="G41" s="83">
        <f t="shared" si="1"/>
        <v>177.75</v>
      </c>
    </row>
    <row r="42" spans="1:7" x14ac:dyDescent="0.25">
      <c r="A42" s="3">
        <v>39</v>
      </c>
      <c r="B42" s="10" t="s">
        <v>43</v>
      </c>
      <c r="C42" s="8">
        <v>183</v>
      </c>
      <c r="D42" s="57">
        <v>641.1</v>
      </c>
      <c r="E42" s="57">
        <v>706.8</v>
      </c>
      <c r="F42" s="57">
        <f t="shared" si="0"/>
        <v>65.699999999999932</v>
      </c>
      <c r="G42" s="83">
        <f t="shared" si="1"/>
        <v>49.274999999999949</v>
      </c>
    </row>
    <row r="43" spans="1:7" x14ac:dyDescent="0.25">
      <c r="A43" s="3">
        <v>40</v>
      </c>
      <c r="B43" s="10" t="s">
        <v>44</v>
      </c>
      <c r="C43" s="8">
        <v>168</v>
      </c>
      <c r="D43" s="57">
        <v>309.8</v>
      </c>
      <c r="E43" s="57">
        <v>359.2</v>
      </c>
      <c r="F43" s="57">
        <f t="shared" si="0"/>
        <v>49.399999999999977</v>
      </c>
      <c r="G43" s="83">
        <f t="shared" si="1"/>
        <v>37.049999999999983</v>
      </c>
    </row>
    <row r="44" spans="1:7" x14ac:dyDescent="0.25">
      <c r="A44" s="3">
        <v>41</v>
      </c>
      <c r="B44" s="10" t="s">
        <v>45</v>
      </c>
      <c r="C44" s="8">
        <v>160</v>
      </c>
      <c r="D44" s="57">
        <v>301</v>
      </c>
      <c r="E44" s="57">
        <v>333.2</v>
      </c>
      <c r="F44" s="57">
        <f t="shared" si="0"/>
        <v>32.199999999999989</v>
      </c>
      <c r="G44" s="83">
        <f t="shared" si="1"/>
        <v>24.149999999999991</v>
      </c>
    </row>
    <row r="45" spans="1:7" x14ac:dyDescent="0.25">
      <c r="A45" s="3">
        <v>42</v>
      </c>
      <c r="B45" s="10" t="s">
        <v>46</v>
      </c>
      <c r="C45" s="8">
        <v>145</v>
      </c>
      <c r="D45" s="57">
        <v>6920.2</v>
      </c>
      <c r="E45" s="57">
        <v>7589.8</v>
      </c>
      <c r="F45" s="57">
        <f t="shared" si="0"/>
        <v>669.60000000000036</v>
      </c>
      <c r="G45" s="83">
        <f t="shared" si="1"/>
        <v>502.20000000000027</v>
      </c>
    </row>
    <row r="46" spans="1:7" x14ac:dyDescent="0.25">
      <c r="A46" s="3">
        <v>43</v>
      </c>
      <c r="B46" s="11" t="s">
        <v>47</v>
      </c>
      <c r="C46" s="8">
        <v>134</v>
      </c>
      <c r="D46" s="57">
        <v>152.1</v>
      </c>
      <c r="E46" s="57">
        <v>167.9</v>
      </c>
      <c r="F46" s="57">
        <f t="shared" si="0"/>
        <v>15.800000000000011</v>
      </c>
      <c r="G46" s="83">
        <f t="shared" si="1"/>
        <v>11.850000000000009</v>
      </c>
    </row>
    <row r="47" spans="1:7" x14ac:dyDescent="0.25">
      <c r="A47" s="3">
        <v>44</v>
      </c>
      <c r="B47" s="10" t="s">
        <v>48</v>
      </c>
      <c r="C47" s="8">
        <v>119</v>
      </c>
      <c r="D47" s="57">
        <v>1152.0999999999999</v>
      </c>
      <c r="E47" s="57">
        <v>1253.8</v>
      </c>
      <c r="F47" s="57">
        <f t="shared" si="0"/>
        <v>101.70000000000005</v>
      </c>
      <c r="G47" s="83">
        <f t="shared" si="1"/>
        <v>76.275000000000034</v>
      </c>
    </row>
    <row r="48" spans="1:7" x14ac:dyDescent="0.25">
      <c r="A48" s="3">
        <v>45</v>
      </c>
      <c r="B48" s="10" t="s">
        <v>49</v>
      </c>
      <c r="C48" s="8">
        <v>108</v>
      </c>
      <c r="D48" s="57"/>
      <c r="E48" s="57"/>
      <c r="F48" s="57">
        <f t="shared" si="0"/>
        <v>0</v>
      </c>
      <c r="G48" s="83">
        <f t="shared" si="1"/>
        <v>0</v>
      </c>
    </row>
    <row r="49" spans="1:7" x14ac:dyDescent="0.25">
      <c r="A49" s="3">
        <v>46</v>
      </c>
      <c r="B49" s="10" t="s">
        <v>50</v>
      </c>
      <c r="C49" s="8">
        <v>94</v>
      </c>
      <c r="D49" s="57">
        <v>534.70000000000005</v>
      </c>
      <c r="E49" s="57">
        <v>583.70000000000005</v>
      </c>
      <c r="F49" s="57">
        <f t="shared" si="0"/>
        <v>49</v>
      </c>
      <c r="G49" s="83">
        <f t="shared" si="1"/>
        <v>36.75</v>
      </c>
    </row>
    <row r="50" spans="1:7" x14ac:dyDescent="0.25">
      <c r="A50" s="3">
        <v>47</v>
      </c>
      <c r="B50" s="10" t="s">
        <v>51</v>
      </c>
      <c r="C50" s="8">
        <v>91</v>
      </c>
      <c r="D50" s="57">
        <v>14465.6</v>
      </c>
      <c r="E50" s="57">
        <v>15603.2</v>
      </c>
      <c r="F50" s="57">
        <f t="shared" si="0"/>
        <v>1137.6000000000004</v>
      </c>
      <c r="G50" s="83">
        <f t="shared" si="1"/>
        <v>853.20000000000027</v>
      </c>
    </row>
    <row r="51" spans="1:7" x14ac:dyDescent="0.25">
      <c r="A51" s="3">
        <v>48</v>
      </c>
      <c r="B51" s="10" t="s">
        <v>52</v>
      </c>
      <c r="C51" s="8">
        <v>79</v>
      </c>
      <c r="D51" s="57">
        <v>474.1</v>
      </c>
      <c r="E51" s="57">
        <v>519.6</v>
      </c>
      <c r="F51" s="57">
        <f t="shared" si="0"/>
        <v>45.5</v>
      </c>
      <c r="G51" s="83">
        <f t="shared" si="1"/>
        <v>34.125</v>
      </c>
    </row>
    <row r="52" spans="1:7" x14ac:dyDescent="0.25">
      <c r="A52" s="3">
        <v>49</v>
      </c>
      <c r="B52" s="10" t="s">
        <v>53</v>
      </c>
      <c r="C52" s="8">
        <v>80</v>
      </c>
      <c r="D52" s="57">
        <v>137.6</v>
      </c>
      <c r="E52" s="57">
        <v>151</v>
      </c>
      <c r="F52" s="57">
        <f t="shared" si="0"/>
        <v>13.400000000000006</v>
      </c>
      <c r="G52" s="83">
        <f t="shared" si="1"/>
        <v>10.050000000000004</v>
      </c>
    </row>
    <row r="53" spans="1:7" x14ac:dyDescent="0.25">
      <c r="A53" s="3">
        <v>50</v>
      </c>
      <c r="B53" s="10" t="s">
        <v>54</v>
      </c>
      <c r="C53" s="8">
        <v>90</v>
      </c>
      <c r="D53" s="57">
        <v>7385</v>
      </c>
      <c r="E53" s="57">
        <v>7957.1</v>
      </c>
      <c r="F53" s="57">
        <f t="shared" si="0"/>
        <v>572.10000000000036</v>
      </c>
      <c r="G53" s="83">
        <f t="shared" si="1"/>
        <v>429.07500000000027</v>
      </c>
    </row>
    <row r="54" spans="1:7" x14ac:dyDescent="0.25">
      <c r="A54" s="3">
        <v>51</v>
      </c>
      <c r="B54" s="7" t="s">
        <v>55</v>
      </c>
      <c r="C54" s="8">
        <v>95</v>
      </c>
      <c r="D54" s="57">
        <v>2417.6999999999998</v>
      </c>
      <c r="E54" s="57">
        <v>2652.7</v>
      </c>
      <c r="F54" s="57">
        <f t="shared" si="0"/>
        <v>235</v>
      </c>
      <c r="G54" s="83">
        <f t="shared" si="1"/>
        <v>176.25</v>
      </c>
    </row>
    <row r="55" spans="1:7" x14ac:dyDescent="0.25">
      <c r="A55" s="3">
        <v>52</v>
      </c>
      <c r="B55" s="7" t="s">
        <v>56</v>
      </c>
      <c r="C55" s="8">
        <v>106</v>
      </c>
      <c r="D55" s="57">
        <v>1366</v>
      </c>
      <c r="E55" s="57">
        <v>1469.5</v>
      </c>
      <c r="F55" s="57">
        <f t="shared" si="0"/>
        <v>103.5</v>
      </c>
      <c r="G55" s="83">
        <f t="shared" si="1"/>
        <v>77.625</v>
      </c>
    </row>
    <row r="56" spans="1:7" x14ac:dyDescent="0.25">
      <c r="A56" s="3">
        <v>53</v>
      </c>
      <c r="B56" s="7" t="s">
        <v>57</v>
      </c>
      <c r="C56" s="8">
        <v>121</v>
      </c>
      <c r="D56" s="57">
        <v>338.4</v>
      </c>
      <c r="E56" s="57">
        <v>366.3</v>
      </c>
      <c r="F56" s="57">
        <f t="shared" si="0"/>
        <v>27.900000000000034</v>
      </c>
      <c r="G56" s="83">
        <f t="shared" si="1"/>
        <v>20.925000000000026</v>
      </c>
    </row>
    <row r="57" spans="1:7" x14ac:dyDescent="0.25">
      <c r="A57" s="3">
        <v>54</v>
      </c>
      <c r="B57" s="7" t="s">
        <v>58</v>
      </c>
      <c r="C57" s="8">
        <v>132</v>
      </c>
      <c r="D57" s="57">
        <v>4600.8999999999996</v>
      </c>
      <c r="E57" s="57">
        <v>4964.7</v>
      </c>
      <c r="F57" s="57">
        <f t="shared" si="0"/>
        <v>363.80000000000018</v>
      </c>
      <c r="G57" s="83">
        <f t="shared" si="1"/>
        <v>272.85000000000014</v>
      </c>
    </row>
    <row r="58" spans="1:7" x14ac:dyDescent="0.25">
      <c r="A58" s="3">
        <v>55</v>
      </c>
      <c r="B58" s="10" t="s">
        <v>59</v>
      </c>
      <c r="C58" s="8">
        <v>147</v>
      </c>
      <c r="D58" s="57">
        <v>6734.4</v>
      </c>
      <c r="E58" s="57">
        <v>7369.5</v>
      </c>
      <c r="F58" s="57">
        <f t="shared" si="0"/>
        <v>635.10000000000036</v>
      </c>
      <c r="G58" s="83">
        <f t="shared" si="1"/>
        <v>476.32500000000027</v>
      </c>
    </row>
    <row r="59" spans="1:7" x14ac:dyDescent="0.25">
      <c r="A59" s="3">
        <v>56</v>
      </c>
      <c r="B59" s="10" t="s">
        <v>60</v>
      </c>
      <c r="C59" s="8">
        <v>158</v>
      </c>
      <c r="D59" s="57">
        <v>255.1</v>
      </c>
      <c r="E59" s="57">
        <v>294.7</v>
      </c>
      <c r="F59" s="57">
        <f t="shared" si="0"/>
        <v>39.599999999999994</v>
      </c>
      <c r="G59" s="83">
        <f t="shared" si="1"/>
        <v>29.699999999999996</v>
      </c>
    </row>
    <row r="60" spans="1:7" x14ac:dyDescent="0.25">
      <c r="A60" s="3">
        <v>57</v>
      </c>
      <c r="B60" s="12" t="s">
        <v>61</v>
      </c>
      <c r="C60" s="8">
        <v>170</v>
      </c>
      <c r="D60" s="57">
        <v>22.9</v>
      </c>
      <c r="E60" s="57">
        <v>22.9</v>
      </c>
      <c r="F60" s="57">
        <f t="shared" si="0"/>
        <v>0</v>
      </c>
      <c r="G60" s="83">
        <f t="shared" si="1"/>
        <v>0</v>
      </c>
    </row>
    <row r="61" spans="1:7" x14ac:dyDescent="0.25">
      <c r="A61" s="3">
        <v>58</v>
      </c>
      <c r="B61" s="7" t="s">
        <v>62</v>
      </c>
      <c r="C61" s="8">
        <v>181</v>
      </c>
      <c r="D61" s="57">
        <v>449.4</v>
      </c>
      <c r="E61" s="57">
        <v>493.4</v>
      </c>
      <c r="F61" s="57">
        <f t="shared" si="0"/>
        <v>44</v>
      </c>
      <c r="G61" s="83">
        <f t="shared" si="1"/>
        <v>33</v>
      </c>
    </row>
    <row r="62" spans="1:7" x14ac:dyDescent="0.25">
      <c r="A62" s="3">
        <v>59</v>
      </c>
      <c r="B62" s="10" t="s">
        <v>63</v>
      </c>
      <c r="C62" s="8">
        <v>182</v>
      </c>
      <c r="D62" s="57">
        <v>1646.6</v>
      </c>
      <c r="E62" s="57">
        <v>1797.3</v>
      </c>
      <c r="F62" s="57">
        <f t="shared" si="0"/>
        <v>150.70000000000005</v>
      </c>
      <c r="G62" s="83">
        <f t="shared" si="1"/>
        <v>113.02500000000003</v>
      </c>
    </row>
    <row r="63" spans="1:7" x14ac:dyDescent="0.25">
      <c r="A63" s="3">
        <v>60</v>
      </c>
      <c r="B63" s="10" t="s">
        <v>64</v>
      </c>
      <c r="C63" s="8">
        <v>169</v>
      </c>
      <c r="D63" s="57">
        <v>116.4</v>
      </c>
      <c r="E63" s="57">
        <v>129.19999999999999</v>
      </c>
      <c r="F63" s="57">
        <f t="shared" si="0"/>
        <v>12.799999999999983</v>
      </c>
      <c r="G63" s="83">
        <f t="shared" si="1"/>
        <v>9.5999999999999872</v>
      </c>
    </row>
    <row r="64" spans="1:7" x14ac:dyDescent="0.25">
      <c r="A64" s="3">
        <v>61</v>
      </c>
      <c r="B64" s="10" t="s">
        <v>65</v>
      </c>
      <c r="C64" s="8">
        <v>159</v>
      </c>
      <c r="D64" s="57">
        <v>824.3</v>
      </c>
      <c r="E64" s="57">
        <v>910.5</v>
      </c>
      <c r="F64" s="57">
        <f t="shared" si="0"/>
        <v>86.200000000000045</v>
      </c>
      <c r="G64" s="83">
        <f t="shared" si="1"/>
        <v>64.650000000000034</v>
      </c>
    </row>
    <row r="65" spans="1:7" x14ac:dyDescent="0.25">
      <c r="A65" s="3">
        <v>62</v>
      </c>
      <c r="B65" s="10" t="s">
        <v>66</v>
      </c>
      <c r="C65" s="8">
        <v>146</v>
      </c>
      <c r="D65" s="57">
        <v>6135.9</v>
      </c>
      <c r="E65" s="57">
        <v>6136.2</v>
      </c>
      <c r="F65" s="57">
        <f t="shared" si="0"/>
        <v>0.3000000000001819</v>
      </c>
      <c r="G65" s="83">
        <f t="shared" si="1"/>
        <v>0.22500000000013642</v>
      </c>
    </row>
    <row r="66" spans="1:7" x14ac:dyDescent="0.25">
      <c r="A66" s="3">
        <v>63</v>
      </c>
      <c r="B66" s="10" t="s">
        <v>67</v>
      </c>
      <c r="C66" s="8">
        <v>133</v>
      </c>
      <c r="D66" s="57">
        <v>8782</v>
      </c>
      <c r="E66" s="57">
        <v>9437.2000000000007</v>
      </c>
      <c r="F66" s="57">
        <f t="shared" si="0"/>
        <v>655.20000000000073</v>
      </c>
      <c r="G66" s="83">
        <f t="shared" si="1"/>
        <v>491.40000000000055</v>
      </c>
    </row>
    <row r="67" spans="1:7" x14ac:dyDescent="0.25">
      <c r="A67" s="3">
        <v>64</v>
      </c>
      <c r="B67" s="10" t="s">
        <v>68</v>
      </c>
      <c r="C67" s="8">
        <v>120</v>
      </c>
      <c r="D67" s="57">
        <v>13686.6</v>
      </c>
      <c r="E67" s="57">
        <v>14892.2</v>
      </c>
      <c r="F67" s="57">
        <f t="shared" si="0"/>
        <v>1205.6000000000004</v>
      </c>
      <c r="G67" s="83">
        <f t="shared" si="1"/>
        <v>904.20000000000027</v>
      </c>
    </row>
    <row r="68" spans="1:7" x14ac:dyDescent="0.25">
      <c r="A68" s="3">
        <v>65</v>
      </c>
      <c r="B68" s="10" t="s">
        <v>69</v>
      </c>
      <c r="C68" s="8">
        <v>107</v>
      </c>
      <c r="D68" s="57">
        <v>339.3</v>
      </c>
      <c r="E68" s="57">
        <v>360.3</v>
      </c>
      <c r="F68" s="57">
        <f t="shared" si="0"/>
        <v>21</v>
      </c>
      <c r="G68" s="83">
        <f t="shared" si="1"/>
        <v>15.75</v>
      </c>
    </row>
    <row r="69" spans="1:7" x14ac:dyDescent="0.25">
      <c r="A69" s="3">
        <v>66</v>
      </c>
      <c r="B69" s="10" t="s">
        <v>70</v>
      </c>
      <c r="C69" s="8">
        <v>81</v>
      </c>
      <c r="D69" s="57">
        <v>312.39999999999998</v>
      </c>
      <c r="E69" s="57">
        <v>351.7</v>
      </c>
      <c r="F69" s="57">
        <f t="shared" ref="F69:F117" si="2">SUM(E69-D69)</f>
        <v>39.300000000000011</v>
      </c>
      <c r="G69" s="83">
        <f t="shared" ref="G69:G117" si="3">SUM(F69*0.75)</f>
        <v>29.475000000000009</v>
      </c>
    </row>
    <row r="70" spans="1:7" x14ac:dyDescent="0.25">
      <c r="A70" s="3">
        <v>67</v>
      </c>
      <c r="B70" s="10" t="s">
        <v>71</v>
      </c>
      <c r="C70" s="8">
        <v>89</v>
      </c>
      <c r="D70" s="57">
        <v>622.79999999999995</v>
      </c>
      <c r="E70" s="57">
        <v>686.3</v>
      </c>
      <c r="F70" s="57">
        <f t="shared" si="2"/>
        <v>63.5</v>
      </c>
      <c r="G70" s="83">
        <f t="shared" si="3"/>
        <v>47.625</v>
      </c>
    </row>
    <row r="71" spans="1:7" x14ac:dyDescent="0.25">
      <c r="A71" s="3">
        <v>68</v>
      </c>
      <c r="B71" s="10" t="s">
        <v>72</v>
      </c>
      <c r="C71" s="8">
        <v>96</v>
      </c>
      <c r="D71" s="57">
        <v>948</v>
      </c>
      <c r="E71" s="57">
        <v>1070.7</v>
      </c>
      <c r="F71" s="57">
        <f t="shared" si="2"/>
        <v>122.70000000000005</v>
      </c>
      <c r="G71" s="83">
        <f t="shared" si="3"/>
        <v>92.025000000000034</v>
      </c>
    </row>
    <row r="72" spans="1:7" x14ac:dyDescent="0.25">
      <c r="A72" s="3">
        <v>69</v>
      </c>
      <c r="B72" s="10" t="s">
        <v>73</v>
      </c>
      <c r="C72" s="8">
        <v>105</v>
      </c>
      <c r="D72" s="57">
        <v>2711.3</v>
      </c>
      <c r="E72" s="57">
        <v>2919.9</v>
      </c>
      <c r="F72" s="57">
        <f t="shared" si="2"/>
        <v>208.59999999999991</v>
      </c>
      <c r="G72" s="83">
        <f t="shared" si="3"/>
        <v>156.44999999999993</v>
      </c>
    </row>
    <row r="73" spans="1:7" x14ac:dyDescent="0.25">
      <c r="A73" s="3">
        <v>70</v>
      </c>
      <c r="B73" s="10" t="s">
        <v>74</v>
      </c>
      <c r="C73" s="8">
        <v>122</v>
      </c>
      <c r="D73" s="57">
        <v>11499.5</v>
      </c>
      <c r="E73" s="57">
        <v>12465.5</v>
      </c>
      <c r="F73" s="57">
        <f t="shared" si="2"/>
        <v>966</v>
      </c>
      <c r="G73" s="83">
        <f t="shared" si="3"/>
        <v>724.5</v>
      </c>
    </row>
    <row r="74" spans="1:7" x14ac:dyDescent="0.25">
      <c r="A74" s="3">
        <v>71</v>
      </c>
      <c r="B74" s="10" t="s">
        <v>75</v>
      </c>
      <c r="C74" s="8">
        <v>139</v>
      </c>
      <c r="D74" s="57">
        <v>352.9</v>
      </c>
      <c r="E74" s="57">
        <v>378.1</v>
      </c>
      <c r="F74" s="57">
        <f t="shared" si="2"/>
        <v>25.200000000000045</v>
      </c>
      <c r="G74" s="83">
        <f t="shared" si="3"/>
        <v>18.900000000000034</v>
      </c>
    </row>
    <row r="75" spans="1:7" x14ac:dyDescent="0.25">
      <c r="A75" s="3">
        <v>72</v>
      </c>
      <c r="B75" s="10" t="s">
        <v>76</v>
      </c>
      <c r="C75" s="8">
        <v>148</v>
      </c>
      <c r="D75" s="57">
        <v>933.8</v>
      </c>
      <c r="E75" s="57">
        <v>1050.3</v>
      </c>
      <c r="F75" s="57">
        <f t="shared" si="2"/>
        <v>116.5</v>
      </c>
      <c r="G75" s="83">
        <f t="shared" si="3"/>
        <v>87.375</v>
      </c>
    </row>
    <row r="76" spans="1:7" x14ac:dyDescent="0.25">
      <c r="A76" s="3">
        <v>73</v>
      </c>
      <c r="B76" s="10" t="s">
        <v>77</v>
      </c>
      <c r="C76" s="8">
        <v>157</v>
      </c>
      <c r="D76" s="57">
        <v>11395</v>
      </c>
      <c r="E76" s="57">
        <v>12433.4</v>
      </c>
      <c r="F76" s="57">
        <f t="shared" si="2"/>
        <v>1038.3999999999996</v>
      </c>
      <c r="G76" s="83">
        <f t="shared" si="3"/>
        <v>778.79999999999973</v>
      </c>
    </row>
    <row r="77" spans="1:7" x14ac:dyDescent="0.25">
      <c r="A77" s="3">
        <v>74</v>
      </c>
      <c r="B77" s="10" t="s">
        <v>78</v>
      </c>
      <c r="C77" s="8">
        <v>180</v>
      </c>
      <c r="D77" s="57">
        <v>13510.8</v>
      </c>
      <c r="E77" s="57">
        <v>14367.7</v>
      </c>
      <c r="F77" s="57">
        <f t="shared" si="2"/>
        <v>856.90000000000146</v>
      </c>
      <c r="G77" s="83">
        <f t="shared" si="3"/>
        <v>642.67500000000109</v>
      </c>
    </row>
    <row r="78" spans="1:7" x14ac:dyDescent="0.25">
      <c r="A78" s="3">
        <v>75</v>
      </c>
      <c r="B78" s="10" t="s">
        <v>79</v>
      </c>
      <c r="C78" s="8">
        <v>179</v>
      </c>
      <c r="D78" s="57">
        <v>428.2</v>
      </c>
      <c r="E78" s="57">
        <v>481.6</v>
      </c>
      <c r="F78" s="57">
        <f t="shared" si="2"/>
        <v>53.400000000000034</v>
      </c>
      <c r="G78" s="83">
        <f t="shared" si="3"/>
        <v>40.050000000000026</v>
      </c>
    </row>
    <row r="79" spans="1:7" x14ac:dyDescent="0.25">
      <c r="A79" s="3">
        <v>76</v>
      </c>
      <c r="B79" s="10" t="s">
        <v>80</v>
      </c>
      <c r="C79" s="8">
        <v>172</v>
      </c>
      <c r="D79" s="57">
        <v>1234.3</v>
      </c>
      <c r="E79" s="57">
        <v>1363.1</v>
      </c>
      <c r="F79" s="57">
        <f t="shared" si="2"/>
        <v>128.79999999999995</v>
      </c>
      <c r="G79" s="83">
        <f t="shared" si="3"/>
        <v>96.599999999999966</v>
      </c>
    </row>
    <row r="80" spans="1:7" x14ac:dyDescent="0.25">
      <c r="A80" s="3">
        <v>77</v>
      </c>
      <c r="B80" s="10" t="s">
        <v>81</v>
      </c>
      <c r="C80" s="8">
        <v>156</v>
      </c>
      <c r="D80" s="57">
        <v>3687.4</v>
      </c>
      <c r="E80" s="57">
        <v>4040.9</v>
      </c>
      <c r="F80" s="57">
        <f t="shared" si="2"/>
        <v>353.5</v>
      </c>
      <c r="G80" s="83">
        <f t="shared" si="3"/>
        <v>265.125</v>
      </c>
    </row>
    <row r="81" spans="1:7" x14ac:dyDescent="0.25">
      <c r="A81" s="3">
        <v>78</v>
      </c>
      <c r="B81" s="10" t="s">
        <v>82</v>
      </c>
      <c r="C81" s="8">
        <v>149</v>
      </c>
      <c r="D81" s="57">
        <v>159.4</v>
      </c>
      <c r="E81" s="57">
        <v>171.7</v>
      </c>
      <c r="F81" s="57">
        <f t="shared" si="2"/>
        <v>12.299999999999983</v>
      </c>
      <c r="G81" s="83">
        <f t="shared" si="3"/>
        <v>9.2249999999999872</v>
      </c>
    </row>
    <row r="82" spans="1:7" x14ac:dyDescent="0.25">
      <c r="A82" s="3">
        <v>79</v>
      </c>
      <c r="B82" s="10" t="s">
        <v>83</v>
      </c>
      <c r="C82" s="8">
        <v>130</v>
      </c>
      <c r="D82" s="57">
        <v>390.9</v>
      </c>
      <c r="E82" s="57">
        <v>425.1</v>
      </c>
      <c r="F82" s="57">
        <f t="shared" si="2"/>
        <v>34.200000000000045</v>
      </c>
      <c r="G82" s="83">
        <f t="shared" si="3"/>
        <v>25.650000000000034</v>
      </c>
    </row>
    <row r="83" spans="1:7" x14ac:dyDescent="0.25">
      <c r="A83" s="3">
        <v>80</v>
      </c>
      <c r="B83" s="10" t="s">
        <v>84</v>
      </c>
      <c r="C83" s="8">
        <v>123</v>
      </c>
      <c r="D83" s="57">
        <v>65.7</v>
      </c>
      <c r="E83" s="57">
        <v>73.3</v>
      </c>
      <c r="F83" s="57">
        <f t="shared" si="2"/>
        <v>7.5999999999999943</v>
      </c>
      <c r="G83" s="83">
        <f t="shared" si="3"/>
        <v>5.6999999999999957</v>
      </c>
    </row>
    <row r="84" spans="1:7" x14ac:dyDescent="0.25">
      <c r="A84" s="3">
        <v>81</v>
      </c>
      <c r="B84" s="10" t="s">
        <v>85</v>
      </c>
      <c r="C84" s="8">
        <v>104</v>
      </c>
      <c r="D84" s="57">
        <v>495.7</v>
      </c>
      <c r="E84" s="57">
        <v>540.5</v>
      </c>
      <c r="F84" s="57">
        <f t="shared" si="2"/>
        <v>44.800000000000011</v>
      </c>
      <c r="G84" s="83">
        <f t="shared" si="3"/>
        <v>33.600000000000009</v>
      </c>
    </row>
    <row r="85" spans="1:7" x14ac:dyDescent="0.25">
      <c r="A85" s="3">
        <v>82</v>
      </c>
      <c r="B85" s="10" t="s">
        <v>86</v>
      </c>
      <c r="C85" s="8">
        <v>97</v>
      </c>
      <c r="D85" s="57">
        <v>371.3</v>
      </c>
      <c r="E85" s="57">
        <v>404.9</v>
      </c>
      <c r="F85" s="57">
        <f t="shared" si="2"/>
        <v>33.599999999999966</v>
      </c>
      <c r="G85" s="83">
        <f t="shared" si="3"/>
        <v>25.199999999999974</v>
      </c>
    </row>
    <row r="86" spans="1:7" x14ac:dyDescent="0.25">
      <c r="A86" s="3">
        <v>83</v>
      </c>
      <c r="B86" s="10" t="s">
        <v>87</v>
      </c>
      <c r="C86" s="8">
        <v>88</v>
      </c>
      <c r="D86" s="57">
        <v>640</v>
      </c>
      <c r="E86" s="57">
        <v>725.5</v>
      </c>
      <c r="F86" s="57">
        <f t="shared" si="2"/>
        <v>85.5</v>
      </c>
      <c r="G86" s="83">
        <f t="shared" si="3"/>
        <v>64.125</v>
      </c>
    </row>
    <row r="87" spans="1:7" x14ac:dyDescent="0.25">
      <c r="A87" s="3">
        <v>84</v>
      </c>
      <c r="B87" s="10" t="s">
        <v>88</v>
      </c>
      <c r="C87" s="8">
        <v>82</v>
      </c>
      <c r="D87" s="57">
        <v>246.9</v>
      </c>
      <c r="E87" s="57">
        <v>268.60000000000002</v>
      </c>
      <c r="F87" s="57">
        <f t="shared" si="2"/>
        <v>21.700000000000017</v>
      </c>
      <c r="G87" s="83">
        <f t="shared" si="3"/>
        <v>16.275000000000013</v>
      </c>
    </row>
    <row r="88" spans="1:7" x14ac:dyDescent="0.25">
      <c r="A88" s="3">
        <v>85</v>
      </c>
      <c r="B88" s="10" t="s">
        <v>89</v>
      </c>
      <c r="C88" s="8">
        <v>83</v>
      </c>
      <c r="D88" s="57">
        <v>367</v>
      </c>
      <c r="E88" s="57">
        <v>450</v>
      </c>
      <c r="F88" s="57">
        <f t="shared" si="2"/>
        <v>83</v>
      </c>
      <c r="G88" s="83">
        <f t="shared" si="3"/>
        <v>62.25</v>
      </c>
    </row>
    <row r="89" spans="1:7" x14ac:dyDescent="0.25">
      <c r="A89" s="3">
        <v>86</v>
      </c>
      <c r="B89" s="11" t="s">
        <v>90</v>
      </c>
      <c r="C89" s="8">
        <v>87</v>
      </c>
      <c r="D89" s="57">
        <v>98</v>
      </c>
      <c r="E89" s="57">
        <v>110.2</v>
      </c>
      <c r="F89" s="57">
        <f t="shared" si="2"/>
        <v>12.200000000000003</v>
      </c>
      <c r="G89" s="83">
        <f t="shared" si="3"/>
        <v>9.1500000000000021</v>
      </c>
    </row>
    <row r="90" spans="1:7" x14ac:dyDescent="0.25">
      <c r="A90" s="3">
        <v>87</v>
      </c>
      <c r="B90" s="10" t="s">
        <v>91</v>
      </c>
      <c r="C90" s="8">
        <v>98</v>
      </c>
      <c r="D90" s="57">
        <v>159.4</v>
      </c>
      <c r="E90" s="57">
        <v>171</v>
      </c>
      <c r="F90" s="57">
        <f t="shared" si="2"/>
        <v>11.599999999999994</v>
      </c>
      <c r="G90" s="83">
        <f t="shared" si="3"/>
        <v>8.6999999999999957</v>
      </c>
    </row>
    <row r="91" spans="1:7" x14ac:dyDescent="0.25">
      <c r="A91" s="3">
        <v>88</v>
      </c>
      <c r="B91" s="11" t="s">
        <v>92</v>
      </c>
      <c r="C91" s="8">
        <v>103</v>
      </c>
      <c r="D91" s="57">
        <v>242.5</v>
      </c>
      <c r="E91" s="57">
        <v>263.8</v>
      </c>
      <c r="F91" s="57">
        <f t="shared" si="2"/>
        <v>21.300000000000011</v>
      </c>
      <c r="G91" s="83">
        <f t="shared" si="3"/>
        <v>15.975000000000009</v>
      </c>
    </row>
    <row r="92" spans="1:7" x14ac:dyDescent="0.25">
      <c r="A92" s="3">
        <v>89</v>
      </c>
      <c r="B92" s="10" t="s">
        <v>93</v>
      </c>
      <c r="C92" s="8">
        <v>124</v>
      </c>
      <c r="D92" s="57">
        <v>364.3</v>
      </c>
      <c r="E92" s="57">
        <v>406.5</v>
      </c>
      <c r="F92" s="57">
        <f t="shared" si="2"/>
        <v>42.199999999999989</v>
      </c>
      <c r="G92" s="83">
        <f t="shared" si="3"/>
        <v>31.649999999999991</v>
      </c>
    </row>
    <row r="93" spans="1:7" x14ac:dyDescent="0.25">
      <c r="A93" s="3">
        <v>90</v>
      </c>
      <c r="B93" s="10" t="s">
        <v>94</v>
      </c>
      <c r="C93" s="8">
        <v>129</v>
      </c>
      <c r="D93" s="57">
        <v>1047.5999999999999</v>
      </c>
      <c r="E93" s="57">
        <v>1142.4000000000001</v>
      </c>
      <c r="F93" s="57">
        <f t="shared" si="2"/>
        <v>94.800000000000182</v>
      </c>
      <c r="G93" s="83">
        <f t="shared" si="3"/>
        <v>71.100000000000136</v>
      </c>
    </row>
    <row r="94" spans="1:7" x14ac:dyDescent="0.25">
      <c r="A94" s="3">
        <v>91</v>
      </c>
      <c r="B94" s="10" t="s">
        <v>95</v>
      </c>
      <c r="C94" s="8">
        <v>150</v>
      </c>
      <c r="D94" s="57">
        <v>142.5</v>
      </c>
      <c r="E94" s="57">
        <v>155.80000000000001</v>
      </c>
      <c r="F94" s="57">
        <f t="shared" si="2"/>
        <v>13.300000000000011</v>
      </c>
      <c r="G94" s="83">
        <f t="shared" si="3"/>
        <v>9.9750000000000085</v>
      </c>
    </row>
    <row r="95" spans="1:7" x14ac:dyDescent="0.25">
      <c r="A95" s="3">
        <v>92</v>
      </c>
      <c r="B95" s="10" t="s">
        <v>96</v>
      </c>
      <c r="C95" s="8">
        <v>155</v>
      </c>
      <c r="D95" s="57">
        <v>302.39999999999998</v>
      </c>
      <c r="E95" s="57">
        <v>332</v>
      </c>
      <c r="F95" s="57">
        <f t="shared" si="2"/>
        <v>29.600000000000023</v>
      </c>
      <c r="G95" s="83">
        <f t="shared" si="3"/>
        <v>22.200000000000017</v>
      </c>
    </row>
    <row r="96" spans="1:7" x14ac:dyDescent="0.25">
      <c r="A96" s="3">
        <v>93</v>
      </c>
      <c r="B96" s="10" t="s">
        <v>97</v>
      </c>
      <c r="C96" s="8">
        <v>178</v>
      </c>
      <c r="D96" s="57">
        <v>1392.3</v>
      </c>
      <c r="E96" s="57">
        <v>1477.6</v>
      </c>
      <c r="F96" s="57">
        <f t="shared" si="2"/>
        <v>85.299999999999955</v>
      </c>
      <c r="G96" s="83">
        <f t="shared" si="3"/>
        <v>63.974999999999966</v>
      </c>
    </row>
    <row r="97" spans="1:7" x14ac:dyDescent="0.25">
      <c r="A97" s="3">
        <v>94</v>
      </c>
      <c r="B97" s="10" t="s">
        <v>98</v>
      </c>
      <c r="C97" s="8">
        <v>177</v>
      </c>
      <c r="D97" s="57">
        <v>178.9</v>
      </c>
      <c r="E97" s="57">
        <v>194.2</v>
      </c>
      <c r="F97" s="57">
        <f t="shared" si="2"/>
        <v>15.299999999999983</v>
      </c>
      <c r="G97" s="83">
        <f t="shared" si="3"/>
        <v>11.474999999999987</v>
      </c>
    </row>
    <row r="98" spans="1:7" x14ac:dyDescent="0.25">
      <c r="A98" s="3">
        <v>95</v>
      </c>
      <c r="B98" s="10" t="s">
        <v>99</v>
      </c>
      <c r="C98" s="8">
        <v>174</v>
      </c>
      <c r="D98" s="57">
        <v>154</v>
      </c>
      <c r="E98" s="57">
        <v>162.5</v>
      </c>
      <c r="F98" s="57">
        <f t="shared" si="2"/>
        <v>8.5</v>
      </c>
      <c r="G98" s="83">
        <f t="shared" si="3"/>
        <v>6.375</v>
      </c>
    </row>
    <row r="99" spans="1:7" x14ac:dyDescent="0.25">
      <c r="A99" s="3">
        <v>96</v>
      </c>
      <c r="B99" s="10" t="s">
        <v>100</v>
      </c>
      <c r="C99" s="8">
        <v>154</v>
      </c>
      <c r="D99" s="57">
        <v>452.4</v>
      </c>
      <c r="E99" s="57">
        <v>490.3</v>
      </c>
      <c r="F99" s="57">
        <f t="shared" si="2"/>
        <v>37.900000000000034</v>
      </c>
      <c r="G99" s="83">
        <f t="shared" si="3"/>
        <v>28.425000000000026</v>
      </c>
    </row>
    <row r="100" spans="1:7" x14ac:dyDescent="0.25">
      <c r="A100" s="3">
        <v>97</v>
      </c>
      <c r="B100" s="10" t="s">
        <v>101</v>
      </c>
      <c r="C100" s="8">
        <v>151</v>
      </c>
      <c r="D100" s="57">
        <v>4118.2</v>
      </c>
      <c r="E100" s="57">
        <v>4414.7</v>
      </c>
      <c r="F100" s="57">
        <f t="shared" si="2"/>
        <v>296.5</v>
      </c>
      <c r="G100" s="83">
        <f t="shared" si="3"/>
        <v>222.375</v>
      </c>
    </row>
    <row r="101" spans="1:7" x14ac:dyDescent="0.25">
      <c r="A101" s="3">
        <v>98</v>
      </c>
      <c r="B101" s="10" t="s">
        <v>102</v>
      </c>
      <c r="C101" s="8">
        <v>128</v>
      </c>
      <c r="D101" s="57">
        <v>301.8</v>
      </c>
      <c r="E101" s="57">
        <v>326.89999999999998</v>
      </c>
      <c r="F101" s="57">
        <f t="shared" si="2"/>
        <v>25.099999999999966</v>
      </c>
      <c r="G101" s="83">
        <f t="shared" si="3"/>
        <v>18.824999999999974</v>
      </c>
    </row>
    <row r="102" spans="1:7" x14ac:dyDescent="0.25">
      <c r="A102" s="3">
        <v>99</v>
      </c>
      <c r="B102" s="10" t="s">
        <v>103</v>
      </c>
      <c r="C102" s="8">
        <v>125</v>
      </c>
      <c r="D102" s="57">
        <v>657.7</v>
      </c>
      <c r="E102" s="57">
        <v>701.5</v>
      </c>
      <c r="F102" s="57">
        <f t="shared" si="2"/>
        <v>43.799999999999955</v>
      </c>
      <c r="G102" s="83">
        <f t="shared" si="3"/>
        <v>32.849999999999966</v>
      </c>
    </row>
    <row r="103" spans="1:7" x14ac:dyDescent="0.25">
      <c r="A103" s="3">
        <v>100</v>
      </c>
      <c r="B103" s="10" t="s">
        <v>104</v>
      </c>
      <c r="C103" s="8">
        <v>102</v>
      </c>
      <c r="D103" s="57">
        <v>176.5</v>
      </c>
      <c r="E103" s="57">
        <v>199.4</v>
      </c>
      <c r="F103" s="57">
        <f t="shared" si="2"/>
        <v>22.900000000000006</v>
      </c>
      <c r="G103" s="83">
        <f t="shared" si="3"/>
        <v>17.175000000000004</v>
      </c>
    </row>
    <row r="104" spans="1:7" x14ac:dyDescent="0.25">
      <c r="A104" s="3">
        <v>101</v>
      </c>
      <c r="B104" s="10" t="s">
        <v>105</v>
      </c>
      <c r="C104" s="8">
        <v>99</v>
      </c>
      <c r="D104" s="57">
        <v>1182</v>
      </c>
      <c r="E104" s="57">
        <v>1288.8</v>
      </c>
      <c r="F104" s="57">
        <f t="shared" si="2"/>
        <v>106.79999999999995</v>
      </c>
      <c r="G104" s="83">
        <f t="shared" si="3"/>
        <v>80.099999999999966</v>
      </c>
    </row>
    <row r="105" spans="1:7" x14ac:dyDescent="0.25">
      <c r="A105" s="3">
        <v>102</v>
      </c>
      <c r="B105" s="10" t="s">
        <v>106</v>
      </c>
      <c r="C105" s="8">
        <v>166</v>
      </c>
      <c r="D105" s="57">
        <v>976.9</v>
      </c>
      <c r="E105" s="57">
        <v>1164.3</v>
      </c>
      <c r="F105" s="57">
        <f t="shared" si="2"/>
        <v>187.39999999999998</v>
      </c>
      <c r="G105" s="83">
        <f t="shared" si="3"/>
        <v>140.54999999999998</v>
      </c>
    </row>
    <row r="106" spans="1:7" x14ac:dyDescent="0.25">
      <c r="A106" s="3">
        <v>103</v>
      </c>
      <c r="B106" s="10" t="s">
        <v>107</v>
      </c>
      <c r="C106" s="8">
        <v>84</v>
      </c>
      <c r="D106" s="57">
        <v>269.60000000000002</v>
      </c>
      <c r="E106" s="57">
        <v>279.7</v>
      </c>
      <c r="F106" s="57">
        <f t="shared" si="2"/>
        <v>10.099999999999966</v>
      </c>
      <c r="G106" s="83">
        <f t="shared" si="3"/>
        <v>7.5749999999999744</v>
      </c>
    </row>
    <row r="107" spans="1:7" x14ac:dyDescent="0.25">
      <c r="A107" s="3">
        <v>104</v>
      </c>
      <c r="B107" s="10" t="s">
        <v>108</v>
      </c>
      <c r="C107" s="8">
        <v>190</v>
      </c>
      <c r="D107" s="57">
        <v>248.8</v>
      </c>
      <c r="E107" s="57">
        <v>354.4</v>
      </c>
      <c r="F107" s="57">
        <f t="shared" si="2"/>
        <v>105.59999999999997</v>
      </c>
      <c r="G107" s="83">
        <f t="shared" si="3"/>
        <v>79.199999999999974</v>
      </c>
    </row>
    <row r="108" spans="1:7" x14ac:dyDescent="0.25">
      <c r="A108" s="3">
        <v>105</v>
      </c>
      <c r="B108" s="10" t="s">
        <v>109</v>
      </c>
      <c r="C108" s="8">
        <v>85</v>
      </c>
      <c r="D108" s="57">
        <v>149.4</v>
      </c>
      <c r="E108" s="57">
        <v>163.9</v>
      </c>
      <c r="F108" s="57">
        <f t="shared" si="2"/>
        <v>14.5</v>
      </c>
      <c r="G108" s="83">
        <f t="shared" si="3"/>
        <v>10.875</v>
      </c>
    </row>
    <row r="109" spans="1:7" x14ac:dyDescent="0.25">
      <c r="A109" s="3">
        <v>106</v>
      </c>
      <c r="B109" s="10" t="s">
        <v>110</v>
      </c>
      <c r="C109" s="8">
        <v>86</v>
      </c>
      <c r="D109" s="57">
        <v>1010.7</v>
      </c>
      <c r="E109" s="57">
        <v>1037.5999999999999</v>
      </c>
      <c r="F109" s="57">
        <f t="shared" si="2"/>
        <v>26.899999999999864</v>
      </c>
      <c r="G109" s="83">
        <f t="shared" si="3"/>
        <v>20.174999999999898</v>
      </c>
    </row>
    <row r="110" spans="1:7" x14ac:dyDescent="0.25">
      <c r="A110" s="3">
        <v>107</v>
      </c>
      <c r="B110" s="10" t="s">
        <v>111</v>
      </c>
      <c r="C110" s="8">
        <v>100</v>
      </c>
      <c r="D110" s="57">
        <v>369.9</v>
      </c>
      <c r="E110" s="57">
        <v>405.6</v>
      </c>
      <c r="F110" s="57">
        <f t="shared" si="2"/>
        <v>35.700000000000045</v>
      </c>
      <c r="G110" s="83">
        <f t="shared" si="3"/>
        <v>26.775000000000034</v>
      </c>
    </row>
    <row r="111" spans="1:7" x14ac:dyDescent="0.25">
      <c r="A111" s="3">
        <v>108</v>
      </c>
      <c r="B111" s="10" t="s">
        <v>112</v>
      </c>
      <c r="C111" s="8">
        <v>101</v>
      </c>
      <c r="D111" s="57">
        <v>164.9</v>
      </c>
      <c r="E111" s="57">
        <v>189.3</v>
      </c>
      <c r="F111" s="57">
        <f t="shared" si="2"/>
        <v>24.400000000000006</v>
      </c>
      <c r="G111" s="83">
        <f t="shared" si="3"/>
        <v>18.300000000000004</v>
      </c>
    </row>
    <row r="112" spans="1:7" x14ac:dyDescent="0.25">
      <c r="A112" s="3">
        <v>109</v>
      </c>
      <c r="B112" s="10" t="s">
        <v>113</v>
      </c>
      <c r="C112" s="8">
        <v>126</v>
      </c>
      <c r="D112" s="57">
        <v>666.3</v>
      </c>
      <c r="E112" s="57">
        <v>738.9</v>
      </c>
      <c r="F112" s="57">
        <f t="shared" si="2"/>
        <v>72.600000000000023</v>
      </c>
      <c r="G112" s="83">
        <f t="shared" si="3"/>
        <v>54.450000000000017</v>
      </c>
    </row>
    <row r="113" spans="1:7" x14ac:dyDescent="0.25">
      <c r="A113" s="3">
        <v>110</v>
      </c>
      <c r="B113" s="10" t="s">
        <v>114</v>
      </c>
      <c r="C113" s="8">
        <v>127</v>
      </c>
      <c r="D113" s="57">
        <v>3309.1</v>
      </c>
      <c r="E113" s="57">
        <v>3604.3</v>
      </c>
      <c r="F113" s="57">
        <f t="shared" si="2"/>
        <v>295.20000000000027</v>
      </c>
      <c r="G113" s="83">
        <f t="shared" si="3"/>
        <v>221.4000000000002</v>
      </c>
    </row>
    <row r="114" spans="1:7" x14ac:dyDescent="0.25">
      <c r="A114" s="3">
        <v>111</v>
      </c>
      <c r="B114" s="10" t="s">
        <v>115</v>
      </c>
      <c r="C114" s="8">
        <v>152</v>
      </c>
      <c r="D114" s="57">
        <v>4659.5</v>
      </c>
      <c r="E114" s="57">
        <v>5035.8</v>
      </c>
      <c r="F114" s="57">
        <f t="shared" si="2"/>
        <v>376.30000000000018</v>
      </c>
      <c r="G114" s="83">
        <f t="shared" si="3"/>
        <v>282.22500000000014</v>
      </c>
    </row>
    <row r="115" spans="1:7" x14ac:dyDescent="0.25">
      <c r="A115" s="3">
        <v>112</v>
      </c>
      <c r="B115" s="10" t="s">
        <v>116</v>
      </c>
      <c r="C115" s="8">
        <v>153</v>
      </c>
      <c r="D115" s="57">
        <v>860.1</v>
      </c>
      <c r="E115" s="57">
        <v>999.3</v>
      </c>
      <c r="F115" s="57">
        <f t="shared" si="2"/>
        <v>139.19999999999993</v>
      </c>
      <c r="G115" s="83">
        <f t="shared" si="3"/>
        <v>104.39999999999995</v>
      </c>
    </row>
    <row r="116" spans="1:7" x14ac:dyDescent="0.25">
      <c r="A116" s="3">
        <v>113</v>
      </c>
      <c r="B116" s="10" t="s">
        <v>117</v>
      </c>
      <c r="C116" s="8">
        <v>175</v>
      </c>
      <c r="D116" s="57">
        <v>6571.6</v>
      </c>
      <c r="E116" s="57">
        <v>7050.1</v>
      </c>
      <c r="F116" s="57">
        <f t="shared" si="2"/>
        <v>478.5</v>
      </c>
      <c r="G116" s="83">
        <f t="shared" si="3"/>
        <v>358.875</v>
      </c>
    </row>
    <row r="117" spans="1:7" x14ac:dyDescent="0.25">
      <c r="A117" s="3">
        <v>114</v>
      </c>
      <c r="B117" s="10" t="s">
        <v>118</v>
      </c>
      <c r="C117" s="8">
        <v>176</v>
      </c>
      <c r="D117" s="57">
        <v>485.1</v>
      </c>
      <c r="E117" s="57">
        <v>533.29999999999995</v>
      </c>
      <c r="F117" s="58">
        <f t="shared" si="2"/>
        <v>48.199999999999932</v>
      </c>
      <c r="G117" s="83">
        <f t="shared" si="3"/>
        <v>36.149999999999949</v>
      </c>
    </row>
    <row r="118" spans="1:7" x14ac:dyDescent="0.25">
      <c r="B118" s="55" t="s">
        <v>119</v>
      </c>
      <c r="C118" s="54"/>
      <c r="D118" s="1"/>
      <c r="E118" s="1"/>
      <c r="F118" s="56">
        <f>SUM(F4:F117)</f>
        <v>20764.599999999995</v>
      </c>
      <c r="G118" s="56">
        <f>SUM(G4:G117)</f>
        <v>15573.450000000006</v>
      </c>
    </row>
  </sheetData>
  <mergeCells count="2">
    <mergeCell ref="B1:G1"/>
    <mergeCell ref="C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3FC0A-F9C8-43AE-820D-B49FA1D725D7}">
  <dimension ref="A1:H91"/>
  <sheetViews>
    <sheetView topLeftCell="A66" workbookViewId="0">
      <selection activeCell="A2" sqref="A2:H81"/>
    </sheetView>
  </sheetViews>
  <sheetFormatPr baseColWidth="10" defaultRowHeight="15" x14ac:dyDescent="0.25"/>
  <cols>
    <col min="1" max="1" width="5.140625" customWidth="1"/>
    <col min="2" max="2" width="39" customWidth="1"/>
  </cols>
  <sheetData>
    <row r="1" spans="1:8" ht="22.5" customHeight="1" x14ac:dyDescent="0.25">
      <c r="A1" s="95" t="s">
        <v>120</v>
      </c>
      <c r="B1" s="95"/>
      <c r="C1" s="95"/>
      <c r="D1" s="95"/>
      <c r="E1" s="95"/>
      <c r="F1" s="95"/>
      <c r="G1" s="95"/>
      <c r="H1" s="95"/>
    </row>
    <row r="2" spans="1:8" ht="15.75" customHeight="1" thickBot="1" x14ac:dyDescent="0.3">
      <c r="A2" s="96" t="s">
        <v>342</v>
      </c>
      <c r="B2" s="96"/>
      <c r="C2" s="96"/>
      <c r="D2" s="96"/>
      <c r="E2" s="96"/>
      <c r="F2" s="96"/>
      <c r="G2" s="96"/>
      <c r="H2" s="96"/>
    </row>
    <row r="3" spans="1:8" ht="15.75" thickBot="1" x14ac:dyDescent="0.3">
      <c r="A3" s="68" t="s">
        <v>121</v>
      </c>
      <c r="B3" s="69" t="s">
        <v>122</v>
      </c>
      <c r="C3" s="69" t="s">
        <v>123</v>
      </c>
      <c r="D3" s="69" t="s">
        <v>124</v>
      </c>
      <c r="E3" s="69" t="s">
        <v>125</v>
      </c>
      <c r="F3" s="70" t="s">
        <v>126</v>
      </c>
      <c r="G3" s="70" t="s">
        <v>127</v>
      </c>
      <c r="H3" s="71" t="s">
        <v>128</v>
      </c>
    </row>
    <row r="4" spans="1:8" ht="15.75" x14ac:dyDescent="0.25">
      <c r="A4" s="61">
        <v>1</v>
      </c>
      <c r="B4" s="62" t="s">
        <v>129</v>
      </c>
      <c r="C4" s="63" t="s">
        <v>130</v>
      </c>
      <c r="D4" s="64">
        <v>1</v>
      </c>
      <c r="E4" s="65">
        <v>2.4</v>
      </c>
      <c r="F4" s="66">
        <f>SUM(E4*220*12*30)/1000</f>
        <v>190.08</v>
      </c>
      <c r="G4" s="66">
        <v>0.78</v>
      </c>
      <c r="H4" s="67">
        <f>F4*0.75</f>
        <v>142.56</v>
      </c>
    </row>
    <row r="5" spans="1:8" ht="15.75" x14ac:dyDescent="0.25">
      <c r="A5" s="60">
        <v>2</v>
      </c>
      <c r="B5" s="18" t="s">
        <v>131</v>
      </c>
      <c r="C5" s="16" t="s">
        <v>130</v>
      </c>
      <c r="D5" s="17">
        <v>2</v>
      </c>
      <c r="E5" s="3">
        <v>1.3</v>
      </c>
      <c r="F5" s="14">
        <f t="shared" ref="F5:F68" si="0">SUM(E5*220*12*30)/1000</f>
        <v>102.96</v>
      </c>
      <c r="G5" s="14">
        <v>0.78</v>
      </c>
      <c r="H5" s="67">
        <f t="shared" ref="H5:H68" si="1">F5*0.75</f>
        <v>77.22</v>
      </c>
    </row>
    <row r="6" spans="1:8" ht="15.75" x14ac:dyDescent="0.25">
      <c r="A6" s="60">
        <v>3</v>
      </c>
      <c r="B6" s="15" t="s">
        <v>132</v>
      </c>
      <c r="C6" s="16" t="s">
        <v>130</v>
      </c>
      <c r="D6" s="17">
        <v>3</v>
      </c>
      <c r="E6" s="3">
        <v>1.0900000000000001</v>
      </c>
      <c r="F6" s="14">
        <f t="shared" si="0"/>
        <v>86.328000000000017</v>
      </c>
      <c r="G6" s="14">
        <v>0.78</v>
      </c>
      <c r="H6" s="67">
        <f t="shared" si="1"/>
        <v>64.746000000000009</v>
      </c>
    </row>
    <row r="7" spans="1:8" ht="15.75" x14ac:dyDescent="0.25">
      <c r="A7" s="60">
        <v>4</v>
      </c>
      <c r="B7" s="15" t="s">
        <v>133</v>
      </c>
      <c r="C7" s="16" t="s">
        <v>130</v>
      </c>
      <c r="D7" s="17">
        <v>4</v>
      </c>
      <c r="E7" s="3">
        <v>1.4</v>
      </c>
      <c r="F7" s="14">
        <f>SUM(E7*220*16*30)/1000</f>
        <v>147.84</v>
      </c>
      <c r="G7" s="14">
        <v>0.78</v>
      </c>
      <c r="H7" s="67">
        <f t="shared" si="1"/>
        <v>110.88</v>
      </c>
    </row>
    <row r="8" spans="1:8" ht="15.75" x14ac:dyDescent="0.25">
      <c r="A8" s="60">
        <v>5</v>
      </c>
      <c r="B8" s="15" t="s">
        <v>134</v>
      </c>
      <c r="C8" s="16" t="s">
        <v>130</v>
      </c>
      <c r="D8" s="17">
        <v>5</v>
      </c>
      <c r="E8" s="3">
        <v>2.5</v>
      </c>
      <c r="F8" s="14">
        <f t="shared" si="0"/>
        <v>198</v>
      </c>
      <c r="G8" s="14">
        <v>0.78</v>
      </c>
      <c r="H8" s="67">
        <f t="shared" si="1"/>
        <v>148.5</v>
      </c>
    </row>
    <row r="9" spans="1:8" ht="15.75" x14ac:dyDescent="0.25">
      <c r="A9" s="60">
        <v>6</v>
      </c>
      <c r="B9" s="15" t="s">
        <v>135</v>
      </c>
      <c r="C9" s="16" t="s">
        <v>130</v>
      </c>
      <c r="D9" s="17">
        <v>6</v>
      </c>
      <c r="E9" s="3">
        <v>1.2</v>
      </c>
      <c r="F9" s="14">
        <f t="shared" si="0"/>
        <v>95.04</v>
      </c>
      <c r="G9" s="14">
        <v>0.78</v>
      </c>
      <c r="H9" s="67">
        <f t="shared" si="1"/>
        <v>71.28</v>
      </c>
    </row>
    <row r="10" spans="1:8" ht="15.75" x14ac:dyDescent="0.25">
      <c r="A10" s="60">
        <v>7</v>
      </c>
      <c r="B10" s="15" t="s">
        <v>136</v>
      </c>
      <c r="C10" s="16" t="s">
        <v>130</v>
      </c>
      <c r="D10" s="17">
        <v>8</v>
      </c>
      <c r="E10" s="3">
        <v>1.6</v>
      </c>
      <c r="F10" s="14">
        <f t="shared" si="0"/>
        <v>126.72</v>
      </c>
      <c r="G10" s="14">
        <v>0.78</v>
      </c>
      <c r="H10" s="67">
        <f t="shared" si="1"/>
        <v>95.039999999999992</v>
      </c>
    </row>
    <row r="11" spans="1:8" ht="15.75" x14ac:dyDescent="0.25">
      <c r="A11" s="60">
        <v>8</v>
      </c>
      <c r="B11" s="15" t="s">
        <v>137</v>
      </c>
      <c r="C11" s="16" t="s">
        <v>130</v>
      </c>
      <c r="D11" s="17">
        <v>9</v>
      </c>
      <c r="E11" s="3">
        <v>1.7000000000000002</v>
      </c>
      <c r="F11" s="14">
        <f t="shared" si="0"/>
        <v>134.64000000000004</v>
      </c>
      <c r="G11" s="14">
        <v>0.78</v>
      </c>
      <c r="H11" s="67">
        <f t="shared" si="1"/>
        <v>100.98000000000003</v>
      </c>
    </row>
    <row r="12" spans="1:8" ht="15.75" x14ac:dyDescent="0.25">
      <c r="A12" s="60">
        <v>9</v>
      </c>
      <c r="B12" s="15" t="s">
        <v>138</v>
      </c>
      <c r="C12" s="16" t="s">
        <v>130</v>
      </c>
      <c r="D12" s="17">
        <v>10</v>
      </c>
      <c r="E12" s="3">
        <v>0.375</v>
      </c>
      <c r="F12" s="14">
        <f t="shared" si="0"/>
        <v>29.7</v>
      </c>
      <c r="G12" s="14">
        <v>0.78</v>
      </c>
      <c r="H12" s="67">
        <f t="shared" si="1"/>
        <v>22.274999999999999</v>
      </c>
    </row>
    <row r="13" spans="1:8" ht="15.75" x14ac:dyDescent="0.25">
      <c r="A13" s="60">
        <v>10</v>
      </c>
      <c r="B13" s="19" t="s">
        <v>139</v>
      </c>
      <c r="C13" s="16" t="s">
        <v>140</v>
      </c>
      <c r="D13" s="17">
        <v>11</v>
      </c>
      <c r="E13" s="3">
        <v>2.145</v>
      </c>
      <c r="F13" s="14">
        <f t="shared" si="0"/>
        <v>169.88399999999996</v>
      </c>
      <c r="G13" s="14">
        <v>0.78</v>
      </c>
      <c r="H13" s="67">
        <f t="shared" si="1"/>
        <v>127.41299999999997</v>
      </c>
    </row>
    <row r="14" spans="1:8" ht="15.75" x14ac:dyDescent="0.25">
      <c r="A14" s="60">
        <v>11</v>
      </c>
      <c r="B14" s="15" t="s">
        <v>141</v>
      </c>
      <c r="C14" s="16" t="s">
        <v>130</v>
      </c>
      <c r="D14" s="17">
        <v>12</v>
      </c>
      <c r="E14" s="3">
        <v>0.375</v>
      </c>
      <c r="F14" s="14">
        <f t="shared" si="0"/>
        <v>29.7</v>
      </c>
      <c r="G14" s="14">
        <v>0.78</v>
      </c>
      <c r="H14" s="67">
        <f t="shared" si="1"/>
        <v>22.274999999999999</v>
      </c>
    </row>
    <row r="15" spans="1:8" ht="15.75" x14ac:dyDescent="0.25">
      <c r="A15" s="60">
        <v>12</v>
      </c>
      <c r="B15" s="15" t="s">
        <v>142</v>
      </c>
      <c r="C15" s="16" t="s">
        <v>130</v>
      </c>
      <c r="D15" s="17">
        <v>13</v>
      </c>
      <c r="E15" s="3"/>
      <c r="F15" s="14">
        <f t="shared" si="0"/>
        <v>0</v>
      </c>
      <c r="G15" s="14">
        <v>0.78</v>
      </c>
      <c r="H15" s="67">
        <v>8</v>
      </c>
    </row>
    <row r="16" spans="1:8" ht="15.75" x14ac:dyDescent="0.25">
      <c r="A16" s="60">
        <v>13</v>
      </c>
      <c r="B16" s="15" t="s">
        <v>143</v>
      </c>
      <c r="C16" s="16" t="s">
        <v>130</v>
      </c>
      <c r="D16" s="17">
        <v>14</v>
      </c>
      <c r="E16" s="3">
        <v>0.6</v>
      </c>
      <c r="F16" s="14">
        <f t="shared" si="0"/>
        <v>47.52</v>
      </c>
      <c r="G16" s="14">
        <v>0.78</v>
      </c>
      <c r="H16" s="67">
        <f t="shared" si="1"/>
        <v>35.64</v>
      </c>
    </row>
    <row r="17" spans="1:8" ht="15.75" x14ac:dyDescent="0.25">
      <c r="A17" s="60">
        <v>14</v>
      </c>
      <c r="B17" s="15" t="s">
        <v>144</v>
      </c>
      <c r="C17" s="16" t="s">
        <v>130</v>
      </c>
      <c r="D17" s="17">
        <v>15</v>
      </c>
      <c r="E17" s="3">
        <v>0.63</v>
      </c>
      <c r="F17" s="14">
        <f t="shared" si="0"/>
        <v>49.895999999999994</v>
      </c>
      <c r="G17" s="14">
        <v>0.78</v>
      </c>
      <c r="H17" s="67">
        <f t="shared" si="1"/>
        <v>37.421999999999997</v>
      </c>
    </row>
    <row r="18" spans="1:8" ht="15.75" x14ac:dyDescent="0.25">
      <c r="A18" s="60">
        <v>15</v>
      </c>
      <c r="B18" s="15" t="s">
        <v>145</v>
      </c>
      <c r="C18" s="16" t="s">
        <v>130</v>
      </c>
      <c r="D18" s="17">
        <v>16</v>
      </c>
      <c r="E18" s="3">
        <v>0.73</v>
      </c>
      <c r="F18" s="14">
        <f t="shared" si="0"/>
        <v>57.815999999999995</v>
      </c>
      <c r="G18" s="14">
        <v>0.78</v>
      </c>
      <c r="H18" s="67">
        <f t="shared" si="1"/>
        <v>43.361999999999995</v>
      </c>
    </row>
    <row r="19" spans="1:8" ht="15.75" x14ac:dyDescent="0.25">
      <c r="A19" s="60">
        <v>16</v>
      </c>
      <c r="B19" s="15" t="s">
        <v>146</v>
      </c>
      <c r="C19" s="16" t="s">
        <v>130</v>
      </c>
      <c r="D19" s="17">
        <v>17</v>
      </c>
      <c r="E19" s="3">
        <v>1.9</v>
      </c>
      <c r="F19" s="14">
        <f t="shared" si="0"/>
        <v>150.47999999999999</v>
      </c>
      <c r="G19" s="14">
        <v>0.78</v>
      </c>
      <c r="H19" s="67">
        <f t="shared" si="1"/>
        <v>112.85999999999999</v>
      </c>
    </row>
    <row r="20" spans="1:8" ht="15.75" x14ac:dyDescent="0.25">
      <c r="A20" s="60">
        <v>17</v>
      </c>
      <c r="B20" s="19" t="s">
        <v>147</v>
      </c>
      <c r="C20" s="16" t="s">
        <v>130</v>
      </c>
      <c r="D20" s="17">
        <v>18</v>
      </c>
      <c r="E20" s="20">
        <v>0.8</v>
      </c>
      <c r="F20" s="14">
        <f t="shared" si="0"/>
        <v>63.36</v>
      </c>
      <c r="G20" s="14">
        <v>0.78</v>
      </c>
      <c r="H20" s="67">
        <f t="shared" si="1"/>
        <v>47.519999999999996</v>
      </c>
    </row>
    <row r="21" spans="1:8" ht="15.75" x14ac:dyDescent="0.25">
      <c r="A21" s="60">
        <v>18</v>
      </c>
      <c r="B21" s="15" t="s">
        <v>148</v>
      </c>
      <c r="C21" s="16" t="s">
        <v>130</v>
      </c>
      <c r="D21" s="17">
        <v>19</v>
      </c>
      <c r="E21" s="3">
        <v>1.2</v>
      </c>
      <c r="F21" s="14">
        <f t="shared" si="0"/>
        <v>95.04</v>
      </c>
      <c r="G21" s="14">
        <v>0.78</v>
      </c>
      <c r="H21" s="67">
        <f t="shared" si="1"/>
        <v>71.28</v>
      </c>
    </row>
    <row r="22" spans="1:8" ht="15.75" x14ac:dyDescent="0.25">
      <c r="A22" s="60">
        <v>19</v>
      </c>
      <c r="B22" s="15" t="s">
        <v>149</v>
      </c>
      <c r="C22" s="16" t="s">
        <v>130</v>
      </c>
      <c r="D22" s="17">
        <v>20</v>
      </c>
      <c r="E22" s="3">
        <v>3.8</v>
      </c>
      <c r="F22" s="14">
        <f>SUM(E22*220*16*30)/1000</f>
        <v>401.28</v>
      </c>
      <c r="G22" s="14">
        <v>0.78</v>
      </c>
      <c r="H22" s="67">
        <f t="shared" si="1"/>
        <v>300.95999999999998</v>
      </c>
    </row>
    <row r="23" spans="1:8" ht="15.75" x14ac:dyDescent="0.25">
      <c r="A23" s="60">
        <v>20</v>
      </c>
      <c r="B23" s="15" t="s">
        <v>150</v>
      </c>
      <c r="C23" s="16" t="s">
        <v>130</v>
      </c>
      <c r="D23" s="17">
        <v>21</v>
      </c>
      <c r="E23" s="3">
        <v>2.65</v>
      </c>
      <c r="F23" s="14">
        <f t="shared" si="0"/>
        <v>209.88</v>
      </c>
      <c r="G23" s="14">
        <v>0.78</v>
      </c>
      <c r="H23" s="67">
        <f t="shared" si="1"/>
        <v>157.41</v>
      </c>
    </row>
    <row r="24" spans="1:8" ht="15.75" x14ac:dyDescent="0.25">
      <c r="A24" s="60">
        <v>21</v>
      </c>
      <c r="B24" s="15" t="s">
        <v>151</v>
      </c>
      <c r="C24" s="16" t="s">
        <v>130</v>
      </c>
      <c r="D24" s="17">
        <v>22</v>
      </c>
      <c r="E24" s="3">
        <v>2.6</v>
      </c>
      <c r="F24" s="14">
        <f t="shared" si="0"/>
        <v>205.92</v>
      </c>
      <c r="G24" s="14">
        <v>0.78</v>
      </c>
      <c r="H24" s="67">
        <f t="shared" si="1"/>
        <v>154.44</v>
      </c>
    </row>
    <row r="25" spans="1:8" ht="15.75" x14ac:dyDescent="0.25">
      <c r="A25" s="60">
        <v>22</v>
      </c>
      <c r="B25" s="19" t="s">
        <v>152</v>
      </c>
      <c r="C25" s="16" t="s">
        <v>130</v>
      </c>
      <c r="D25" s="17">
        <v>23</v>
      </c>
      <c r="E25" s="20">
        <v>1.07</v>
      </c>
      <c r="F25" s="14">
        <f>SUM(E25*220*14*30)/1000</f>
        <v>98.867999999999995</v>
      </c>
      <c r="G25" s="14">
        <v>0.78</v>
      </c>
      <c r="H25" s="67">
        <f t="shared" si="1"/>
        <v>74.150999999999996</v>
      </c>
    </row>
    <row r="26" spans="1:8" ht="15.75" x14ac:dyDescent="0.25">
      <c r="A26" s="60">
        <v>23</v>
      </c>
      <c r="B26" s="15" t="s">
        <v>153</v>
      </c>
      <c r="C26" s="16" t="s">
        <v>130</v>
      </c>
      <c r="D26" s="17">
        <v>24</v>
      </c>
      <c r="E26" s="3">
        <v>1.58</v>
      </c>
      <c r="F26" s="14">
        <f t="shared" si="0"/>
        <v>125.13600000000002</v>
      </c>
      <c r="G26" s="14">
        <v>0.78</v>
      </c>
      <c r="H26" s="67">
        <f t="shared" si="1"/>
        <v>93.852000000000018</v>
      </c>
    </row>
    <row r="27" spans="1:8" ht="15.75" x14ac:dyDescent="0.25">
      <c r="A27" s="60">
        <v>24</v>
      </c>
      <c r="B27" s="15" t="s">
        <v>154</v>
      </c>
      <c r="C27" s="16" t="s">
        <v>130</v>
      </c>
      <c r="D27" s="17">
        <v>25</v>
      </c>
      <c r="E27" s="3"/>
      <c r="F27" s="14">
        <f t="shared" si="0"/>
        <v>0</v>
      </c>
      <c r="G27" s="14">
        <v>0.78</v>
      </c>
      <c r="H27" s="67">
        <v>8</v>
      </c>
    </row>
    <row r="28" spans="1:8" ht="15.75" x14ac:dyDescent="0.25">
      <c r="A28" s="60">
        <v>25</v>
      </c>
      <c r="B28" s="19" t="s">
        <v>155</v>
      </c>
      <c r="C28" s="16" t="s">
        <v>130</v>
      </c>
      <c r="D28" s="17">
        <v>26</v>
      </c>
      <c r="E28" s="20">
        <v>0.82499999999999996</v>
      </c>
      <c r="F28" s="14">
        <f>SUM(E28*220*16*30)/1000</f>
        <v>87.12</v>
      </c>
      <c r="G28" s="14">
        <v>0.78</v>
      </c>
      <c r="H28" s="67">
        <f t="shared" si="1"/>
        <v>65.34</v>
      </c>
    </row>
    <row r="29" spans="1:8" ht="15.75" x14ac:dyDescent="0.25">
      <c r="A29" s="60">
        <v>26</v>
      </c>
      <c r="B29" s="15" t="s">
        <v>156</v>
      </c>
      <c r="C29" s="16" t="s">
        <v>130</v>
      </c>
      <c r="D29" s="17">
        <v>27</v>
      </c>
      <c r="E29" s="3">
        <v>1.7000000000000002</v>
      </c>
      <c r="F29" s="14">
        <f t="shared" si="0"/>
        <v>134.64000000000004</v>
      </c>
      <c r="G29" s="14">
        <v>0.78</v>
      </c>
      <c r="H29" s="67">
        <f t="shared" si="1"/>
        <v>100.98000000000003</v>
      </c>
    </row>
    <row r="30" spans="1:8" ht="15.75" x14ac:dyDescent="0.25">
      <c r="A30" s="60">
        <v>27</v>
      </c>
      <c r="B30" s="15" t="s">
        <v>157</v>
      </c>
      <c r="C30" s="16" t="s">
        <v>130</v>
      </c>
      <c r="D30" s="17">
        <v>28</v>
      </c>
      <c r="E30" s="3">
        <v>1.2</v>
      </c>
      <c r="F30" s="14">
        <f t="shared" si="0"/>
        <v>95.04</v>
      </c>
      <c r="G30" s="14">
        <v>0.78</v>
      </c>
      <c r="H30" s="67">
        <f t="shared" si="1"/>
        <v>71.28</v>
      </c>
    </row>
    <row r="31" spans="1:8" ht="15.75" x14ac:dyDescent="0.25">
      <c r="A31" s="60">
        <v>28</v>
      </c>
      <c r="B31" s="15" t="s">
        <v>158</v>
      </c>
      <c r="C31" s="16" t="s">
        <v>130</v>
      </c>
      <c r="D31" s="17">
        <v>29</v>
      </c>
      <c r="E31" s="3">
        <v>0.42500000000000004</v>
      </c>
      <c r="F31" s="14">
        <f t="shared" si="0"/>
        <v>33.660000000000011</v>
      </c>
      <c r="G31" s="14">
        <v>0.78</v>
      </c>
      <c r="H31" s="67">
        <f t="shared" si="1"/>
        <v>25.245000000000008</v>
      </c>
    </row>
    <row r="32" spans="1:8" ht="15.75" x14ac:dyDescent="0.25">
      <c r="A32" s="60">
        <v>29</v>
      </c>
      <c r="B32" s="15" t="s">
        <v>159</v>
      </c>
      <c r="C32" s="16" t="s">
        <v>130</v>
      </c>
      <c r="D32" s="17">
        <v>30</v>
      </c>
      <c r="E32" s="3">
        <v>0.7</v>
      </c>
      <c r="F32" s="14">
        <f t="shared" si="0"/>
        <v>55.44</v>
      </c>
      <c r="G32" s="14">
        <v>0.78</v>
      </c>
      <c r="H32" s="67">
        <f t="shared" si="1"/>
        <v>41.58</v>
      </c>
    </row>
    <row r="33" spans="1:8" ht="15.75" x14ac:dyDescent="0.25">
      <c r="A33" s="60">
        <v>30</v>
      </c>
      <c r="B33" s="15" t="s">
        <v>160</v>
      </c>
      <c r="C33" s="16" t="s">
        <v>130</v>
      </c>
      <c r="D33" s="17">
        <v>31</v>
      </c>
      <c r="E33" s="3">
        <v>1.3</v>
      </c>
      <c r="F33" s="14">
        <f t="shared" si="0"/>
        <v>102.96</v>
      </c>
      <c r="G33" s="14">
        <v>0.78</v>
      </c>
      <c r="H33" s="67">
        <f t="shared" si="1"/>
        <v>77.22</v>
      </c>
    </row>
    <row r="34" spans="1:8" ht="15.75" x14ac:dyDescent="0.25">
      <c r="A34" s="60">
        <v>31</v>
      </c>
      <c r="B34" s="19" t="s">
        <v>161</v>
      </c>
      <c r="C34" s="16" t="s">
        <v>162</v>
      </c>
      <c r="D34" s="17">
        <v>32</v>
      </c>
      <c r="E34" s="3">
        <v>1.645</v>
      </c>
      <c r="F34" s="14">
        <f t="shared" si="0"/>
        <v>130.28399999999996</v>
      </c>
      <c r="G34" s="14">
        <v>0.78</v>
      </c>
      <c r="H34" s="67">
        <f t="shared" si="1"/>
        <v>97.712999999999965</v>
      </c>
    </row>
    <row r="35" spans="1:8" ht="15.75" x14ac:dyDescent="0.25">
      <c r="A35" s="60">
        <v>32</v>
      </c>
      <c r="B35" s="15" t="s">
        <v>163</v>
      </c>
      <c r="C35" s="16" t="s">
        <v>130</v>
      </c>
      <c r="D35" s="17">
        <v>33</v>
      </c>
      <c r="E35" s="3">
        <v>1</v>
      </c>
      <c r="F35" s="14">
        <f>SUM(E35*220*14*30)/1000</f>
        <v>92.4</v>
      </c>
      <c r="G35" s="14">
        <v>0.78</v>
      </c>
      <c r="H35" s="67">
        <v>8</v>
      </c>
    </row>
    <row r="36" spans="1:8" ht="15.75" x14ac:dyDescent="0.25">
      <c r="A36" s="60">
        <v>33</v>
      </c>
      <c r="B36" s="15" t="s">
        <v>164</v>
      </c>
      <c r="C36" s="16" t="s">
        <v>130</v>
      </c>
      <c r="D36" s="17">
        <v>34</v>
      </c>
      <c r="E36" s="3">
        <v>0.53</v>
      </c>
      <c r="F36" s="14">
        <f t="shared" si="0"/>
        <v>41.975999999999999</v>
      </c>
      <c r="G36" s="14">
        <v>0.78</v>
      </c>
      <c r="H36" s="67">
        <f t="shared" si="1"/>
        <v>31.481999999999999</v>
      </c>
    </row>
    <row r="37" spans="1:8" ht="15.75" x14ac:dyDescent="0.25">
      <c r="A37" s="60">
        <v>34</v>
      </c>
      <c r="B37" s="15" t="s">
        <v>165</v>
      </c>
      <c r="C37" s="16" t="s">
        <v>130</v>
      </c>
      <c r="D37" s="17">
        <v>35</v>
      </c>
      <c r="E37" s="3">
        <v>1.8250000000000002</v>
      </c>
      <c r="F37" s="14">
        <f t="shared" si="0"/>
        <v>144.54000000000002</v>
      </c>
      <c r="G37" s="14">
        <v>0.78</v>
      </c>
      <c r="H37" s="67">
        <f t="shared" si="1"/>
        <v>108.40500000000002</v>
      </c>
    </row>
    <row r="38" spans="1:8" ht="15.75" x14ac:dyDescent="0.25">
      <c r="A38" s="60">
        <v>35</v>
      </c>
      <c r="B38" s="15" t="s">
        <v>166</v>
      </c>
      <c r="C38" s="16" t="s">
        <v>130</v>
      </c>
      <c r="D38" s="17">
        <v>36</v>
      </c>
      <c r="E38" s="3">
        <v>1</v>
      </c>
      <c r="F38" s="14">
        <f t="shared" si="0"/>
        <v>79.2</v>
      </c>
      <c r="G38" s="14">
        <v>0.78</v>
      </c>
      <c r="H38" s="67">
        <f t="shared" si="1"/>
        <v>59.400000000000006</v>
      </c>
    </row>
    <row r="39" spans="1:8" ht="15.75" x14ac:dyDescent="0.25">
      <c r="A39" s="60">
        <v>36</v>
      </c>
      <c r="B39" s="19" t="s">
        <v>167</v>
      </c>
      <c r="C39" s="16" t="s">
        <v>130</v>
      </c>
      <c r="D39" s="17">
        <v>37</v>
      </c>
      <c r="E39" s="3">
        <v>0.5</v>
      </c>
      <c r="F39" s="14">
        <f t="shared" si="0"/>
        <v>39.6</v>
      </c>
      <c r="G39" s="14">
        <v>0.78</v>
      </c>
      <c r="H39" s="67">
        <f t="shared" si="1"/>
        <v>29.700000000000003</v>
      </c>
    </row>
    <row r="40" spans="1:8" ht="15.75" x14ac:dyDescent="0.25">
      <c r="A40" s="60">
        <v>37</v>
      </c>
      <c r="B40" s="15" t="s">
        <v>168</v>
      </c>
      <c r="C40" s="16" t="s">
        <v>130</v>
      </c>
      <c r="D40" s="17">
        <v>38</v>
      </c>
      <c r="E40" s="3">
        <v>1</v>
      </c>
      <c r="F40" s="14">
        <f t="shared" si="0"/>
        <v>79.2</v>
      </c>
      <c r="G40" s="14">
        <v>0.78</v>
      </c>
      <c r="H40" s="67">
        <f t="shared" si="1"/>
        <v>59.400000000000006</v>
      </c>
    </row>
    <row r="41" spans="1:8" ht="15.75" x14ac:dyDescent="0.25">
      <c r="A41" s="60">
        <v>38</v>
      </c>
      <c r="B41" s="15" t="s">
        <v>169</v>
      </c>
      <c r="C41" s="16" t="s">
        <v>130</v>
      </c>
      <c r="D41" s="17">
        <v>39</v>
      </c>
      <c r="E41" s="3">
        <v>1.45</v>
      </c>
      <c r="F41" s="14">
        <f t="shared" si="0"/>
        <v>114.84</v>
      </c>
      <c r="G41" s="14">
        <v>0.78</v>
      </c>
      <c r="H41" s="67">
        <f t="shared" si="1"/>
        <v>86.13</v>
      </c>
    </row>
    <row r="42" spans="1:8" ht="15.75" x14ac:dyDescent="0.25">
      <c r="A42" s="60">
        <v>39</v>
      </c>
      <c r="B42" s="15" t="s">
        <v>170</v>
      </c>
      <c r="C42" s="16" t="s">
        <v>130</v>
      </c>
      <c r="D42" s="17">
        <v>40</v>
      </c>
      <c r="E42" s="3">
        <v>0.7</v>
      </c>
      <c r="F42" s="14">
        <f t="shared" si="0"/>
        <v>55.44</v>
      </c>
      <c r="G42" s="14">
        <v>0.78</v>
      </c>
      <c r="H42" s="67">
        <f t="shared" si="1"/>
        <v>41.58</v>
      </c>
    </row>
    <row r="43" spans="1:8" ht="15.75" x14ac:dyDescent="0.25">
      <c r="A43" s="60">
        <v>40</v>
      </c>
      <c r="B43" s="15" t="s">
        <v>171</v>
      </c>
      <c r="C43" s="16" t="s">
        <v>130</v>
      </c>
      <c r="D43" s="17">
        <v>41</v>
      </c>
      <c r="E43" s="3">
        <v>1.2349999999999999</v>
      </c>
      <c r="F43" s="14">
        <f t="shared" si="0"/>
        <v>97.811999999999983</v>
      </c>
      <c r="G43" s="14">
        <v>0.78</v>
      </c>
      <c r="H43" s="67">
        <f t="shared" si="1"/>
        <v>73.35899999999998</v>
      </c>
    </row>
    <row r="44" spans="1:8" ht="15.75" x14ac:dyDescent="0.25">
      <c r="A44" s="60">
        <v>41</v>
      </c>
      <c r="B44" s="15" t="s">
        <v>172</v>
      </c>
      <c r="C44" s="16" t="s">
        <v>130</v>
      </c>
      <c r="D44" s="17">
        <v>42</v>
      </c>
      <c r="E44" s="3">
        <v>1.4</v>
      </c>
      <c r="F44" s="14">
        <f t="shared" si="0"/>
        <v>110.88</v>
      </c>
      <c r="G44" s="14">
        <v>0.78</v>
      </c>
      <c r="H44" s="67">
        <f t="shared" si="1"/>
        <v>83.16</v>
      </c>
    </row>
    <row r="45" spans="1:8" ht="15.75" x14ac:dyDescent="0.25">
      <c r="A45" s="60">
        <v>42</v>
      </c>
      <c r="B45" s="15" t="s">
        <v>173</v>
      </c>
      <c r="C45" s="16" t="s">
        <v>130</v>
      </c>
      <c r="D45" s="17">
        <v>43</v>
      </c>
      <c r="E45" s="3">
        <v>0.9</v>
      </c>
      <c r="F45" s="14">
        <f t="shared" si="0"/>
        <v>71.28</v>
      </c>
      <c r="G45" s="14">
        <v>0.78</v>
      </c>
      <c r="H45" s="67">
        <f t="shared" si="1"/>
        <v>53.46</v>
      </c>
    </row>
    <row r="46" spans="1:8" ht="15.75" x14ac:dyDescent="0.25">
      <c r="A46" s="60">
        <v>43</v>
      </c>
      <c r="B46" s="18" t="s">
        <v>174</v>
      </c>
      <c r="C46" s="16" t="s">
        <v>130</v>
      </c>
      <c r="D46" s="21">
        <v>44</v>
      </c>
      <c r="E46" s="9">
        <v>1.77</v>
      </c>
      <c r="F46" s="22">
        <f t="shared" si="0"/>
        <v>140.18399999999997</v>
      </c>
      <c r="G46" s="22">
        <v>0.78</v>
      </c>
      <c r="H46" s="67">
        <f t="shared" si="1"/>
        <v>105.13799999999998</v>
      </c>
    </row>
    <row r="47" spans="1:8" ht="15.75" x14ac:dyDescent="0.25">
      <c r="A47" s="60">
        <v>44</v>
      </c>
      <c r="B47" s="19" t="s">
        <v>333</v>
      </c>
      <c r="C47" s="16" t="s">
        <v>162</v>
      </c>
      <c r="D47" s="17">
        <v>45</v>
      </c>
      <c r="E47" s="3">
        <v>0.55000000000000004</v>
      </c>
      <c r="F47" s="22">
        <f t="shared" si="0"/>
        <v>43.560000000000009</v>
      </c>
      <c r="G47" s="14">
        <v>0.78</v>
      </c>
      <c r="H47" s="67">
        <f t="shared" si="1"/>
        <v>32.670000000000009</v>
      </c>
    </row>
    <row r="48" spans="1:8" ht="15.75" x14ac:dyDescent="0.25">
      <c r="A48" s="60">
        <v>45</v>
      </c>
      <c r="B48" s="19" t="s">
        <v>176</v>
      </c>
      <c r="C48" s="16" t="s">
        <v>162</v>
      </c>
      <c r="D48" s="17">
        <v>46</v>
      </c>
      <c r="E48" s="3">
        <v>0.27500000000000002</v>
      </c>
      <c r="F48" s="14">
        <f t="shared" si="0"/>
        <v>21.780000000000005</v>
      </c>
      <c r="G48" s="14">
        <v>0.78</v>
      </c>
      <c r="H48" s="67">
        <f t="shared" si="1"/>
        <v>16.335000000000004</v>
      </c>
    </row>
    <row r="49" spans="1:8" ht="15.75" x14ac:dyDescent="0.25">
      <c r="A49" s="60">
        <v>46</v>
      </c>
      <c r="B49" s="15" t="s">
        <v>177</v>
      </c>
      <c r="C49" s="16" t="s">
        <v>130</v>
      </c>
      <c r="D49" s="17">
        <v>47</v>
      </c>
      <c r="E49" s="3">
        <v>2.0499999999999998</v>
      </c>
      <c r="F49" s="14">
        <f t="shared" si="0"/>
        <v>162.35999999999996</v>
      </c>
      <c r="G49" s="14">
        <v>0.78</v>
      </c>
      <c r="H49" s="67">
        <f t="shared" si="1"/>
        <v>121.76999999999997</v>
      </c>
    </row>
    <row r="50" spans="1:8" ht="15.75" x14ac:dyDescent="0.25">
      <c r="A50" s="60">
        <v>47</v>
      </c>
      <c r="B50" s="15" t="s">
        <v>178</v>
      </c>
      <c r="C50" s="16" t="s">
        <v>130</v>
      </c>
      <c r="D50" s="17">
        <v>48</v>
      </c>
      <c r="E50" s="3">
        <v>0.47499999999999998</v>
      </c>
      <c r="F50" s="14">
        <f t="shared" si="0"/>
        <v>37.619999999999997</v>
      </c>
      <c r="G50" s="14">
        <v>0.78</v>
      </c>
      <c r="H50" s="67">
        <f t="shared" si="1"/>
        <v>28.214999999999996</v>
      </c>
    </row>
    <row r="51" spans="1:8" ht="15.75" x14ac:dyDescent="0.25">
      <c r="A51" s="60">
        <v>48</v>
      </c>
      <c r="B51" s="15" t="s">
        <v>179</v>
      </c>
      <c r="C51" s="16" t="s">
        <v>130</v>
      </c>
      <c r="D51" s="17">
        <v>49</v>
      </c>
      <c r="E51" s="3">
        <v>0.22</v>
      </c>
      <c r="F51" s="14">
        <f t="shared" si="0"/>
        <v>17.423999999999999</v>
      </c>
      <c r="G51" s="14">
        <v>0.78</v>
      </c>
      <c r="H51" s="67">
        <f t="shared" si="1"/>
        <v>13.068</v>
      </c>
    </row>
    <row r="52" spans="1:8" ht="15.75" x14ac:dyDescent="0.25">
      <c r="A52" s="60">
        <v>49</v>
      </c>
      <c r="B52" s="15" t="s">
        <v>180</v>
      </c>
      <c r="C52" s="16" t="s">
        <v>130</v>
      </c>
      <c r="D52" s="17">
        <v>50</v>
      </c>
      <c r="E52" s="3">
        <v>1.2250000000000001</v>
      </c>
      <c r="F52" s="14">
        <f t="shared" si="0"/>
        <v>97.02</v>
      </c>
      <c r="G52" s="14">
        <v>0.78</v>
      </c>
      <c r="H52" s="67">
        <f t="shared" si="1"/>
        <v>72.765000000000001</v>
      </c>
    </row>
    <row r="53" spans="1:8" ht="15.75" x14ac:dyDescent="0.25">
      <c r="A53" s="60">
        <v>50</v>
      </c>
      <c r="B53" s="15" t="s">
        <v>181</v>
      </c>
      <c r="C53" s="16" t="s">
        <v>130</v>
      </c>
      <c r="D53" s="17">
        <v>51</v>
      </c>
      <c r="E53" s="3">
        <v>0.35</v>
      </c>
      <c r="F53" s="14">
        <f t="shared" si="0"/>
        <v>27.72</v>
      </c>
      <c r="G53" s="14">
        <v>0.78</v>
      </c>
      <c r="H53" s="67">
        <f t="shared" si="1"/>
        <v>20.79</v>
      </c>
    </row>
    <row r="54" spans="1:8" ht="15.75" x14ac:dyDescent="0.25">
      <c r="A54" s="60">
        <v>51</v>
      </c>
      <c r="B54" s="19" t="s">
        <v>182</v>
      </c>
      <c r="C54" s="16" t="s">
        <v>162</v>
      </c>
      <c r="D54" s="17">
        <v>52</v>
      </c>
      <c r="E54" s="3">
        <v>0.9</v>
      </c>
      <c r="F54" s="14">
        <f t="shared" si="0"/>
        <v>71.28</v>
      </c>
      <c r="G54" s="14">
        <v>0.78</v>
      </c>
      <c r="H54" s="67">
        <f t="shared" si="1"/>
        <v>53.46</v>
      </c>
    </row>
    <row r="55" spans="1:8" ht="15.75" x14ac:dyDescent="0.25">
      <c r="A55" s="60">
        <v>52</v>
      </c>
      <c r="B55" s="15" t="s">
        <v>183</v>
      </c>
      <c r="C55" s="16" t="s">
        <v>130</v>
      </c>
      <c r="D55" s="17">
        <v>53</v>
      </c>
      <c r="E55" s="3">
        <v>2.6749999999999998</v>
      </c>
      <c r="F55" s="14">
        <f t="shared" si="0"/>
        <v>211.86</v>
      </c>
      <c r="G55" s="14">
        <v>0.78</v>
      </c>
      <c r="H55" s="67">
        <f t="shared" si="1"/>
        <v>158.89500000000001</v>
      </c>
    </row>
    <row r="56" spans="1:8" ht="15.75" x14ac:dyDescent="0.25">
      <c r="A56" s="60">
        <v>53</v>
      </c>
      <c r="B56" s="15" t="s">
        <v>184</v>
      </c>
      <c r="C56" s="16" t="s">
        <v>130</v>
      </c>
      <c r="D56" s="17">
        <v>54</v>
      </c>
      <c r="E56" s="3"/>
      <c r="F56" s="14">
        <f t="shared" si="0"/>
        <v>0</v>
      </c>
      <c r="G56" s="14">
        <v>0.78</v>
      </c>
      <c r="H56" s="67">
        <f t="shared" si="1"/>
        <v>0</v>
      </c>
    </row>
    <row r="57" spans="1:8" ht="15.75" x14ac:dyDescent="0.25">
      <c r="A57" s="60">
        <v>54</v>
      </c>
      <c r="B57" s="18" t="s">
        <v>185</v>
      </c>
      <c r="C57" s="16" t="s">
        <v>130</v>
      </c>
      <c r="D57" s="17">
        <v>55</v>
      </c>
      <c r="E57" s="3">
        <v>0.65</v>
      </c>
      <c r="F57" s="14">
        <f>SUM(E57*220*14*30)/1000</f>
        <v>60.06</v>
      </c>
      <c r="G57" s="14">
        <v>0.78</v>
      </c>
      <c r="H57" s="67">
        <f t="shared" si="1"/>
        <v>45.045000000000002</v>
      </c>
    </row>
    <row r="58" spans="1:8" ht="15.75" x14ac:dyDescent="0.25">
      <c r="A58" s="60">
        <v>55</v>
      </c>
      <c r="B58" s="18" t="s">
        <v>186</v>
      </c>
      <c r="C58" s="16" t="s">
        <v>130</v>
      </c>
      <c r="D58" s="17">
        <v>56</v>
      </c>
      <c r="E58" s="3">
        <v>0.43</v>
      </c>
      <c r="F58" s="14">
        <f t="shared" si="0"/>
        <v>34.05599999999999</v>
      </c>
      <c r="G58" s="14">
        <v>0.78</v>
      </c>
      <c r="H58" s="67">
        <f t="shared" si="1"/>
        <v>25.541999999999994</v>
      </c>
    </row>
    <row r="59" spans="1:8" ht="15.75" x14ac:dyDescent="0.25">
      <c r="A59" s="60">
        <v>56</v>
      </c>
      <c r="B59" s="15" t="s">
        <v>187</v>
      </c>
      <c r="C59" s="16" t="s">
        <v>130</v>
      </c>
      <c r="D59" s="17">
        <v>57</v>
      </c>
      <c r="E59" s="3">
        <v>0.90999999999999992</v>
      </c>
      <c r="F59" s="14">
        <f t="shared" si="0"/>
        <v>72.071999999999989</v>
      </c>
      <c r="G59" s="14">
        <v>0.78</v>
      </c>
      <c r="H59" s="67">
        <f t="shared" si="1"/>
        <v>54.053999999999988</v>
      </c>
    </row>
    <row r="60" spans="1:8" ht="15.75" x14ac:dyDescent="0.25">
      <c r="A60" s="60">
        <v>57</v>
      </c>
      <c r="B60" s="15" t="s">
        <v>188</v>
      </c>
      <c r="C60" s="16" t="s">
        <v>130</v>
      </c>
      <c r="D60" s="17">
        <v>58</v>
      </c>
      <c r="E60" s="3">
        <v>1.6</v>
      </c>
      <c r="F60" s="14">
        <f t="shared" si="0"/>
        <v>126.72</v>
      </c>
      <c r="G60" s="14">
        <v>0.78</v>
      </c>
      <c r="H60" s="67">
        <f t="shared" si="1"/>
        <v>95.039999999999992</v>
      </c>
    </row>
    <row r="61" spans="1:8" ht="15.75" x14ac:dyDescent="0.25">
      <c r="A61" s="60">
        <v>58</v>
      </c>
      <c r="B61" s="19" t="s">
        <v>189</v>
      </c>
      <c r="C61" s="16" t="s">
        <v>130</v>
      </c>
      <c r="D61" s="17">
        <v>59</v>
      </c>
      <c r="E61" s="9">
        <v>0.84199999999999997</v>
      </c>
      <c r="F61" s="14">
        <f t="shared" si="0"/>
        <v>66.686399999999992</v>
      </c>
      <c r="G61" s="22">
        <v>0.78</v>
      </c>
      <c r="H61" s="67">
        <f t="shared" si="1"/>
        <v>50.014799999999994</v>
      </c>
    </row>
    <row r="62" spans="1:8" ht="15.75" x14ac:dyDescent="0.25">
      <c r="A62" s="60">
        <v>59</v>
      </c>
      <c r="B62" s="18" t="s">
        <v>190</v>
      </c>
      <c r="C62" s="16" t="s">
        <v>130</v>
      </c>
      <c r="D62" s="17">
        <v>60</v>
      </c>
      <c r="E62" s="9">
        <v>1.32</v>
      </c>
      <c r="F62" s="22">
        <f t="shared" si="0"/>
        <v>104.544</v>
      </c>
      <c r="G62" s="22">
        <v>0.78</v>
      </c>
      <c r="H62" s="67">
        <f t="shared" si="1"/>
        <v>78.408000000000001</v>
      </c>
    </row>
    <row r="63" spans="1:8" ht="15.75" x14ac:dyDescent="0.25">
      <c r="A63" s="60">
        <v>60</v>
      </c>
      <c r="B63" s="15" t="s">
        <v>191</v>
      </c>
      <c r="C63" s="16" t="s">
        <v>130</v>
      </c>
      <c r="D63" s="17">
        <v>61</v>
      </c>
      <c r="E63" s="3">
        <v>0.79</v>
      </c>
      <c r="F63" s="14">
        <f t="shared" si="0"/>
        <v>62.568000000000012</v>
      </c>
      <c r="G63" s="14">
        <v>0.78</v>
      </c>
      <c r="H63" s="67">
        <f t="shared" si="1"/>
        <v>46.926000000000009</v>
      </c>
    </row>
    <row r="64" spans="1:8" ht="15.75" x14ac:dyDescent="0.25">
      <c r="A64" s="60">
        <v>61</v>
      </c>
      <c r="B64" s="15" t="s">
        <v>192</v>
      </c>
      <c r="C64" s="16" t="s">
        <v>130</v>
      </c>
      <c r="D64" s="17">
        <v>62</v>
      </c>
      <c r="E64" s="3">
        <v>0.25</v>
      </c>
      <c r="F64" s="14">
        <f t="shared" si="0"/>
        <v>19.8</v>
      </c>
      <c r="G64" s="14">
        <v>0.78</v>
      </c>
      <c r="H64" s="67">
        <f t="shared" si="1"/>
        <v>14.850000000000001</v>
      </c>
    </row>
    <row r="65" spans="1:8" ht="15.75" x14ac:dyDescent="0.25">
      <c r="A65" s="60">
        <v>62</v>
      </c>
      <c r="B65" s="15" t="s">
        <v>193</v>
      </c>
      <c r="C65" s="16" t="s">
        <v>130</v>
      </c>
      <c r="D65" s="17">
        <v>63</v>
      </c>
      <c r="E65" s="3">
        <v>0.71500000000000008</v>
      </c>
      <c r="F65" s="14">
        <f t="shared" si="0"/>
        <v>56.628000000000007</v>
      </c>
      <c r="G65" s="14">
        <v>0.78</v>
      </c>
      <c r="H65" s="67">
        <f t="shared" si="1"/>
        <v>42.471000000000004</v>
      </c>
    </row>
    <row r="66" spans="1:8" ht="15.75" x14ac:dyDescent="0.25">
      <c r="A66" s="60">
        <v>63</v>
      </c>
      <c r="B66" s="15" t="s">
        <v>194</v>
      </c>
      <c r="C66" s="16" t="s">
        <v>130</v>
      </c>
      <c r="D66" s="17">
        <v>64</v>
      </c>
      <c r="E66" s="3">
        <v>1.95</v>
      </c>
      <c r="F66" s="14">
        <f t="shared" si="0"/>
        <v>154.44</v>
      </c>
      <c r="G66" s="14">
        <v>0.78</v>
      </c>
      <c r="H66" s="67">
        <f t="shared" si="1"/>
        <v>115.83</v>
      </c>
    </row>
    <row r="67" spans="1:8" ht="15.75" x14ac:dyDescent="0.25">
      <c r="A67" s="60">
        <v>64</v>
      </c>
      <c r="B67" s="15" t="s">
        <v>195</v>
      </c>
      <c r="C67" s="16" t="s">
        <v>130</v>
      </c>
      <c r="D67" s="17">
        <v>65</v>
      </c>
      <c r="E67" s="3">
        <v>0.45</v>
      </c>
      <c r="F67" s="14">
        <f t="shared" si="0"/>
        <v>35.64</v>
      </c>
      <c r="G67" s="14">
        <v>0.78</v>
      </c>
      <c r="H67" s="67">
        <f t="shared" si="1"/>
        <v>26.73</v>
      </c>
    </row>
    <row r="68" spans="1:8" ht="15.75" x14ac:dyDescent="0.25">
      <c r="A68" s="60">
        <v>65</v>
      </c>
      <c r="B68" s="18" t="s">
        <v>196</v>
      </c>
      <c r="C68" s="16" t="s">
        <v>130</v>
      </c>
      <c r="D68" s="17">
        <v>66</v>
      </c>
      <c r="E68" s="3">
        <v>0.78</v>
      </c>
      <c r="F68" s="14">
        <f t="shared" si="0"/>
        <v>61.775999999999996</v>
      </c>
      <c r="G68" s="14">
        <v>0.78</v>
      </c>
      <c r="H68" s="67">
        <f t="shared" si="1"/>
        <v>46.331999999999994</v>
      </c>
    </row>
    <row r="69" spans="1:8" ht="15.75" x14ac:dyDescent="0.25">
      <c r="A69" s="60">
        <v>66</v>
      </c>
      <c r="B69" s="18" t="s">
        <v>197</v>
      </c>
      <c r="C69" s="23" t="s">
        <v>130</v>
      </c>
      <c r="D69" s="21">
        <v>67</v>
      </c>
      <c r="E69" s="9">
        <v>0.55000000000000004</v>
      </c>
      <c r="F69" s="22">
        <f t="shared" ref="F69:F81" si="2">SUM(E69*220*12*30)/1000</f>
        <v>43.560000000000009</v>
      </c>
      <c r="G69" s="14">
        <v>0.78</v>
      </c>
      <c r="H69" s="67">
        <f t="shared" ref="H69:H81" si="3">F69*0.75</f>
        <v>32.670000000000009</v>
      </c>
    </row>
    <row r="70" spans="1:8" ht="15.75" x14ac:dyDescent="0.25">
      <c r="A70" s="60">
        <v>67</v>
      </c>
      <c r="B70" s="15" t="s">
        <v>198</v>
      </c>
      <c r="C70" s="16" t="s">
        <v>130</v>
      </c>
      <c r="D70" s="17">
        <v>68</v>
      </c>
      <c r="E70" s="3">
        <v>0.58499999999999996</v>
      </c>
      <c r="F70" s="14">
        <f t="shared" si="2"/>
        <v>46.331999999999994</v>
      </c>
      <c r="G70" s="14">
        <v>0.78</v>
      </c>
      <c r="H70" s="67">
        <f t="shared" si="3"/>
        <v>34.748999999999995</v>
      </c>
    </row>
    <row r="71" spans="1:8" ht="15.75" x14ac:dyDescent="0.25">
      <c r="A71" s="60">
        <v>68</v>
      </c>
      <c r="B71" s="15" t="s">
        <v>199</v>
      </c>
      <c r="C71" s="16" t="s">
        <v>130</v>
      </c>
      <c r="D71" s="17">
        <v>69</v>
      </c>
      <c r="E71" s="3">
        <v>0.56499999999999995</v>
      </c>
      <c r="F71" s="14">
        <f t="shared" si="2"/>
        <v>44.747999999999998</v>
      </c>
      <c r="G71" s="14">
        <v>0.78</v>
      </c>
      <c r="H71" s="67">
        <f t="shared" si="3"/>
        <v>33.561</v>
      </c>
    </row>
    <row r="72" spans="1:8" ht="15.75" x14ac:dyDescent="0.25">
      <c r="A72" s="60">
        <v>69</v>
      </c>
      <c r="B72" s="15" t="s">
        <v>200</v>
      </c>
      <c r="C72" s="16" t="s">
        <v>130</v>
      </c>
      <c r="D72" s="17">
        <v>70</v>
      </c>
      <c r="E72" s="3">
        <v>0.29000000000000004</v>
      </c>
      <c r="F72" s="14">
        <f t="shared" si="2"/>
        <v>22.968000000000004</v>
      </c>
      <c r="G72" s="14">
        <v>0.78</v>
      </c>
      <c r="H72" s="67">
        <f t="shared" si="3"/>
        <v>17.226000000000003</v>
      </c>
    </row>
    <row r="73" spans="1:8" ht="15.75" x14ac:dyDescent="0.25">
      <c r="A73" s="60">
        <v>70</v>
      </c>
      <c r="B73" s="15" t="s">
        <v>201</v>
      </c>
      <c r="C73" s="16" t="s">
        <v>130</v>
      </c>
      <c r="D73" s="17">
        <v>71</v>
      </c>
      <c r="E73" s="3">
        <v>0.7</v>
      </c>
      <c r="F73" s="14">
        <f t="shared" si="2"/>
        <v>55.44</v>
      </c>
      <c r="G73" s="14">
        <v>0.78</v>
      </c>
      <c r="H73" s="67">
        <f t="shared" si="3"/>
        <v>41.58</v>
      </c>
    </row>
    <row r="74" spans="1:8" ht="15.75" x14ac:dyDescent="0.25">
      <c r="A74" s="60">
        <v>71</v>
      </c>
      <c r="B74" s="15" t="s">
        <v>202</v>
      </c>
      <c r="C74" s="16" t="s">
        <v>130</v>
      </c>
      <c r="D74" s="17">
        <v>72</v>
      </c>
      <c r="E74" s="3">
        <v>0.83499999999999996</v>
      </c>
      <c r="F74" s="14">
        <f t="shared" si="2"/>
        <v>66.131999999999991</v>
      </c>
      <c r="G74" s="14">
        <v>0.78</v>
      </c>
      <c r="H74" s="67">
        <f t="shared" si="3"/>
        <v>49.59899999999999</v>
      </c>
    </row>
    <row r="75" spans="1:8" ht="15.75" x14ac:dyDescent="0.25">
      <c r="A75" s="60">
        <v>72</v>
      </c>
      <c r="B75" s="18" t="s">
        <v>203</v>
      </c>
      <c r="C75" s="16" t="s">
        <v>130</v>
      </c>
      <c r="D75" s="17">
        <v>73</v>
      </c>
      <c r="E75" s="3">
        <v>1.1000000000000001</v>
      </c>
      <c r="F75" s="14">
        <f t="shared" si="2"/>
        <v>87.120000000000019</v>
      </c>
      <c r="G75" s="14">
        <v>0.78</v>
      </c>
      <c r="H75" s="67">
        <f t="shared" si="3"/>
        <v>65.340000000000018</v>
      </c>
    </row>
    <row r="76" spans="1:8" ht="15.75" x14ac:dyDescent="0.25">
      <c r="A76" s="60">
        <v>73</v>
      </c>
      <c r="B76" s="15" t="s">
        <v>204</v>
      </c>
      <c r="C76" s="16" t="s">
        <v>130</v>
      </c>
      <c r="D76" s="17">
        <v>74</v>
      </c>
      <c r="E76" s="3">
        <v>0.7</v>
      </c>
      <c r="F76" s="14">
        <f t="shared" si="2"/>
        <v>55.44</v>
      </c>
      <c r="G76" s="14">
        <v>0.78</v>
      </c>
      <c r="H76" s="67">
        <f t="shared" si="3"/>
        <v>41.58</v>
      </c>
    </row>
    <row r="77" spans="1:8" ht="15.75" x14ac:dyDescent="0.25">
      <c r="A77" s="60">
        <v>74</v>
      </c>
      <c r="B77" s="19" t="s">
        <v>205</v>
      </c>
      <c r="C77" s="16" t="s">
        <v>130</v>
      </c>
      <c r="D77" s="17">
        <v>75</v>
      </c>
      <c r="E77" s="20">
        <v>3.48</v>
      </c>
      <c r="F77" s="14">
        <f>SUM(E77*220*12*30)/1000</f>
        <v>275.61599999999999</v>
      </c>
      <c r="G77" s="14">
        <v>0.78</v>
      </c>
      <c r="H77" s="67">
        <f t="shared" si="3"/>
        <v>206.71199999999999</v>
      </c>
    </row>
    <row r="78" spans="1:8" ht="15.75" x14ac:dyDescent="0.25">
      <c r="A78" s="60">
        <v>75</v>
      </c>
      <c r="B78" s="15" t="s">
        <v>206</v>
      </c>
      <c r="C78" s="16" t="s">
        <v>130</v>
      </c>
      <c r="D78" s="17">
        <v>76</v>
      </c>
      <c r="E78" s="3">
        <v>0.89</v>
      </c>
      <c r="F78" s="14">
        <f t="shared" si="2"/>
        <v>70.488000000000014</v>
      </c>
      <c r="G78" s="14">
        <v>0.78</v>
      </c>
      <c r="H78" s="67">
        <f t="shared" si="3"/>
        <v>52.866000000000014</v>
      </c>
    </row>
    <row r="79" spans="1:8" ht="15.75" x14ac:dyDescent="0.25">
      <c r="A79" s="60">
        <v>76</v>
      </c>
      <c r="B79" s="19" t="s">
        <v>207</v>
      </c>
      <c r="C79" s="16" t="s">
        <v>130</v>
      </c>
      <c r="D79" s="17">
        <v>78</v>
      </c>
      <c r="E79" s="20">
        <v>2.1100000000000003</v>
      </c>
      <c r="F79" s="14">
        <f t="shared" si="2"/>
        <v>167.11200000000002</v>
      </c>
      <c r="G79" s="14">
        <v>0.78</v>
      </c>
      <c r="H79" s="67">
        <f t="shared" si="3"/>
        <v>125.33400000000002</v>
      </c>
    </row>
    <row r="80" spans="1:8" ht="15.75" x14ac:dyDescent="0.25">
      <c r="A80" s="60">
        <v>77</v>
      </c>
      <c r="B80" s="15" t="s">
        <v>208</v>
      </c>
      <c r="C80" s="5"/>
      <c r="D80" s="3"/>
      <c r="E80" s="3">
        <v>0.55000000000000004</v>
      </c>
      <c r="F80" s="14">
        <f t="shared" si="2"/>
        <v>43.560000000000009</v>
      </c>
      <c r="G80" s="14">
        <v>0.78</v>
      </c>
      <c r="H80" s="67">
        <f t="shared" si="3"/>
        <v>32.670000000000009</v>
      </c>
    </row>
    <row r="81" spans="1:8" ht="15.75" x14ac:dyDescent="0.25">
      <c r="A81" s="60">
        <v>78</v>
      </c>
      <c r="B81" s="15" t="s">
        <v>209</v>
      </c>
      <c r="C81" s="5"/>
      <c r="D81" s="3"/>
      <c r="E81" s="3">
        <v>0.71</v>
      </c>
      <c r="F81" s="14">
        <f t="shared" si="2"/>
        <v>56.231999999999992</v>
      </c>
      <c r="G81" s="14">
        <v>0.78</v>
      </c>
      <c r="H81" s="67">
        <f t="shared" si="3"/>
        <v>42.173999999999992</v>
      </c>
    </row>
    <row r="82" spans="1:8" ht="15.75" x14ac:dyDescent="0.25">
      <c r="A82" s="59"/>
      <c r="B82" s="24" t="s">
        <v>119</v>
      </c>
      <c r="C82" s="3"/>
      <c r="D82" s="3"/>
      <c r="E82" s="3"/>
      <c r="F82" s="25">
        <f>SUM(F4:F81)</f>
        <v>7102.9463999999989</v>
      </c>
      <c r="G82" s="25"/>
      <c r="H82" s="25">
        <f t="shared" ref="H82" si="4">SUM(H4:H81)</f>
        <v>5281.9098000000013</v>
      </c>
    </row>
    <row r="85" spans="1:8" x14ac:dyDescent="0.25">
      <c r="B85" t="s">
        <v>328</v>
      </c>
    </row>
    <row r="86" spans="1:8" x14ac:dyDescent="0.25">
      <c r="B86" s="3" t="s">
        <v>329</v>
      </c>
      <c r="C86" s="25"/>
      <c r="D86" s="3"/>
      <c r="E86" s="47">
        <v>5281.9098000000013</v>
      </c>
    </row>
    <row r="87" spans="1:8" x14ac:dyDescent="0.25">
      <c r="B87" s="3" t="s">
        <v>330</v>
      </c>
      <c r="C87" s="48"/>
      <c r="D87" s="3"/>
      <c r="E87" s="49">
        <v>15573.450000000006</v>
      </c>
    </row>
    <row r="88" spans="1:8" x14ac:dyDescent="0.25">
      <c r="B88" s="3" t="s">
        <v>327</v>
      </c>
      <c r="C88" s="5"/>
      <c r="D88" s="3"/>
      <c r="E88" s="4">
        <v>933.32</v>
      </c>
    </row>
    <row r="89" spans="1:8" x14ac:dyDescent="0.25">
      <c r="B89" s="50" t="s">
        <v>119</v>
      </c>
      <c r="C89" s="51"/>
      <c r="D89" s="50"/>
      <c r="E89" s="52">
        <f>SUM(E86:E88)</f>
        <v>21788.679800000005</v>
      </c>
    </row>
    <row r="90" spans="1:8" x14ac:dyDescent="0.25">
      <c r="B90" t="s">
        <v>331</v>
      </c>
      <c r="C90" s="46"/>
      <c r="E90" s="46">
        <v>23165.7</v>
      </c>
    </row>
    <row r="91" spans="1:8" x14ac:dyDescent="0.25">
      <c r="B91" s="1" t="s">
        <v>332</v>
      </c>
      <c r="C91" s="13"/>
      <c r="D91" s="1"/>
      <c r="E91" s="13">
        <f>SUM(E90-E89)</f>
        <v>1377.0201999999954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0A79B-86B7-4B98-BF41-6F74D1E8207D}">
  <dimension ref="A1:H83"/>
  <sheetViews>
    <sheetView topLeftCell="A46" workbookViewId="0">
      <selection activeCell="I48" sqref="I48"/>
    </sheetView>
  </sheetViews>
  <sheetFormatPr baseColWidth="10" defaultRowHeight="15" x14ac:dyDescent="0.25"/>
  <cols>
    <col min="1" max="1" width="6.85546875" customWidth="1"/>
    <col min="2" max="2" width="35.42578125" customWidth="1"/>
  </cols>
  <sheetData>
    <row r="1" spans="1:8" ht="15.75" thickBot="1" x14ac:dyDescent="0.3">
      <c r="A1" s="96" t="s">
        <v>342</v>
      </c>
      <c r="B1" s="96"/>
      <c r="C1" s="96"/>
      <c r="D1" s="96"/>
      <c r="E1" s="96"/>
      <c r="F1" s="96"/>
      <c r="G1" s="96"/>
      <c r="H1" s="96"/>
    </row>
    <row r="2" spans="1:8" ht="15.75" thickBot="1" x14ac:dyDescent="0.3">
      <c r="A2" s="68" t="s">
        <v>344</v>
      </c>
      <c r="B2" s="69" t="s">
        <v>122</v>
      </c>
      <c r="C2" s="69" t="s">
        <v>123</v>
      </c>
      <c r="D2" s="69" t="s">
        <v>124</v>
      </c>
      <c r="E2" s="69" t="s">
        <v>125</v>
      </c>
      <c r="F2" s="70" t="s">
        <v>126</v>
      </c>
      <c r="G2" s="70" t="s">
        <v>127</v>
      </c>
      <c r="H2" s="71" t="s">
        <v>128</v>
      </c>
    </row>
    <row r="3" spans="1:8" ht="15.75" x14ac:dyDescent="0.25">
      <c r="A3" s="61">
        <v>1</v>
      </c>
      <c r="B3" s="62" t="s">
        <v>129</v>
      </c>
      <c r="C3" s="63" t="s">
        <v>130</v>
      </c>
      <c r="D3" s="64">
        <v>1</v>
      </c>
      <c r="E3" s="65">
        <v>2.4</v>
      </c>
      <c r="F3" s="66">
        <f>SUM(E3*220*12*30)/1000</f>
        <v>190.08</v>
      </c>
      <c r="G3" s="66">
        <v>0.75</v>
      </c>
      <c r="H3" s="67">
        <f>F3*0.75</f>
        <v>142.56</v>
      </c>
    </row>
    <row r="4" spans="1:8" ht="15.75" x14ac:dyDescent="0.25">
      <c r="A4" s="60">
        <v>2</v>
      </c>
      <c r="B4" s="18" t="s">
        <v>131</v>
      </c>
      <c r="C4" s="16" t="s">
        <v>130</v>
      </c>
      <c r="D4" s="17">
        <v>2</v>
      </c>
      <c r="E4" s="3">
        <v>1.3</v>
      </c>
      <c r="F4" s="14">
        <f t="shared" ref="F4:F67" si="0">SUM(E4*220*12*30)/1000</f>
        <v>102.96</v>
      </c>
      <c r="G4" s="66">
        <v>0.75</v>
      </c>
      <c r="H4" s="67">
        <f t="shared" ref="H4:H67" si="1">F4*0.75</f>
        <v>77.22</v>
      </c>
    </row>
    <row r="5" spans="1:8" ht="15.75" x14ac:dyDescent="0.25">
      <c r="A5" s="60">
        <v>3</v>
      </c>
      <c r="B5" s="15" t="s">
        <v>132</v>
      </c>
      <c r="C5" s="16" t="s">
        <v>130</v>
      </c>
      <c r="D5" s="17">
        <v>3</v>
      </c>
      <c r="E5" s="3">
        <v>1.0900000000000001</v>
      </c>
      <c r="F5" s="14">
        <f t="shared" si="0"/>
        <v>86.328000000000017</v>
      </c>
      <c r="G5" s="66">
        <v>0.75</v>
      </c>
      <c r="H5" s="67">
        <f t="shared" si="1"/>
        <v>64.746000000000009</v>
      </c>
    </row>
    <row r="6" spans="1:8" ht="15.75" x14ac:dyDescent="0.25">
      <c r="A6" s="60">
        <v>4</v>
      </c>
      <c r="B6" s="15" t="s">
        <v>133</v>
      </c>
      <c r="C6" s="16" t="s">
        <v>130</v>
      </c>
      <c r="D6" s="17">
        <v>4</v>
      </c>
      <c r="E6" s="3">
        <v>1.4</v>
      </c>
      <c r="F6" s="14">
        <f>SUM(E6*220*16*30)/1000</f>
        <v>147.84</v>
      </c>
      <c r="G6" s="66">
        <v>0.75</v>
      </c>
      <c r="H6" s="67">
        <f t="shared" si="1"/>
        <v>110.88</v>
      </c>
    </row>
    <row r="7" spans="1:8" ht="15.75" x14ac:dyDescent="0.25">
      <c r="A7" s="60">
        <v>5</v>
      </c>
      <c r="B7" s="15" t="s">
        <v>134</v>
      </c>
      <c r="C7" s="16" t="s">
        <v>130</v>
      </c>
      <c r="D7" s="17">
        <v>5</v>
      </c>
      <c r="E7" s="3">
        <v>2.5</v>
      </c>
      <c r="F7" s="14">
        <f t="shared" si="0"/>
        <v>198</v>
      </c>
      <c r="G7" s="66">
        <v>0.75</v>
      </c>
      <c r="H7" s="67">
        <f t="shared" si="1"/>
        <v>148.5</v>
      </c>
    </row>
    <row r="8" spans="1:8" ht="15.75" x14ac:dyDescent="0.25">
      <c r="A8" s="60">
        <v>6</v>
      </c>
      <c r="B8" s="15" t="s">
        <v>135</v>
      </c>
      <c r="C8" s="16" t="s">
        <v>130</v>
      </c>
      <c r="D8" s="17">
        <v>6</v>
      </c>
      <c r="E8" s="3">
        <v>1.2</v>
      </c>
      <c r="F8" s="14">
        <f t="shared" si="0"/>
        <v>95.04</v>
      </c>
      <c r="G8" s="66">
        <v>0.75</v>
      </c>
      <c r="H8" s="67">
        <f t="shared" si="1"/>
        <v>71.28</v>
      </c>
    </row>
    <row r="9" spans="1:8" ht="15.75" x14ac:dyDescent="0.25">
      <c r="A9" s="60">
        <v>7</v>
      </c>
      <c r="B9" s="15" t="s">
        <v>136</v>
      </c>
      <c r="C9" s="16" t="s">
        <v>130</v>
      </c>
      <c r="D9" s="17">
        <v>8</v>
      </c>
      <c r="E9" s="3">
        <v>1.6</v>
      </c>
      <c r="F9" s="14">
        <f t="shared" si="0"/>
        <v>126.72</v>
      </c>
      <c r="G9" s="66">
        <v>0.75</v>
      </c>
      <c r="H9" s="67">
        <f t="shared" si="1"/>
        <v>95.039999999999992</v>
      </c>
    </row>
    <row r="10" spans="1:8" ht="15.75" x14ac:dyDescent="0.25">
      <c r="A10" s="60">
        <v>8</v>
      </c>
      <c r="B10" s="15" t="s">
        <v>137</v>
      </c>
      <c r="C10" s="16" t="s">
        <v>130</v>
      </c>
      <c r="D10" s="17">
        <v>9</v>
      </c>
      <c r="E10" s="3">
        <v>1.7000000000000002</v>
      </c>
      <c r="F10" s="14">
        <f t="shared" si="0"/>
        <v>134.64000000000004</v>
      </c>
      <c r="G10" s="66">
        <v>0.75</v>
      </c>
      <c r="H10" s="67">
        <f t="shared" si="1"/>
        <v>100.98000000000003</v>
      </c>
    </row>
    <row r="11" spans="1:8" ht="15.75" x14ac:dyDescent="0.25">
      <c r="A11" s="60">
        <v>9</v>
      </c>
      <c r="B11" s="15" t="s">
        <v>138</v>
      </c>
      <c r="C11" s="16" t="s">
        <v>130</v>
      </c>
      <c r="D11" s="17">
        <v>10</v>
      </c>
      <c r="E11" s="3">
        <v>0.375</v>
      </c>
      <c r="F11" s="14">
        <f t="shared" si="0"/>
        <v>29.7</v>
      </c>
      <c r="G11" s="66">
        <v>0.75</v>
      </c>
      <c r="H11" s="67">
        <f t="shared" si="1"/>
        <v>22.274999999999999</v>
      </c>
    </row>
    <row r="12" spans="1:8" ht="15.75" x14ac:dyDescent="0.25">
      <c r="A12" s="60">
        <v>10</v>
      </c>
      <c r="B12" s="19" t="s">
        <v>139</v>
      </c>
      <c r="C12" s="16" t="s">
        <v>140</v>
      </c>
      <c r="D12" s="17">
        <v>11</v>
      </c>
      <c r="E12" s="3">
        <v>2.145</v>
      </c>
      <c r="F12" s="14">
        <f t="shared" si="0"/>
        <v>169.88399999999996</v>
      </c>
      <c r="G12" s="66">
        <v>0.75</v>
      </c>
      <c r="H12" s="67">
        <f t="shared" si="1"/>
        <v>127.41299999999997</v>
      </c>
    </row>
    <row r="13" spans="1:8" ht="15.75" x14ac:dyDescent="0.25">
      <c r="A13" s="60">
        <v>11</v>
      </c>
      <c r="B13" s="15" t="s">
        <v>141</v>
      </c>
      <c r="C13" s="16" t="s">
        <v>130</v>
      </c>
      <c r="D13" s="17">
        <v>12</v>
      </c>
      <c r="E13" s="3">
        <v>0.375</v>
      </c>
      <c r="F13" s="14">
        <f t="shared" si="0"/>
        <v>29.7</v>
      </c>
      <c r="G13" s="66">
        <v>0.75</v>
      </c>
      <c r="H13" s="67">
        <f t="shared" si="1"/>
        <v>22.274999999999999</v>
      </c>
    </row>
    <row r="14" spans="1:8" ht="15.75" x14ac:dyDescent="0.25">
      <c r="A14" s="60">
        <v>12</v>
      </c>
      <c r="B14" s="15" t="s">
        <v>142</v>
      </c>
      <c r="C14" s="16" t="s">
        <v>130</v>
      </c>
      <c r="D14" s="17">
        <v>13</v>
      </c>
      <c r="E14" s="3"/>
      <c r="F14" s="14">
        <f t="shared" si="0"/>
        <v>0</v>
      </c>
      <c r="G14" s="66">
        <v>0.75</v>
      </c>
      <c r="H14" s="67">
        <v>8</v>
      </c>
    </row>
    <row r="15" spans="1:8" ht="15.75" x14ac:dyDescent="0.25">
      <c r="A15" s="60">
        <v>13</v>
      </c>
      <c r="B15" s="15" t="s">
        <v>143</v>
      </c>
      <c r="C15" s="16" t="s">
        <v>130</v>
      </c>
      <c r="D15" s="17">
        <v>14</v>
      </c>
      <c r="E15" s="3">
        <v>0.6</v>
      </c>
      <c r="F15" s="14">
        <f t="shared" si="0"/>
        <v>47.52</v>
      </c>
      <c r="G15" s="66">
        <v>0.75</v>
      </c>
      <c r="H15" s="67">
        <f t="shared" si="1"/>
        <v>35.64</v>
      </c>
    </row>
    <row r="16" spans="1:8" ht="15.75" x14ac:dyDescent="0.25">
      <c r="A16" s="60">
        <v>14</v>
      </c>
      <c r="B16" s="15" t="s">
        <v>144</v>
      </c>
      <c r="C16" s="16" t="s">
        <v>130</v>
      </c>
      <c r="D16" s="17">
        <v>15</v>
      </c>
      <c r="E16" s="3">
        <v>0.63</v>
      </c>
      <c r="F16" s="14">
        <f t="shared" si="0"/>
        <v>49.895999999999994</v>
      </c>
      <c r="G16" s="66">
        <v>0.75</v>
      </c>
      <c r="H16" s="67">
        <f t="shared" si="1"/>
        <v>37.421999999999997</v>
      </c>
    </row>
    <row r="17" spans="1:8" ht="15.75" x14ac:dyDescent="0.25">
      <c r="A17" s="60">
        <v>15</v>
      </c>
      <c r="B17" s="15" t="s">
        <v>145</v>
      </c>
      <c r="C17" s="16" t="s">
        <v>130</v>
      </c>
      <c r="D17" s="17">
        <v>16</v>
      </c>
      <c r="E17" s="3">
        <v>0.73</v>
      </c>
      <c r="F17" s="14">
        <f t="shared" si="0"/>
        <v>57.815999999999995</v>
      </c>
      <c r="G17" s="66">
        <v>0.75</v>
      </c>
      <c r="H17" s="67">
        <f t="shared" si="1"/>
        <v>43.361999999999995</v>
      </c>
    </row>
    <row r="18" spans="1:8" ht="15.75" x14ac:dyDescent="0.25">
      <c r="A18" s="60">
        <v>16</v>
      </c>
      <c r="B18" s="15" t="s">
        <v>146</v>
      </c>
      <c r="C18" s="16" t="s">
        <v>130</v>
      </c>
      <c r="D18" s="17">
        <v>17</v>
      </c>
      <c r="E18" s="3">
        <v>1.9</v>
      </c>
      <c r="F18" s="14">
        <f t="shared" si="0"/>
        <v>150.47999999999999</v>
      </c>
      <c r="G18" s="66">
        <v>0.75</v>
      </c>
      <c r="H18" s="67">
        <f t="shared" si="1"/>
        <v>112.85999999999999</v>
      </c>
    </row>
    <row r="19" spans="1:8" ht="15.75" x14ac:dyDescent="0.25">
      <c r="A19" s="60">
        <v>17</v>
      </c>
      <c r="B19" s="19" t="s">
        <v>147</v>
      </c>
      <c r="C19" s="16" t="s">
        <v>130</v>
      </c>
      <c r="D19" s="17">
        <v>18</v>
      </c>
      <c r="E19" s="20">
        <v>0.8</v>
      </c>
      <c r="F19" s="14">
        <f t="shared" si="0"/>
        <v>63.36</v>
      </c>
      <c r="G19" s="66">
        <v>0.75</v>
      </c>
      <c r="H19" s="67">
        <f t="shared" si="1"/>
        <v>47.519999999999996</v>
      </c>
    </row>
    <row r="20" spans="1:8" ht="15.75" x14ac:dyDescent="0.25">
      <c r="A20" s="60">
        <v>18</v>
      </c>
      <c r="B20" s="15" t="s">
        <v>148</v>
      </c>
      <c r="C20" s="16" t="s">
        <v>130</v>
      </c>
      <c r="D20" s="17">
        <v>19</v>
      </c>
      <c r="E20" s="3">
        <v>1.2</v>
      </c>
      <c r="F20" s="14">
        <f t="shared" si="0"/>
        <v>95.04</v>
      </c>
      <c r="G20" s="66">
        <v>0.75</v>
      </c>
      <c r="H20" s="67">
        <f t="shared" si="1"/>
        <v>71.28</v>
      </c>
    </row>
    <row r="21" spans="1:8" ht="15.75" x14ac:dyDescent="0.25">
      <c r="A21" s="60">
        <v>19</v>
      </c>
      <c r="B21" s="15" t="s">
        <v>149</v>
      </c>
      <c r="C21" s="16" t="s">
        <v>130</v>
      </c>
      <c r="D21" s="17">
        <v>20</v>
      </c>
      <c r="E21" s="3">
        <v>3.8</v>
      </c>
      <c r="F21" s="14">
        <f>SUM(E21*220*16*30)/1000</f>
        <v>401.28</v>
      </c>
      <c r="G21" s="66">
        <v>0.75</v>
      </c>
      <c r="H21" s="67">
        <f t="shared" si="1"/>
        <v>300.95999999999998</v>
      </c>
    </row>
    <row r="22" spans="1:8" ht="15.75" x14ac:dyDescent="0.25">
      <c r="A22" s="60">
        <v>20</v>
      </c>
      <c r="B22" s="15" t="s">
        <v>150</v>
      </c>
      <c r="C22" s="16" t="s">
        <v>130</v>
      </c>
      <c r="D22" s="17">
        <v>21</v>
      </c>
      <c r="E22" s="3">
        <v>2.65</v>
      </c>
      <c r="F22" s="14">
        <f t="shared" si="0"/>
        <v>209.88</v>
      </c>
      <c r="G22" s="66">
        <v>0.75</v>
      </c>
      <c r="H22" s="67">
        <f t="shared" si="1"/>
        <v>157.41</v>
      </c>
    </row>
    <row r="23" spans="1:8" ht="15.75" x14ac:dyDescent="0.25">
      <c r="A23" s="60">
        <v>21</v>
      </c>
      <c r="B23" s="15" t="s">
        <v>151</v>
      </c>
      <c r="C23" s="16" t="s">
        <v>130</v>
      </c>
      <c r="D23" s="17">
        <v>22</v>
      </c>
      <c r="E23" s="3">
        <v>2.6</v>
      </c>
      <c r="F23" s="14">
        <f t="shared" si="0"/>
        <v>205.92</v>
      </c>
      <c r="G23" s="66">
        <v>0.75</v>
      </c>
      <c r="H23" s="67">
        <f t="shared" si="1"/>
        <v>154.44</v>
      </c>
    </row>
    <row r="24" spans="1:8" ht="15.75" x14ac:dyDescent="0.25">
      <c r="A24" s="60">
        <v>22</v>
      </c>
      <c r="B24" s="19" t="s">
        <v>152</v>
      </c>
      <c r="C24" s="16" t="s">
        <v>130</v>
      </c>
      <c r="D24" s="17">
        <v>23</v>
      </c>
      <c r="E24" s="20">
        <v>1.07</v>
      </c>
      <c r="F24" s="14">
        <f>SUM(E24*220*14*30)/1000</f>
        <v>98.867999999999995</v>
      </c>
      <c r="G24" s="66">
        <v>0.75</v>
      </c>
      <c r="H24" s="67">
        <f t="shared" si="1"/>
        <v>74.150999999999996</v>
      </c>
    </row>
    <row r="25" spans="1:8" ht="15.75" x14ac:dyDescent="0.25">
      <c r="A25" s="60">
        <v>23</v>
      </c>
      <c r="B25" s="15" t="s">
        <v>153</v>
      </c>
      <c r="C25" s="16" t="s">
        <v>130</v>
      </c>
      <c r="D25" s="17">
        <v>24</v>
      </c>
      <c r="E25" s="3">
        <v>1.58</v>
      </c>
      <c r="F25" s="14">
        <f t="shared" si="0"/>
        <v>125.13600000000002</v>
      </c>
      <c r="G25" s="66">
        <v>0.75</v>
      </c>
      <c r="H25" s="67">
        <f t="shared" si="1"/>
        <v>93.852000000000018</v>
      </c>
    </row>
    <row r="26" spans="1:8" ht="15.75" x14ac:dyDescent="0.25">
      <c r="A26" s="60">
        <v>24</v>
      </c>
      <c r="B26" s="15" t="s">
        <v>154</v>
      </c>
      <c r="C26" s="16" t="s">
        <v>130</v>
      </c>
      <c r="D26" s="17">
        <v>25</v>
      </c>
      <c r="E26" s="3"/>
      <c r="F26" s="14">
        <f t="shared" si="0"/>
        <v>0</v>
      </c>
      <c r="G26" s="66">
        <v>0.75</v>
      </c>
      <c r="H26" s="67">
        <v>8</v>
      </c>
    </row>
    <row r="27" spans="1:8" ht="15.75" x14ac:dyDescent="0.25">
      <c r="A27" s="60">
        <v>25</v>
      </c>
      <c r="B27" s="19" t="s">
        <v>155</v>
      </c>
      <c r="C27" s="16" t="s">
        <v>130</v>
      </c>
      <c r="D27" s="17">
        <v>26</v>
      </c>
      <c r="E27" s="20">
        <v>0.82499999999999996</v>
      </c>
      <c r="F27" s="14">
        <f>SUM(E27*220*16*30)/1000</f>
        <v>87.12</v>
      </c>
      <c r="G27" s="66">
        <v>0.75</v>
      </c>
      <c r="H27" s="67">
        <f t="shared" si="1"/>
        <v>65.34</v>
      </c>
    </row>
    <row r="28" spans="1:8" ht="15.75" x14ac:dyDescent="0.25">
      <c r="A28" s="60">
        <v>26</v>
      </c>
      <c r="B28" s="15" t="s">
        <v>156</v>
      </c>
      <c r="C28" s="16" t="s">
        <v>130</v>
      </c>
      <c r="D28" s="17">
        <v>27</v>
      </c>
      <c r="E28" s="3">
        <v>1.7000000000000002</v>
      </c>
      <c r="F28" s="14">
        <f t="shared" si="0"/>
        <v>134.64000000000004</v>
      </c>
      <c r="G28" s="66">
        <v>0.75</v>
      </c>
      <c r="H28" s="67">
        <f t="shared" si="1"/>
        <v>100.98000000000003</v>
      </c>
    </row>
    <row r="29" spans="1:8" ht="15.75" x14ac:dyDescent="0.25">
      <c r="A29" s="60">
        <v>27</v>
      </c>
      <c r="B29" s="15" t="s">
        <v>157</v>
      </c>
      <c r="C29" s="16" t="s">
        <v>130</v>
      </c>
      <c r="D29" s="17">
        <v>28</v>
      </c>
      <c r="E29" s="3">
        <v>1.2</v>
      </c>
      <c r="F29" s="14">
        <f t="shared" si="0"/>
        <v>95.04</v>
      </c>
      <c r="G29" s="66">
        <v>0.75</v>
      </c>
      <c r="H29" s="67">
        <f t="shared" si="1"/>
        <v>71.28</v>
      </c>
    </row>
    <row r="30" spans="1:8" ht="15.75" x14ac:dyDescent="0.25">
      <c r="A30" s="60">
        <v>28</v>
      </c>
      <c r="B30" s="15" t="s">
        <v>158</v>
      </c>
      <c r="C30" s="16" t="s">
        <v>130</v>
      </c>
      <c r="D30" s="17">
        <v>29</v>
      </c>
      <c r="E30" s="3">
        <v>0.42500000000000004</v>
      </c>
      <c r="F30" s="14">
        <f t="shared" si="0"/>
        <v>33.660000000000011</v>
      </c>
      <c r="G30" s="66">
        <v>0.75</v>
      </c>
      <c r="H30" s="67">
        <f t="shared" si="1"/>
        <v>25.245000000000008</v>
      </c>
    </row>
    <row r="31" spans="1:8" ht="15.75" x14ac:dyDescent="0.25">
      <c r="A31" s="60">
        <v>29</v>
      </c>
      <c r="B31" s="15" t="s">
        <v>159</v>
      </c>
      <c r="C31" s="16" t="s">
        <v>130</v>
      </c>
      <c r="D31" s="17">
        <v>30</v>
      </c>
      <c r="E31" s="3">
        <v>0.7</v>
      </c>
      <c r="F31" s="14">
        <f t="shared" si="0"/>
        <v>55.44</v>
      </c>
      <c r="G31" s="66">
        <v>0.75</v>
      </c>
      <c r="H31" s="67">
        <f t="shared" si="1"/>
        <v>41.58</v>
      </c>
    </row>
    <row r="32" spans="1:8" ht="15.75" x14ac:dyDescent="0.25">
      <c r="A32" s="60">
        <v>30</v>
      </c>
      <c r="B32" s="15" t="s">
        <v>160</v>
      </c>
      <c r="C32" s="16" t="s">
        <v>130</v>
      </c>
      <c r="D32" s="17">
        <v>31</v>
      </c>
      <c r="E32" s="3">
        <v>1.3</v>
      </c>
      <c r="F32" s="14">
        <f t="shared" si="0"/>
        <v>102.96</v>
      </c>
      <c r="G32" s="66">
        <v>0.75</v>
      </c>
      <c r="H32" s="67">
        <f t="shared" si="1"/>
        <v>77.22</v>
      </c>
    </row>
    <row r="33" spans="1:8" ht="15.75" x14ac:dyDescent="0.25">
      <c r="A33" s="60">
        <v>31</v>
      </c>
      <c r="B33" s="19" t="s">
        <v>161</v>
      </c>
      <c r="C33" s="16" t="s">
        <v>162</v>
      </c>
      <c r="D33" s="17">
        <v>32</v>
      </c>
      <c r="E33" s="3">
        <v>1.645</v>
      </c>
      <c r="F33" s="14">
        <f t="shared" si="0"/>
        <v>130.28399999999996</v>
      </c>
      <c r="G33" s="66">
        <v>0.75</v>
      </c>
      <c r="H33" s="67">
        <f t="shared" si="1"/>
        <v>97.712999999999965</v>
      </c>
    </row>
    <row r="34" spans="1:8" ht="15.75" x14ac:dyDescent="0.25">
      <c r="A34" s="60">
        <v>32</v>
      </c>
      <c r="B34" s="15" t="s">
        <v>163</v>
      </c>
      <c r="C34" s="16" t="s">
        <v>130</v>
      </c>
      <c r="D34" s="17">
        <v>33</v>
      </c>
      <c r="E34" s="3">
        <v>1</v>
      </c>
      <c r="F34" s="14">
        <f>SUM(E34*220*14*30)/1000</f>
        <v>92.4</v>
      </c>
      <c r="G34" s="66">
        <v>0.75</v>
      </c>
      <c r="H34" s="67">
        <v>8</v>
      </c>
    </row>
    <row r="35" spans="1:8" ht="15.75" x14ac:dyDescent="0.25">
      <c r="A35" s="60">
        <v>33</v>
      </c>
      <c r="B35" s="15" t="s">
        <v>164</v>
      </c>
      <c r="C35" s="16" t="s">
        <v>130</v>
      </c>
      <c r="D35" s="17">
        <v>34</v>
      </c>
      <c r="E35" s="3">
        <v>0.53</v>
      </c>
      <c r="F35" s="14">
        <f t="shared" si="0"/>
        <v>41.975999999999999</v>
      </c>
      <c r="G35" s="66">
        <v>0.75</v>
      </c>
      <c r="H35" s="67">
        <f t="shared" si="1"/>
        <v>31.481999999999999</v>
      </c>
    </row>
    <row r="36" spans="1:8" ht="15.75" x14ac:dyDescent="0.25">
      <c r="A36" s="60">
        <v>34</v>
      </c>
      <c r="B36" s="15" t="s">
        <v>165</v>
      </c>
      <c r="C36" s="16" t="s">
        <v>130</v>
      </c>
      <c r="D36" s="17">
        <v>35</v>
      </c>
      <c r="E36" s="3">
        <v>1.8250000000000002</v>
      </c>
      <c r="F36" s="14">
        <f t="shared" si="0"/>
        <v>144.54000000000002</v>
      </c>
      <c r="G36" s="66">
        <v>0.75</v>
      </c>
      <c r="H36" s="67">
        <f t="shared" si="1"/>
        <v>108.40500000000002</v>
      </c>
    </row>
    <row r="37" spans="1:8" ht="15.75" x14ac:dyDescent="0.25">
      <c r="A37" s="60">
        <v>35</v>
      </c>
      <c r="B37" s="15" t="s">
        <v>166</v>
      </c>
      <c r="C37" s="16" t="s">
        <v>130</v>
      </c>
      <c r="D37" s="17">
        <v>36</v>
      </c>
      <c r="E37" s="3">
        <v>1</v>
      </c>
      <c r="F37" s="14">
        <f t="shared" si="0"/>
        <v>79.2</v>
      </c>
      <c r="G37" s="66">
        <v>0.75</v>
      </c>
      <c r="H37" s="67">
        <f t="shared" si="1"/>
        <v>59.400000000000006</v>
      </c>
    </row>
    <row r="38" spans="1:8" ht="15.75" x14ac:dyDescent="0.25">
      <c r="A38" s="60">
        <v>36</v>
      </c>
      <c r="B38" s="19" t="s">
        <v>167</v>
      </c>
      <c r="C38" s="16" t="s">
        <v>130</v>
      </c>
      <c r="D38" s="17">
        <v>37</v>
      </c>
      <c r="E38" s="3">
        <v>0.5</v>
      </c>
      <c r="F38" s="14">
        <f t="shared" si="0"/>
        <v>39.6</v>
      </c>
      <c r="G38" s="66">
        <v>0.75</v>
      </c>
      <c r="H38" s="67">
        <f t="shared" si="1"/>
        <v>29.700000000000003</v>
      </c>
    </row>
    <row r="39" spans="1:8" ht="15.75" x14ac:dyDescent="0.25">
      <c r="A39" s="60">
        <v>37</v>
      </c>
      <c r="B39" s="15" t="s">
        <v>168</v>
      </c>
      <c r="C39" s="16" t="s">
        <v>130</v>
      </c>
      <c r="D39" s="17">
        <v>38</v>
      </c>
      <c r="E39" s="3">
        <v>1</v>
      </c>
      <c r="F39" s="14">
        <f t="shared" si="0"/>
        <v>79.2</v>
      </c>
      <c r="G39" s="66">
        <v>0.75</v>
      </c>
      <c r="H39" s="67">
        <f t="shared" si="1"/>
        <v>59.400000000000006</v>
      </c>
    </row>
    <row r="40" spans="1:8" ht="15.75" x14ac:dyDescent="0.25">
      <c r="A40" s="60">
        <v>38</v>
      </c>
      <c r="B40" s="15" t="s">
        <v>169</v>
      </c>
      <c r="C40" s="16" t="s">
        <v>130</v>
      </c>
      <c r="D40" s="17">
        <v>39</v>
      </c>
      <c r="E40" s="3">
        <v>1.45</v>
      </c>
      <c r="F40" s="14">
        <f t="shared" si="0"/>
        <v>114.84</v>
      </c>
      <c r="G40" s="66">
        <v>0.75</v>
      </c>
      <c r="H40" s="67">
        <f t="shared" si="1"/>
        <v>86.13</v>
      </c>
    </row>
    <row r="41" spans="1:8" ht="15.75" x14ac:dyDescent="0.25">
      <c r="A41" s="60">
        <v>39</v>
      </c>
      <c r="B41" s="15" t="s">
        <v>170</v>
      </c>
      <c r="C41" s="16" t="s">
        <v>130</v>
      </c>
      <c r="D41" s="17">
        <v>40</v>
      </c>
      <c r="E41" s="3">
        <v>0.7</v>
      </c>
      <c r="F41" s="14">
        <f t="shared" si="0"/>
        <v>55.44</v>
      </c>
      <c r="G41" s="66">
        <v>0.75</v>
      </c>
      <c r="H41" s="67">
        <f t="shared" si="1"/>
        <v>41.58</v>
      </c>
    </row>
    <row r="42" spans="1:8" ht="15.75" x14ac:dyDescent="0.25">
      <c r="A42" s="60">
        <v>40</v>
      </c>
      <c r="B42" s="15" t="s">
        <v>171</v>
      </c>
      <c r="C42" s="16" t="s">
        <v>130</v>
      </c>
      <c r="D42" s="17">
        <v>41</v>
      </c>
      <c r="E42" s="3">
        <v>1.2349999999999999</v>
      </c>
      <c r="F42" s="14">
        <f t="shared" si="0"/>
        <v>97.811999999999983</v>
      </c>
      <c r="G42" s="66">
        <v>0.75</v>
      </c>
      <c r="H42" s="67">
        <f t="shared" si="1"/>
        <v>73.35899999999998</v>
      </c>
    </row>
    <row r="43" spans="1:8" ht="15.75" x14ac:dyDescent="0.25">
      <c r="A43" s="60">
        <v>41</v>
      </c>
      <c r="B43" s="15" t="s">
        <v>172</v>
      </c>
      <c r="C43" s="16" t="s">
        <v>130</v>
      </c>
      <c r="D43" s="17">
        <v>42</v>
      </c>
      <c r="E43" s="3">
        <v>1.4</v>
      </c>
      <c r="F43" s="14">
        <f t="shared" si="0"/>
        <v>110.88</v>
      </c>
      <c r="G43" s="66">
        <v>0.75</v>
      </c>
      <c r="H43" s="67">
        <f t="shared" si="1"/>
        <v>83.16</v>
      </c>
    </row>
    <row r="44" spans="1:8" ht="15.75" x14ac:dyDescent="0.25">
      <c r="A44" s="60">
        <v>42</v>
      </c>
      <c r="B44" s="15" t="s">
        <v>173</v>
      </c>
      <c r="C44" s="16" t="s">
        <v>130</v>
      </c>
      <c r="D44" s="17">
        <v>43</v>
      </c>
      <c r="E44" s="3">
        <v>0.9</v>
      </c>
      <c r="F44" s="14">
        <f t="shared" si="0"/>
        <v>71.28</v>
      </c>
      <c r="G44" s="66">
        <v>0.75</v>
      </c>
      <c r="H44" s="67">
        <f t="shared" si="1"/>
        <v>53.46</v>
      </c>
    </row>
    <row r="45" spans="1:8" ht="15.75" x14ac:dyDescent="0.25">
      <c r="A45" s="60">
        <v>43</v>
      </c>
      <c r="B45" s="18" t="s">
        <v>174</v>
      </c>
      <c r="C45" s="16" t="s">
        <v>130</v>
      </c>
      <c r="D45" s="21">
        <v>44</v>
      </c>
      <c r="E45" s="9">
        <v>1.77</v>
      </c>
      <c r="F45" s="22">
        <f t="shared" si="0"/>
        <v>140.18399999999997</v>
      </c>
      <c r="G45" s="66">
        <v>0.75</v>
      </c>
      <c r="H45" s="67">
        <f t="shared" si="1"/>
        <v>105.13799999999998</v>
      </c>
    </row>
    <row r="46" spans="1:8" ht="15.75" x14ac:dyDescent="0.25">
      <c r="A46" s="60">
        <v>44</v>
      </c>
      <c r="B46" s="19" t="s">
        <v>333</v>
      </c>
      <c r="C46" s="16" t="s">
        <v>162</v>
      </c>
      <c r="D46" s="17">
        <v>45</v>
      </c>
      <c r="E46" s="3">
        <v>0.55000000000000004</v>
      </c>
      <c r="F46" s="22">
        <f t="shared" si="0"/>
        <v>43.560000000000009</v>
      </c>
      <c r="G46" s="66">
        <v>0.75</v>
      </c>
      <c r="H46" s="67">
        <f t="shared" si="1"/>
        <v>32.670000000000009</v>
      </c>
    </row>
    <row r="47" spans="1:8" ht="15.75" x14ac:dyDescent="0.25">
      <c r="A47" s="60">
        <v>45</v>
      </c>
      <c r="B47" s="19" t="s">
        <v>346</v>
      </c>
      <c r="C47" s="16" t="s">
        <v>162</v>
      </c>
      <c r="D47" s="17">
        <v>46</v>
      </c>
      <c r="E47" s="3">
        <v>0.27500000000000002</v>
      </c>
      <c r="F47" s="14">
        <f t="shared" si="0"/>
        <v>21.780000000000005</v>
      </c>
      <c r="G47" s="66">
        <v>0.75</v>
      </c>
      <c r="H47" s="67">
        <f t="shared" si="1"/>
        <v>16.335000000000004</v>
      </c>
    </row>
    <row r="48" spans="1:8" ht="15.75" x14ac:dyDescent="0.25">
      <c r="A48" s="60">
        <v>46</v>
      </c>
      <c r="B48" s="15" t="s">
        <v>177</v>
      </c>
      <c r="C48" s="16" t="s">
        <v>130</v>
      </c>
      <c r="D48" s="17">
        <v>47</v>
      </c>
      <c r="E48" s="3">
        <v>2.0499999999999998</v>
      </c>
      <c r="F48" s="14">
        <f t="shared" si="0"/>
        <v>162.35999999999996</v>
      </c>
      <c r="G48" s="66">
        <v>0.75</v>
      </c>
      <c r="H48" s="67">
        <f t="shared" si="1"/>
        <v>121.76999999999997</v>
      </c>
    </row>
    <row r="49" spans="1:8" ht="15.75" x14ac:dyDescent="0.25">
      <c r="A49" s="60">
        <v>47</v>
      </c>
      <c r="B49" s="15" t="s">
        <v>178</v>
      </c>
      <c r="C49" s="16" t="s">
        <v>130</v>
      </c>
      <c r="D49" s="17">
        <v>48</v>
      </c>
      <c r="E49" s="3">
        <v>0.47499999999999998</v>
      </c>
      <c r="F49" s="14">
        <f t="shared" si="0"/>
        <v>37.619999999999997</v>
      </c>
      <c r="G49" s="66">
        <v>0.75</v>
      </c>
      <c r="H49" s="67">
        <f t="shared" si="1"/>
        <v>28.214999999999996</v>
      </c>
    </row>
    <row r="50" spans="1:8" ht="15.75" x14ac:dyDescent="0.25">
      <c r="A50" s="60">
        <v>48</v>
      </c>
      <c r="B50" s="15" t="s">
        <v>179</v>
      </c>
      <c r="C50" s="16" t="s">
        <v>130</v>
      </c>
      <c r="D50" s="17">
        <v>49</v>
      </c>
      <c r="E50" s="3">
        <v>0.22</v>
      </c>
      <c r="F50" s="14">
        <f t="shared" si="0"/>
        <v>17.423999999999999</v>
      </c>
      <c r="G50" s="66">
        <v>0.75</v>
      </c>
      <c r="H50" s="67">
        <f t="shared" si="1"/>
        <v>13.068</v>
      </c>
    </row>
    <row r="51" spans="1:8" ht="15.75" x14ac:dyDescent="0.25">
      <c r="A51" s="60">
        <v>49</v>
      </c>
      <c r="B51" s="15" t="s">
        <v>180</v>
      </c>
      <c r="C51" s="16" t="s">
        <v>130</v>
      </c>
      <c r="D51" s="17">
        <v>50</v>
      </c>
      <c r="E51" s="3">
        <v>1.2250000000000001</v>
      </c>
      <c r="F51" s="14">
        <f t="shared" si="0"/>
        <v>97.02</v>
      </c>
      <c r="G51" s="66">
        <v>0.75</v>
      </c>
      <c r="H51" s="67">
        <f t="shared" si="1"/>
        <v>72.765000000000001</v>
      </c>
    </row>
    <row r="52" spans="1:8" ht="15.75" x14ac:dyDescent="0.25">
      <c r="A52" s="60">
        <v>50</v>
      </c>
      <c r="B52" s="15" t="s">
        <v>181</v>
      </c>
      <c r="C52" s="16" t="s">
        <v>130</v>
      </c>
      <c r="D52" s="17">
        <v>51</v>
      </c>
      <c r="E52" s="3">
        <v>0.35</v>
      </c>
      <c r="F52" s="14">
        <f t="shared" si="0"/>
        <v>27.72</v>
      </c>
      <c r="G52" s="66">
        <v>0.75</v>
      </c>
      <c r="H52" s="67">
        <f t="shared" si="1"/>
        <v>20.79</v>
      </c>
    </row>
    <row r="53" spans="1:8" ht="15.75" x14ac:dyDescent="0.25">
      <c r="A53" s="60">
        <v>51</v>
      </c>
      <c r="B53" s="19" t="s">
        <v>182</v>
      </c>
      <c r="C53" s="16" t="s">
        <v>162</v>
      </c>
      <c r="D53" s="17">
        <v>52</v>
      </c>
      <c r="E53" s="3">
        <v>0.9</v>
      </c>
      <c r="F53" s="14">
        <f t="shared" si="0"/>
        <v>71.28</v>
      </c>
      <c r="G53" s="66">
        <v>0.75</v>
      </c>
      <c r="H53" s="67">
        <f t="shared" si="1"/>
        <v>53.46</v>
      </c>
    </row>
    <row r="54" spans="1:8" ht="15.75" x14ac:dyDescent="0.25">
      <c r="A54" s="60">
        <v>52</v>
      </c>
      <c r="B54" s="15" t="s">
        <v>183</v>
      </c>
      <c r="C54" s="16" t="s">
        <v>130</v>
      </c>
      <c r="D54" s="17">
        <v>53</v>
      </c>
      <c r="E54" s="3">
        <v>2.6749999999999998</v>
      </c>
      <c r="F54" s="14">
        <f t="shared" si="0"/>
        <v>211.86</v>
      </c>
      <c r="G54" s="66">
        <v>0.75</v>
      </c>
      <c r="H54" s="67">
        <f t="shared" si="1"/>
        <v>158.89500000000001</v>
      </c>
    </row>
    <row r="55" spans="1:8" ht="15.75" x14ac:dyDescent="0.25">
      <c r="A55" s="60">
        <v>53</v>
      </c>
      <c r="B55" s="15" t="s">
        <v>184</v>
      </c>
      <c r="C55" s="16" t="s">
        <v>130</v>
      </c>
      <c r="D55" s="17">
        <v>54</v>
      </c>
      <c r="E55" s="3"/>
      <c r="F55" s="14">
        <f t="shared" si="0"/>
        <v>0</v>
      </c>
      <c r="G55" s="66">
        <v>0.75</v>
      </c>
      <c r="H55" s="67">
        <f t="shared" si="1"/>
        <v>0</v>
      </c>
    </row>
    <row r="56" spans="1:8" ht="15.75" x14ac:dyDescent="0.25">
      <c r="A56" s="60">
        <v>54</v>
      </c>
      <c r="B56" s="18" t="s">
        <v>185</v>
      </c>
      <c r="C56" s="16" t="s">
        <v>130</v>
      </c>
      <c r="D56" s="17">
        <v>55</v>
      </c>
      <c r="E56" s="3">
        <v>0.65</v>
      </c>
      <c r="F56" s="14">
        <f>SUM(E56*220*14*30)/1000</f>
        <v>60.06</v>
      </c>
      <c r="G56" s="66">
        <v>0.75</v>
      </c>
      <c r="H56" s="67">
        <f t="shared" si="1"/>
        <v>45.045000000000002</v>
      </c>
    </row>
    <row r="57" spans="1:8" ht="15.75" x14ac:dyDescent="0.25">
      <c r="A57" s="60">
        <v>55</v>
      </c>
      <c r="B57" s="18" t="s">
        <v>186</v>
      </c>
      <c r="C57" s="16" t="s">
        <v>130</v>
      </c>
      <c r="D57" s="17">
        <v>56</v>
      </c>
      <c r="E57" s="3">
        <v>0.43</v>
      </c>
      <c r="F57" s="14">
        <f t="shared" si="0"/>
        <v>34.05599999999999</v>
      </c>
      <c r="G57" s="66">
        <v>0.75</v>
      </c>
      <c r="H57" s="67">
        <f t="shared" si="1"/>
        <v>25.541999999999994</v>
      </c>
    </row>
    <row r="58" spans="1:8" ht="15.75" x14ac:dyDescent="0.25">
      <c r="A58" s="60">
        <v>56</v>
      </c>
      <c r="B58" s="15" t="s">
        <v>187</v>
      </c>
      <c r="C58" s="16" t="s">
        <v>130</v>
      </c>
      <c r="D58" s="17">
        <v>57</v>
      </c>
      <c r="E58" s="3">
        <v>0.90999999999999992</v>
      </c>
      <c r="F58" s="14">
        <f t="shared" si="0"/>
        <v>72.071999999999989</v>
      </c>
      <c r="G58" s="66">
        <v>0.75</v>
      </c>
      <c r="H58" s="67">
        <f t="shared" si="1"/>
        <v>54.053999999999988</v>
      </c>
    </row>
    <row r="59" spans="1:8" ht="15.75" x14ac:dyDescent="0.25">
      <c r="A59" s="60">
        <v>57</v>
      </c>
      <c r="B59" s="15" t="s">
        <v>188</v>
      </c>
      <c r="C59" s="16" t="s">
        <v>130</v>
      </c>
      <c r="D59" s="17">
        <v>58</v>
      </c>
      <c r="E59" s="3">
        <v>1.6</v>
      </c>
      <c r="F59" s="14">
        <f t="shared" si="0"/>
        <v>126.72</v>
      </c>
      <c r="G59" s="66">
        <v>0.75</v>
      </c>
      <c r="H59" s="67">
        <f t="shared" si="1"/>
        <v>95.039999999999992</v>
      </c>
    </row>
    <row r="60" spans="1:8" ht="15.75" x14ac:dyDescent="0.25">
      <c r="A60" s="60">
        <v>58</v>
      </c>
      <c r="B60" s="19" t="s">
        <v>189</v>
      </c>
      <c r="C60" s="16" t="s">
        <v>130</v>
      </c>
      <c r="D60" s="17">
        <v>59</v>
      </c>
      <c r="E60" s="9">
        <v>0.84199999999999997</v>
      </c>
      <c r="F60" s="14">
        <f t="shared" si="0"/>
        <v>66.686399999999992</v>
      </c>
      <c r="G60" s="66">
        <v>0.75</v>
      </c>
      <c r="H60" s="67">
        <f t="shared" si="1"/>
        <v>50.014799999999994</v>
      </c>
    </row>
    <row r="61" spans="1:8" ht="15.75" x14ac:dyDescent="0.25">
      <c r="A61" s="60">
        <v>59</v>
      </c>
      <c r="B61" s="18" t="s">
        <v>190</v>
      </c>
      <c r="C61" s="16" t="s">
        <v>130</v>
      </c>
      <c r="D61" s="17">
        <v>60</v>
      </c>
      <c r="E61" s="9">
        <v>1.32</v>
      </c>
      <c r="F61" s="22">
        <f t="shared" si="0"/>
        <v>104.544</v>
      </c>
      <c r="G61" s="66">
        <v>0.75</v>
      </c>
      <c r="H61" s="67">
        <f t="shared" si="1"/>
        <v>78.408000000000001</v>
      </c>
    </row>
    <row r="62" spans="1:8" ht="15.75" x14ac:dyDescent="0.25">
      <c r="A62" s="60">
        <v>60</v>
      </c>
      <c r="B62" s="15" t="s">
        <v>191</v>
      </c>
      <c r="C62" s="16" t="s">
        <v>130</v>
      </c>
      <c r="D62" s="17">
        <v>61</v>
      </c>
      <c r="E62" s="3">
        <v>0.79</v>
      </c>
      <c r="F62" s="14">
        <f t="shared" si="0"/>
        <v>62.568000000000012</v>
      </c>
      <c r="G62" s="66">
        <v>0.75</v>
      </c>
      <c r="H62" s="67">
        <f t="shared" si="1"/>
        <v>46.926000000000009</v>
      </c>
    </row>
    <row r="63" spans="1:8" ht="15.75" x14ac:dyDescent="0.25">
      <c r="A63" s="60">
        <v>61</v>
      </c>
      <c r="B63" s="15" t="s">
        <v>192</v>
      </c>
      <c r="C63" s="16" t="s">
        <v>130</v>
      </c>
      <c r="D63" s="17">
        <v>62</v>
      </c>
      <c r="E63" s="3">
        <v>0.25</v>
      </c>
      <c r="F63" s="14">
        <f t="shared" si="0"/>
        <v>19.8</v>
      </c>
      <c r="G63" s="66">
        <v>0.75</v>
      </c>
      <c r="H63" s="67">
        <f t="shared" si="1"/>
        <v>14.850000000000001</v>
      </c>
    </row>
    <row r="64" spans="1:8" ht="15.75" x14ac:dyDescent="0.25">
      <c r="A64" s="60">
        <v>62</v>
      </c>
      <c r="B64" s="15" t="s">
        <v>193</v>
      </c>
      <c r="C64" s="16" t="s">
        <v>130</v>
      </c>
      <c r="D64" s="17">
        <v>63</v>
      </c>
      <c r="E64" s="3">
        <v>0.71500000000000008</v>
      </c>
      <c r="F64" s="14">
        <f t="shared" si="0"/>
        <v>56.628000000000007</v>
      </c>
      <c r="G64" s="66">
        <v>0.75</v>
      </c>
      <c r="H64" s="67">
        <f t="shared" si="1"/>
        <v>42.471000000000004</v>
      </c>
    </row>
    <row r="65" spans="1:8" ht="15.75" x14ac:dyDescent="0.25">
      <c r="A65" s="60">
        <v>63</v>
      </c>
      <c r="B65" s="15" t="s">
        <v>194</v>
      </c>
      <c r="C65" s="16" t="s">
        <v>130</v>
      </c>
      <c r="D65" s="17">
        <v>64</v>
      </c>
      <c r="E65" s="3">
        <v>1.95</v>
      </c>
      <c r="F65" s="14">
        <f t="shared" si="0"/>
        <v>154.44</v>
      </c>
      <c r="G65" s="66">
        <v>0.75</v>
      </c>
      <c r="H65" s="67">
        <f t="shared" si="1"/>
        <v>115.83</v>
      </c>
    </row>
    <row r="66" spans="1:8" ht="15.75" x14ac:dyDescent="0.25">
      <c r="A66" s="60">
        <v>64</v>
      </c>
      <c r="B66" s="15" t="s">
        <v>195</v>
      </c>
      <c r="C66" s="16" t="s">
        <v>130</v>
      </c>
      <c r="D66" s="17">
        <v>65</v>
      </c>
      <c r="E66" s="3">
        <v>0.45</v>
      </c>
      <c r="F66" s="14">
        <f t="shared" si="0"/>
        <v>35.64</v>
      </c>
      <c r="G66" s="66">
        <v>0.75</v>
      </c>
      <c r="H66" s="67">
        <f t="shared" si="1"/>
        <v>26.73</v>
      </c>
    </row>
    <row r="67" spans="1:8" ht="15.75" x14ac:dyDescent="0.25">
      <c r="A67" s="60">
        <v>65</v>
      </c>
      <c r="B67" s="18" t="s">
        <v>196</v>
      </c>
      <c r="C67" s="16" t="s">
        <v>130</v>
      </c>
      <c r="D67" s="17">
        <v>66</v>
      </c>
      <c r="E67" s="3">
        <v>0.78</v>
      </c>
      <c r="F67" s="14">
        <f t="shared" si="0"/>
        <v>61.775999999999996</v>
      </c>
      <c r="G67" s="66">
        <v>0.75</v>
      </c>
      <c r="H67" s="67">
        <f t="shared" si="1"/>
        <v>46.331999999999994</v>
      </c>
    </row>
    <row r="68" spans="1:8" ht="15.75" x14ac:dyDescent="0.25">
      <c r="A68" s="60">
        <v>66</v>
      </c>
      <c r="B68" s="18" t="s">
        <v>197</v>
      </c>
      <c r="C68" s="23" t="s">
        <v>130</v>
      </c>
      <c r="D68" s="21">
        <v>67</v>
      </c>
      <c r="E68" s="9">
        <v>0.55000000000000004</v>
      </c>
      <c r="F68" s="22">
        <f t="shared" ref="F68:F80" si="2">SUM(E68*220*12*30)/1000</f>
        <v>43.560000000000009</v>
      </c>
      <c r="G68" s="66">
        <v>0.75</v>
      </c>
      <c r="H68" s="67">
        <f t="shared" ref="H68:H80" si="3">F68*0.75</f>
        <v>32.670000000000009</v>
      </c>
    </row>
    <row r="69" spans="1:8" ht="15.75" x14ac:dyDescent="0.25">
      <c r="A69" s="60">
        <v>67</v>
      </c>
      <c r="B69" s="15" t="s">
        <v>198</v>
      </c>
      <c r="C69" s="16" t="s">
        <v>130</v>
      </c>
      <c r="D69" s="17">
        <v>68</v>
      </c>
      <c r="E69" s="3">
        <v>0.58499999999999996</v>
      </c>
      <c r="F69" s="14">
        <f t="shared" si="2"/>
        <v>46.331999999999994</v>
      </c>
      <c r="G69" s="66">
        <v>0.75</v>
      </c>
      <c r="H69" s="67">
        <f t="shared" si="3"/>
        <v>34.748999999999995</v>
      </c>
    </row>
    <row r="70" spans="1:8" ht="15.75" x14ac:dyDescent="0.25">
      <c r="A70" s="60">
        <v>68</v>
      </c>
      <c r="B70" s="15" t="s">
        <v>199</v>
      </c>
      <c r="C70" s="16" t="s">
        <v>130</v>
      </c>
      <c r="D70" s="17">
        <v>69</v>
      </c>
      <c r="E70" s="3">
        <v>0.56499999999999995</v>
      </c>
      <c r="F70" s="14">
        <f t="shared" si="2"/>
        <v>44.747999999999998</v>
      </c>
      <c r="G70" s="66">
        <v>0.75</v>
      </c>
      <c r="H70" s="67">
        <f t="shared" si="3"/>
        <v>33.561</v>
      </c>
    </row>
    <row r="71" spans="1:8" ht="15.75" x14ac:dyDescent="0.25">
      <c r="A71" s="60">
        <v>69</v>
      </c>
      <c r="B71" s="15" t="s">
        <v>200</v>
      </c>
      <c r="C71" s="16" t="s">
        <v>130</v>
      </c>
      <c r="D71" s="17">
        <v>70</v>
      </c>
      <c r="E71" s="3">
        <v>0.29000000000000004</v>
      </c>
      <c r="F71" s="14">
        <f t="shared" si="2"/>
        <v>22.968000000000004</v>
      </c>
      <c r="G71" s="66">
        <v>0.75</v>
      </c>
      <c r="H71" s="67">
        <f t="shared" si="3"/>
        <v>17.226000000000003</v>
      </c>
    </row>
    <row r="72" spans="1:8" ht="15.75" x14ac:dyDescent="0.25">
      <c r="A72" s="60">
        <v>70</v>
      </c>
      <c r="B72" s="15" t="s">
        <v>201</v>
      </c>
      <c r="C72" s="16" t="s">
        <v>130</v>
      </c>
      <c r="D72" s="17">
        <v>71</v>
      </c>
      <c r="E72" s="3">
        <v>0.7</v>
      </c>
      <c r="F72" s="14">
        <f t="shared" si="2"/>
        <v>55.44</v>
      </c>
      <c r="G72" s="66">
        <v>0.75</v>
      </c>
      <c r="H72" s="67">
        <f t="shared" si="3"/>
        <v>41.58</v>
      </c>
    </row>
    <row r="73" spans="1:8" ht="15.75" x14ac:dyDescent="0.25">
      <c r="A73" s="60">
        <v>71</v>
      </c>
      <c r="B73" s="15" t="s">
        <v>202</v>
      </c>
      <c r="C73" s="16" t="s">
        <v>130</v>
      </c>
      <c r="D73" s="17">
        <v>72</v>
      </c>
      <c r="E73" s="3">
        <v>0.83499999999999996</v>
      </c>
      <c r="F73" s="14">
        <f t="shared" si="2"/>
        <v>66.131999999999991</v>
      </c>
      <c r="G73" s="66">
        <v>0.75</v>
      </c>
      <c r="H73" s="67">
        <f t="shared" si="3"/>
        <v>49.59899999999999</v>
      </c>
    </row>
    <row r="74" spans="1:8" ht="15.75" x14ac:dyDescent="0.25">
      <c r="A74" s="60">
        <v>72</v>
      </c>
      <c r="B74" s="18" t="s">
        <v>203</v>
      </c>
      <c r="C74" s="16" t="s">
        <v>130</v>
      </c>
      <c r="D74" s="17">
        <v>73</v>
      </c>
      <c r="E74" s="3">
        <v>1.1000000000000001</v>
      </c>
      <c r="F74" s="14">
        <f t="shared" si="2"/>
        <v>87.120000000000019</v>
      </c>
      <c r="G74" s="66">
        <v>0.75</v>
      </c>
      <c r="H74" s="67">
        <f t="shared" si="3"/>
        <v>65.340000000000018</v>
      </c>
    </row>
    <row r="75" spans="1:8" ht="15.75" x14ac:dyDescent="0.25">
      <c r="A75" s="60">
        <v>73</v>
      </c>
      <c r="B75" s="15" t="s">
        <v>204</v>
      </c>
      <c r="C75" s="16" t="s">
        <v>130</v>
      </c>
      <c r="D75" s="17">
        <v>74</v>
      </c>
      <c r="E75" s="3">
        <v>0.7</v>
      </c>
      <c r="F75" s="14">
        <f t="shared" si="2"/>
        <v>55.44</v>
      </c>
      <c r="G75" s="66">
        <v>0.75</v>
      </c>
      <c r="H75" s="67">
        <f t="shared" si="3"/>
        <v>41.58</v>
      </c>
    </row>
    <row r="76" spans="1:8" ht="15.75" x14ac:dyDescent="0.25">
      <c r="A76" s="60">
        <v>74</v>
      </c>
      <c r="B76" s="19" t="s">
        <v>205</v>
      </c>
      <c r="C76" s="16" t="s">
        <v>130</v>
      </c>
      <c r="D76" s="17">
        <v>75</v>
      </c>
      <c r="E76" s="20">
        <v>3.48</v>
      </c>
      <c r="F76" s="14">
        <f>SUM(E76*220*12*30)/1000</f>
        <v>275.61599999999999</v>
      </c>
      <c r="G76" s="66">
        <v>0.75</v>
      </c>
      <c r="H76" s="67">
        <f t="shared" si="3"/>
        <v>206.71199999999999</v>
      </c>
    </row>
    <row r="77" spans="1:8" ht="15.75" x14ac:dyDescent="0.25">
      <c r="A77" s="60">
        <v>75</v>
      </c>
      <c r="B77" s="15" t="s">
        <v>206</v>
      </c>
      <c r="C77" s="16" t="s">
        <v>130</v>
      </c>
      <c r="D77" s="17">
        <v>76</v>
      </c>
      <c r="E77" s="3">
        <v>0.89</v>
      </c>
      <c r="F77" s="14">
        <f t="shared" si="2"/>
        <v>70.488000000000014</v>
      </c>
      <c r="G77" s="66">
        <v>0.75</v>
      </c>
      <c r="H77" s="67">
        <f t="shared" si="3"/>
        <v>52.866000000000014</v>
      </c>
    </row>
    <row r="78" spans="1:8" ht="15.75" x14ac:dyDescent="0.25">
      <c r="A78" s="60">
        <v>76</v>
      </c>
      <c r="B78" s="19" t="s">
        <v>207</v>
      </c>
      <c r="C78" s="16" t="s">
        <v>130</v>
      </c>
      <c r="D78" s="17">
        <v>78</v>
      </c>
      <c r="E78" s="20">
        <v>2.1100000000000003</v>
      </c>
      <c r="F78" s="14">
        <f t="shared" si="2"/>
        <v>167.11200000000002</v>
      </c>
      <c r="G78" s="66">
        <v>0.75</v>
      </c>
      <c r="H78" s="67">
        <f t="shared" si="3"/>
        <v>125.33400000000002</v>
      </c>
    </row>
    <row r="79" spans="1:8" ht="15.75" x14ac:dyDescent="0.25">
      <c r="A79" s="60">
        <v>77</v>
      </c>
      <c r="B79" s="15" t="s">
        <v>208</v>
      </c>
      <c r="C79" s="5"/>
      <c r="D79" s="3"/>
      <c r="E79" s="3">
        <v>0.55000000000000004</v>
      </c>
      <c r="F79" s="14">
        <f t="shared" si="2"/>
        <v>43.560000000000009</v>
      </c>
      <c r="G79" s="66">
        <v>0.75</v>
      </c>
      <c r="H79" s="67">
        <f t="shared" si="3"/>
        <v>32.670000000000009</v>
      </c>
    </row>
    <row r="80" spans="1:8" ht="15.75" x14ac:dyDescent="0.25">
      <c r="A80" s="60">
        <v>78</v>
      </c>
      <c r="B80" s="15" t="s">
        <v>209</v>
      </c>
      <c r="C80" s="5"/>
      <c r="D80" s="3"/>
      <c r="E80" s="3">
        <v>0.71</v>
      </c>
      <c r="F80" s="14">
        <f t="shared" si="2"/>
        <v>56.231999999999992</v>
      </c>
      <c r="G80" s="66">
        <v>0.75</v>
      </c>
      <c r="H80" s="67">
        <f t="shared" si="3"/>
        <v>42.173999999999992</v>
      </c>
    </row>
    <row r="81" spans="1:8" ht="15.75" x14ac:dyDescent="0.25">
      <c r="A81" s="87"/>
      <c r="B81" s="88"/>
      <c r="C81" s="89"/>
      <c r="D81" s="90"/>
      <c r="E81" s="90"/>
      <c r="F81" s="91"/>
      <c r="G81" s="91"/>
      <c r="H81" s="92"/>
    </row>
    <row r="82" spans="1:8" x14ac:dyDescent="0.25">
      <c r="F82" t="s">
        <v>345</v>
      </c>
    </row>
    <row r="83" spans="1:8" ht="15.75" x14ac:dyDescent="0.25">
      <c r="A83" s="86">
        <v>79</v>
      </c>
      <c r="B83" s="10" t="s">
        <v>52</v>
      </c>
      <c r="F83">
        <v>45.5</v>
      </c>
      <c r="H83">
        <v>34.125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2201F-A02E-463E-B865-A23C7DFF32FA}">
  <dimension ref="A1:H61"/>
  <sheetViews>
    <sheetView tabSelected="1" workbookViewId="0">
      <selection activeCell="C57" sqref="C57"/>
    </sheetView>
  </sheetViews>
  <sheetFormatPr baseColWidth="10" defaultRowHeight="15" x14ac:dyDescent="0.25"/>
  <cols>
    <col min="1" max="1" width="5.140625" customWidth="1"/>
    <col min="2" max="2" width="47.7109375" customWidth="1"/>
    <col min="4" max="4" width="7.7109375" customWidth="1"/>
    <col min="5" max="5" width="9.42578125" customWidth="1"/>
    <col min="6" max="6" width="9.7109375" customWidth="1"/>
    <col min="7" max="7" width="8.85546875" customWidth="1"/>
  </cols>
  <sheetData>
    <row r="1" spans="1:8" x14ac:dyDescent="0.25">
      <c r="H1">
        <v>0.77</v>
      </c>
    </row>
    <row r="2" spans="1:8" ht="45" x14ac:dyDescent="0.25">
      <c r="A2" s="26"/>
      <c r="B2" s="26" t="s">
        <v>210</v>
      </c>
      <c r="C2" s="27" t="s">
        <v>3</v>
      </c>
      <c r="D2" s="27" t="s">
        <v>211</v>
      </c>
      <c r="E2" s="28" t="s">
        <v>334</v>
      </c>
      <c r="F2" s="28" t="s">
        <v>335</v>
      </c>
      <c r="G2" s="28" t="s">
        <v>212</v>
      </c>
      <c r="H2" s="28" t="s">
        <v>213</v>
      </c>
    </row>
    <row r="3" spans="1:8" x14ac:dyDescent="0.25">
      <c r="A3" s="29">
        <v>1</v>
      </c>
      <c r="B3" s="29" t="s">
        <v>214</v>
      </c>
      <c r="C3" s="8" t="s">
        <v>215</v>
      </c>
      <c r="D3" s="8"/>
      <c r="E3" s="3">
        <v>246.1</v>
      </c>
      <c r="F3" s="3">
        <v>270.10000000000002</v>
      </c>
      <c r="G3" s="3">
        <f>SUM(F3-E3)</f>
        <v>24.000000000000028</v>
      </c>
      <c r="H3" s="6">
        <f>SUM(F3-E3)*0.77</f>
        <v>18.480000000000022</v>
      </c>
    </row>
    <row r="4" spans="1:8" x14ac:dyDescent="0.25">
      <c r="A4" s="29">
        <v>2</v>
      </c>
      <c r="B4" s="29" t="s">
        <v>216</v>
      </c>
      <c r="C4" s="8" t="s">
        <v>217</v>
      </c>
      <c r="D4" s="8"/>
      <c r="E4" s="3">
        <v>129.80000000000001</v>
      </c>
      <c r="F4" s="3">
        <v>142.9</v>
      </c>
      <c r="G4" s="3">
        <f t="shared" ref="G4:G60" si="0">SUM(F4-E4)</f>
        <v>13.099999999999994</v>
      </c>
      <c r="H4" s="6">
        <f t="shared" ref="H4:H7" si="1">SUM(F4-E4)*0.77</f>
        <v>10.086999999999996</v>
      </c>
    </row>
    <row r="5" spans="1:8" x14ac:dyDescent="0.25">
      <c r="A5" s="29">
        <v>3</v>
      </c>
      <c r="B5" s="29" t="s">
        <v>218</v>
      </c>
      <c r="C5" s="8" t="s">
        <v>219</v>
      </c>
      <c r="D5" s="8"/>
      <c r="E5" s="3">
        <v>132.6</v>
      </c>
      <c r="F5" s="3">
        <v>139.1</v>
      </c>
      <c r="G5" s="3">
        <f t="shared" si="0"/>
        <v>6.5</v>
      </c>
      <c r="H5" s="6">
        <f t="shared" si="1"/>
        <v>5.0049999999999999</v>
      </c>
    </row>
    <row r="6" spans="1:8" x14ac:dyDescent="0.25">
      <c r="A6" s="29">
        <v>4</v>
      </c>
      <c r="B6" s="29" t="s">
        <v>220</v>
      </c>
      <c r="C6" s="8" t="s">
        <v>221</v>
      </c>
      <c r="D6" s="8"/>
      <c r="E6" s="3">
        <v>213.4</v>
      </c>
      <c r="F6" s="3">
        <v>232.1</v>
      </c>
      <c r="G6" s="3">
        <f t="shared" si="0"/>
        <v>18.699999999999989</v>
      </c>
      <c r="H6" s="6">
        <f t="shared" si="1"/>
        <v>14.398999999999992</v>
      </c>
    </row>
    <row r="7" spans="1:8" x14ac:dyDescent="0.25">
      <c r="A7" s="29">
        <v>5</v>
      </c>
      <c r="B7" s="29" t="s">
        <v>222</v>
      </c>
      <c r="C7" s="8" t="s">
        <v>223</v>
      </c>
      <c r="D7" s="8"/>
      <c r="E7" s="3">
        <v>134.9</v>
      </c>
      <c r="F7" s="3">
        <v>147.80000000000001</v>
      </c>
      <c r="G7" s="3">
        <f t="shared" si="0"/>
        <v>12.900000000000006</v>
      </c>
      <c r="H7" s="6">
        <f t="shared" si="1"/>
        <v>9.9330000000000052</v>
      </c>
    </row>
    <row r="8" spans="1:8" x14ac:dyDescent="0.25">
      <c r="A8" s="29">
        <v>6</v>
      </c>
      <c r="B8" s="30" t="s">
        <v>224</v>
      </c>
      <c r="C8" s="8" t="s">
        <v>225</v>
      </c>
      <c r="D8" s="8" t="s">
        <v>226</v>
      </c>
      <c r="E8" s="3"/>
      <c r="F8" s="3"/>
      <c r="G8" s="3">
        <f t="shared" si="0"/>
        <v>0</v>
      </c>
      <c r="H8" s="6">
        <v>10</v>
      </c>
    </row>
    <row r="9" spans="1:8" x14ac:dyDescent="0.25">
      <c r="A9" s="29">
        <v>7</v>
      </c>
      <c r="B9" s="30" t="s">
        <v>227</v>
      </c>
      <c r="C9" s="8" t="s">
        <v>228</v>
      </c>
      <c r="D9" s="8" t="s">
        <v>226</v>
      </c>
      <c r="E9" s="3"/>
      <c r="F9" s="3"/>
      <c r="G9" s="3">
        <f t="shared" si="0"/>
        <v>0</v>
      </c>
      <c r="H9" s="6">
        <v>10</v>
      </c>
    </row>
    <row r="10" spans="1:8" x14ac:dyDescent="0.25">
      <c r="A10" s="29">
        <v>8</v>
      </c>
      <c r="B10" s="30" t="s">
        <v>229</v>
      </c>
      <c r="C10" s="8" t="s">
        <v>230</v>
      </c>
      <c r="D10" s="8" t="s">
        <v>226</v>
      </c>
      <c r="E10" s="3"/>
      <c r="F10" s="3"/>
      <c r="G10" s="3">
        <f t="shared" si="0"/>
        <v>0</v>
      </c>
      <c r="H10" s="6">
        <v>10</v>
      </c>
    </row>
    <row r="11" spans="1:8" x14ac:dyDescent="0.25">
      <c r="A11" s="29">
        <v>9</v>
      </c>
      <c r="B11" s="30" t="s">
        <v>231</v>
      </c>
      <c r="C11" s="8" t="s">
        <v>232</v>
      </c>
      <c r="D11" s="8" t="s">
        <v>226</v>
      </c>
      <c r="E11" s="3"/>
      <c r="F11" s="3"/>
      <c r="G11" s="3">
        <f t="shared" si="0"/>
        <v>0</v>
      </c>
      <c r="H11" s="6">
        <v>10</v>
      </c>
    </row>
    <row r="12" spans="1:8" x14ac:dyDescent="0.25">
      <c r="A12" s="29">
        <v>10</v>
      </c>
      <c r="B12" s="30" t="s">
        <v>233</v>
      </c>
      <c r="C12" s="8" t="s">
        <v>234</v>
      </c>
      <c r="D12" s="8" t="s">
        <v>226</v>
      </c>
      <c r="E12" s="3"/>
      <c r="F12" s="3"/>
      <c r="G12" s="3">
        <f t="shared" si="0"/>
        <v>0</v>
      </c>
      <c r="H12" s="6">
        <v>10</v>
      </c>
    </row>
    <row r="13" spans="1:8" x14ac:dyDescent="0.25">
      <c r="A13" s="29">
        <v>11</v>
      </c>
      <c r="B13" s="30" t="s">
        <v>235</v>
      </c>
      <c r="C13" s="8" t="s">
        <v>236</v>
      </c>
      <c r="D13" s="8" t="s">
        <v>226</v>
      </c>
      <c r="E13" s="3"/>
      <c r="F13" s="3"/>
      <c r="G13" s="3">
        <f t="shared" si="0"/>
        <v>0</v>
      </c>
      <c r="H13" s="6">
        <v>10</v>
      </c>
    </row>
    <row r="14" spans="1:8" x14ac:dyDescent="0.25">
      <c r="A14" s="29">
        <v>12</v>
      </c>
      <c r="B14" s="30" t="s">
        <v>237</v>
      </c>
      <c r="C14" s="8" t="s">
        <v>238</v>
      </c>
      <c r="D14" s="8" t="s">
        <v>226</v>
      </c>
      <c r="E14" s="3"/>
      <c r="F14" s="3"/>
      <c r="G14" s="3">
        <f t="shared" si="0"/>
        <v>0</v>
      </c>
      <c r="H14" s="6">
        <v>10</v>
      </c>
    </row>
    <row r="15" spans="1:8" x14ac:dyDescent="0.25">
      <c r="A15" s="29">
        <v>13</v>
      </c>
      <c r="B15" s="30" t="s">
        <v>239</v>
      </c>
      <c r="C15" s="8" t="s">
        <v>240</v>
      </c>
      <c r="D15" s="8" t="s">
        <v>226</v>
      </c>
      <c r="E15" s="3"/>
      <c r="F15" s="3"/>
      <c r="G15" s="3">
        <f t="shared" si="0"/>
        <v>0</v>
      </c>
      <c r="H15" s="6">
        <v>10</v>
      </c>
    </row>
    <row r="16" spans="1:8" x14ac:dyDescent="0.25">
      <c r="A16" s="29">
        <v>14</v>
      </c>
      <c r="B16" s="31" t="s">
        <v>241</v>
      </c>
      <c r="C16" s="8" t="s">
        <v>242</v>
      </c>
      <c r="D16" s="8" t="s">
        <v>226</v>
      </c>
      <c r="E16" s="3"/>
      <c r="F16" s="3"/>
      <c r="G16" s="3">
        <f t="shared" si="0"/>
        <v>0</v>
      </c>
      <c r="H16" s="6">
        <v>10</v>
      </c>
    </row>
    <row r="17" spans="1:8" x14ac:dyDescent="0.25">
      <c r="A17" s="29">
        <v>15</v>
      </c>
      <c r="B17" s="30" t="s">
        <v>243</v>
      </c>
      <c r="C17" s="8" t="s">
        <v>244</v>
      </c>
      <c r="D17" s="8" t="s">
        <v>226</v>
      </c>
      <c r="E17" s="3"/>
      <c r="F17" s="3"/>
      <c r="G17" s="3">
        <f t="shared" si="0"/>
        <v>0</v>
      </c>
      <c r="H17" s="6">
        <v>10</v>
      </c>
    </row>
    <row r="18" spans="1:8" x14ac:dyDescent="0.25">
      <c r="A18" s="29">
        <v>16</v>
      </c>
      <c r="B18" s="30" t="s">
        <v>245</v>
      </c>
      <c r="C18" s="8" t="s">
        <v>246</v>
      </c>
      <c r="D18" s="8" t="s">
        <v>226</v>
      </c>
      <c r="E18" s="3"/>
      <c r="F18" s="3"/>
      <c r="G18" s="3">
        <f t="shared" si="0"/>
        <v>0</v>
      </c>
      <c r="H18" s="6">
        <v>10</v>
      </c>
    </row>
    <row r="19" spans="1:8" x14ac:dyDescent="0.25">
      <c r="A19" s="29">
        <v>17</v>
      </c>
      <c r="B19" s="30" t="s">
        <v>247</v>
      </c>
      <c r="C19" s="8" t="s">
        <v>248</v>
      </c>
      <c r="D19" s="8" t="s">
        <v>226</v>
      </c>
      <c r="E19" s="3"/>
      <c r="F19" s="3"/>
      <c r="G19" s="3">
        <f t="shared" si="0"/>
        <v>0</v>
      </c>
      <c r="H19" s="6">
        <v>10</v>
      </c>
    </row>
    <row r="20" spans="1:8" x14ac:dyDescent="0.25">
      <c r="A20" s="29">
        <v>18</v>
      </c>
      <c r="B20" s="30" t="s">
        <v>249</v>
      </c>
      <c r="C20" s="8" t="s">
        <v>250</v>
      </c>
      <c r="D20" s="8" t="s">
        <v>226</v>
      </c>
      <c r="E20" s="3"/>
      <c r="F20" s="3"/>
      <c r="G20" s="3">
        <f t="shared" si="0"/>
        <v>0</v>
      </c>
      <c r="H20" s="6">
        <v>10</v>
      </c>
    </row>
    <row r="21" spans="1:8" x14ac:dyDescent="0.25">
      <c r="A21" s="32">
        <v>19</v>
      </c>
      <c r="B21" s="33" t="s">
        <v>251</v>
      </c>
      <c r="C21" s="34" t="s">
        <v>252</v>
      </c>
      <c r="D21" s="34" t="s">
        <v>226</v>
      </c>
      <c r="E21" s="35">
        <v>19</v>
      </c>
      <c r="F21" s="35">
        <v>19</v>
      </c>
      <c r="G21" s="3">
        <f t="shared" si="0"/>
        <v>0</v>
      </c>
      <c r="H21" s="6">
        <v>10</v>
      </c>
    </row>
    <row r="22" spans="1:8" x14ac:dyDescent="0.25">
      <c r="A22" s="32">
        <v>20</v>
      </c>
      <c r="B22" s="36" t="s">
        <v>253</v>
      </c>
      <c r="C22" s="34" t="s">
        <v>254</v>
      </c>
      <c r="D22" s="34" t="s">
        <v>226</v>
      </c>
      <c r="E22" s="35">
        <v>30</v>
      </c>
      <c r="F22" s="35">
        <v>30</v>
      </c>
      <c r="G22" s="3">
        <f t="shared" si="0"/>
        <v>0</v>
      </c>
      <c r="H22" s="37">
        <v>30</v>
      </c>
    </row>
    <row r="23" spans="1:8" x14ac:dyDescent="0.25">
      <c r="A23" s="38">
        <v>21</v>
      </c>
      <c r="B23" s="39" t="s">
        <v>255</v>
      </c>
      <c r="C23" s="40" t="s">
        <v>256</v>
      </c>
      <c r="D23" s="40" t="s">
        <v>226</v>
      </c>
      <c r="E23" s="41"/>
      <c r="F23" s="41"/>
      <c r="G23" s="3">
        <f t="shared" si="0"/>
        <v>0</v>
      </c>
      <c r="H23" s="6">
        <v>10</v>
      </c>
    </row>
    <row r="24" spans="1:8" x14ac:dyDescent="0.25">
      <c r="A24" s="38">
        <v>22</v>
      </c>
      <c r="B24" s="42" t="s">
        <v>257</v>
      </c>
      <c r="C24" s="43" t="s">
        <v>258</v>
      </c>
      <c r="D24" s="43" t="s">
        <v>226</v>
      </c>
      <c r="E24" s="44"/>
      <c r="F24" s="44"/>
      <c r="G24" s="3">
        <f t="shared" si="0"/>
        <v>0</v>
      </c>
      <c r="H24" s="6">
        <v>25</v>
      </c>
    </row>
    <row r="25" spans="1:8" x14ac:dyDescent="0.25">
      <c r="A25" s="29">
        <v>23</v>
      </c>
      <c r="B25" s="30" t="s">
        <v>259</v>
      </c>
      <c r="C25" s="8" t="s">
        <v>260</v>
      </c>
      <c r="D25" s="8" t="s">
        <v>226</v>
      </c>
      <c r="E25" s="3"/>
      <c r="F25" s="3"/>
      <c r="G25" s="3">
        <f t="shared" si="0"/>
        <v>0</v>
      </c>
      <c r="H25" s="6">
        <v>10</v>
      </c>
    </row>
    <row r="26" spans="1:8" x14ac:dyDescent="0.25">
      <c r="A26" s="32">
        <v>24</v>
      </c>
      <c r="B26" s="36" t="s">
        <v>261</v>
      </c>
      <c r="C26" s="34" t="s">
        <v>262</v>
      </c>
      <c r="D26" s="34" t="s">
        <v>226</v>
      </c>
      <c r="E26" s="35"/>
      <c r="F26" s="35"/>
      <c r="G26" s="3">
        <f t="shared" si="0"/>
        <v>0</v>
      </c>
      <c r="H26" s="37">
        <v>40.5</v>
      </c>
    </row>
    <row r="27" spans="1:8" x14ac:dyDescent="0.25">
      <c r="A27" s="29">
        <v>25</v>
      </c>
      <c r="B27" s="30" t="s">
        <v>263</v>
      </c>
      <c r="C27" s="8" t="s">
        <v>264</v>
      </c>
      <c r="D27" s="8" t="s">
        <v>226</v>
      </c>
      <c r="E27" s="3"/>
      <c r="F27" s="3"/>
      <c r="G27" s="3">
        <f t="shared" si="0"/>
        <v>0</v>
      </c>
      <c r="H27" s="6">
        <v>10</v>
      </c>
    </row>
    <row r="28" spans="1:8" x14ac:dyDescent="0.25">
      <c r="A28" s="29">
        <v>26</v>
      </c>
      <c r="B28" s="31" t="s">
        <v>265</v>
      </c>
      <c r="C28" s="8" t="s">
        <v>266</v>
      </c>
      <c r="D28" s="8"/>
      <c r="E28" s="3">
        <v>235.8</v>
      </c>
      <c r="F28" s="3">
        <v>259.3</v>
      </c>
      <c r="G28" s="3">
        <f t="shared" si="0"/>
        <v>23.5</v>
      </c>
      <c r="H28" s="6">
        <f>SUM(F28-E28)*0.77</f>
        <v>18.094999999999999</v>
      </c>
    </row>
    <row r="29" spans="1:8" x14ac:dyDescent="0.25">
      <c r="A29" s="29">
        <v>27</v>
      </c>
      <c r="B29" s="30" t="s">
        <v>267</v>
      </c>
      <c r="C29" s="8" t="s">
        <v>268</v>
      </c>
      <c r="D29" s="8"/>
      <c r="E29" s="3">
        <v>287.39999999999998</v>
      </c>
      <c r="F29" s="3">
        <v>306.3</v>
      </c>
      <c r="G29" s="3">
        <f t="shared" si="0"/>
        <v>18.900000000000034</v>
      </c>
      <c r="H29" s="6">
        <f t="shared" ref="H29:H34" si="2">SUM(F29-E29)*0.77</f>
        <v>14.553000000000027</v>
      </c>
    </row>
    <row r="30" spans="1:8" x14ac:dyDescent="0.25">
      <c r="A30" s="29">
        <v>28</v>
      </c>
      <c r="B30" s="31" t="s">
        <v>269</v>
      </c>
      <c r="C30" s="8" t="s">
        <v>270</v>
      </c>
      <c r="D30" s="8"/>
      <c r="E30" s="3">
        <v>107.8</v>
      </c>
      <c r="F30" s="3">
        <v>118.4</v>
      </c>
      <c r="G30" s="3">
        <f t="shared" si="0"/>
        <v>10.600000000000009</v>
      </c>
      <c r="H30" s="6">
        <f t="shared" si="2"/>
        <v>8.1620000000000061</v>
      </c>
    </row>
    <row r="31" spans="1:8" x14ac:dyDescent="0.25">
      <c r="A31" s="29">
        <v>29</v>
      </c>
      <c r="B31" s="30" t="s">
        <v>271</v>
      </c>
      <c r="C31" s="8" t="s">
        <v>272</v>
      </c>
      <c r="D31" s="8"/>
      <c r="E31" s="3">
        <v>233.9</v>
      </c>
      <c r="F31" s="3">
        <v>245</v>
      </c>
      <c r="G31" s="3">
        <f t="shared" si="0"/>
        <v>11.099999999999994</v>
      </c>
      <c r="H31" s="6">
        <f t="shared" si="2"/>
        <v>8.5469999999999953</v>
      </c>
    </row>
    <row r="32" spans="1:8" x14ac:dyDescent="0.25">
      <c r="A32" s="29">
        <v>30</v>
      </c>
      <c r="B32" s="30" t="s">
        <v>273</v>
      </c>
      <c r="C32" s="8" t="s">
        <v>274</v>
      </c>
      <c r="D32" s="8"/>
      <c r="E32" s="3">
        <v>138.19999999999999</v>
      </c>
      <c r="F32" s="3">
        <v>152</v>
      </c>
      <c r="G32" s="3">
        <f t="shared" si="0"/>
        <v>13.800000000000011</v>
      </c>
      <c r="H32" s="6">
        <f t="shared" si="2"/>
        <v>10.626000000000008</v>
      </c>
    </row>
    <row r="33" spans="1:8" x14ac:dyDescent="0.25">
      <c r="A33" s="29">
        <v>31</v>
      </c>
      <c r="B33" s="30" t="s">
        <v>275</v>
      </c>
      <c r="C33" s="8" t="s">
        <v>276</v>
      </c>
      <c r="D33" s="8"/>
      <c r="E33" s="3">
        <v>1287.9000000000001</v>
      </c>
      <c r="F33" s="3">
        <v>1404.2</v>
      </c>
      <c r="G33" s="3">
        <f t="shared" si="0"/>
        <v>116.29999999999995</v>
      </c>
      <c r="H33" s="6">
        <f t="shared" si="2"/>
        <v>89.550999999999974</v>
      </c>
    </row>
    <row r="34" spans="1:8" x14ac:dyDescent="0.25">
      <c r="A34" s="29">
        <v>32</v>
      </c>
      <c r="B34" s="30" t="s">
        <v>277</v>
      </c>
      <c r="C34" s="8" t="s">
        <v>278</v>
      </c>
      <c r="D34" s="8"/>
      <c r="E34" s="3">
        <v>249.9</v>
      </c>
      <c r="F34" s="3">
        <v>303.89999999999998</v>
      </c>
      <c r="G34" s="3">
        <f t="shared" si="0"/>
        <v>53.999999999999972</v>
      </c>
      <c r="H34" s="6">
        <f t="shared" si="2"/>
        <v>41.579999999999977</v>
      </c>
    </row>
    <row r="35" spans="1:8" x14ac:dyDescent="0.25">
      <c r="A35" s="29">
        <v>33</v>
      </c>
      <c r="B35" s="30" t="s">
        <v>279</v>
      </c>
      <c r="C35" s="8" t="s">
        <v>280</v>
      </c>
      <c r="D35" s="8"/>
      <c r="E35" s="3">
        <v>113.6</v>
      </c>
      <c r="F35" s="3">
        <v>119.6</v>
      </c>
      <c r="G35" s="3">
        <f t="shared" si="0"/>
        <v>6</v>
      </c>
      <c r="H35" s="6">
        <f>SUM(F35-E35)*0.77</f>
        <v>4.62</v>
      </c>
    </row>
    <row r="36" spans="1:8" x14ac:dyDescent="0.25">
      <c r="A36" s="29">
        <v>34</v>
      </c>
      <c r="B36" s="30" t="s">
        <v>281</v>
      </c>
      <c r="C36" s="8" t="s">
        <v>282</v>
      </c>
      <c r="D36" s="8"/>
      <c r="E36" s="3">
        <v>439</v>
      </c>
      <c r="F36" s="3">
        <v>492</v>
      </c>
      <c r="G36" s="3">
        <f t="shared" si="0"/>
        <v>53</v>
      </c>
      <c r="H36" s="6">
        <f>SUM(F36-E36)*0.77</f>
        <v>40.81</v>
      </c>
    </row>
    <row r="37" spans="1:8" x14ac:dyDescent="0.25">
      <c r="A37" s="29">
        <v>35</v>
      </c>
      <c r="B37" s="30" t="s">
        <v>283</v>
      </c>
      <c r="C37" s="8" t="s">
        <v>284</v>
      </c>
      <c r="D37" s="8"/>
      <c r="E37" s="3">
        <v>281.5</v>
      </c>
      <c r="F37" s="3">
        <v>314.39999999999998</v>
      </c>
      <c r="G37" s="3">
        <f t="shared" si="0"/>
        <v>32.899999999999977</v>
      </c>
      <c r="H37" s="6">
        <f>SUM(F37-E37)*0.77</f>
        <v>25.332999999999984</v>
      </c>
    </row>
    <row r="38" spans="1:8" x14ac:dyDescent="0.25">
      <c r="A38" s="29">
        <v>36</v>
      </c>
      <c r="B38" s="31" t="s">
        <v>343</v>
      </c>
      <c r="C38" s="8" t="s">
        <v>285</v>
      </c>
      <c r="D38" s="8"/>
      <c r="E38" s="3">
        <v>184.5</v>
      </c>
      <c r="F38" s="3">
        <v>184.5</v>
      </c>
      <c r="G38" s="3">
        <f t="shared" si="0"/>
        <v>0</v>
      </c>
      <c r="H38" s="6">
        <f t="shared" ref="H38:H51" si="3">SUM(F38-E38)*0.77</f>
        <v>0</v>
      </c>
    </row>
    <row r="39" spans="1:8" x14ac:dyDescent="0.25">
      <c r="A39" s="29">
        <v>37</v>
      </c>
      <c r="B39" s="30" t="s">
        <v>286</v>
      </c>
      <c r="C39" s="8" t="s">
        <v>287</v>
      </c>
      <c r="D39" s="8"/>
      <c r="E39" s="3">
        <v>170.7</v>
      </c>
      <c r="F39" s="3">
        <v>200.8</v>
      </c>
      <c r="G39" s="3">
        <f t="shared" si="0"/>
        <v>30.100000000000023</v>
      </c>
      <c r="H39" s="6">
        <f t="shared" si="3"/>
        <v>23.177000000000017</v>
      </c>
    </row>
    <row r="40" spans="1:8" x14ac:dyDescent="0.25">
      <c r="A40" s="29">
        <v>38</v>
      </c>
      <c r="B40" s="29" t="s">
        <v>288</v>
      </c>
      <c r="C40" s="8" t="s">
        <v>289</v>
      </c>
      <c r="D40" s="8"/>
      <c r="E40" s="3">
        <v>103.1</v>
      </c>
      <c r="F40" s="3">
        <v>114.1</v>
      </c>
      <c r="G40" s="3">
        <f t="shared" si="0"/>
        <v>11</v>
      </c>
      <c r="H40" s="6">
        <f t="shared" si="3"/>
        <v>8.4700000000000006</v>
      </c>
    </row>
    <row r="41" spans="1:8" x14ac:dyDescent="0.25">
      <c r="A41" s="29">
        <v>39</v>
      </c>
      <c r="B41" s="29" t="s">
        <v>290</v>
      </c>
      <c r="C41" s="8" t="s">
        <v>291</v>
      </c>
      <c r="D41" s="8"/>
      <c r="E41" s="3">
        <v>139.30000000000001</v>
      </c>
      <c r="F41" s="3">
        <v>154.19999999999999</v>
      </c>
      <c r="G41" s="3">
        <f t="shared" si="0"/>
        <v>14.899999999999977</v>
      </c>
      <c r="H41" s="6">
        <f t="shared" si="3"/>
        <v>11.472999999999983</v>
      </c>
    </row>
    <row r="42" spans="1:8" x14ac:dyDescent="0.25">
      <c r="A42" s="29">
        <v>40</v>
      </c>
      <c r="B42" s="31" t="s">
        <v>292</v>
      </c>
      <c r="C42" s="8" t="s">
        <v>293</v>
      </c>
      <c r="D42" s="8"/>
      <c r="E42" s="3">
        <v>223.7</v>
      </c>
      <c r="F42" s="3">
        <v>292</v>
      </c>
      <c r="G42" s="3">
        <f t="shared" si="0"/>
        <v>68.300000000000011</v>
      </c>
      <c r="H42" s="6">
        <f t="shared" si="3"/>
        <v>52.591000000000008</v>
      </c>
    </row>
    <row r="43" spans="1:8" x14ac:dyDescent="0.25">
      <c r="A43" s="29">
        <v>41</v>
      </c>
      <c r="B43" s="30" t="s">
        <v>294</v>
      </c>
      <c r="C43" s="8" t="s">
        <v>295</v>
      </c>
      <c r="D43" s="8"/>
      <c r="E43" s="3"/>
      <c r="F43" s="3"/>
      <c r="G43" s="3">
        <f t="shared" si="0"/>
        <v>0</v>
      </c>
      <c r="H43" s="6">
        <f t="shared" si="3"/>
        <v>0</v>
      </c>
    </row>
    <row r="44" spans="1:8" x14ac:dyDescent="0.25">
      <c r="A44" s="29">
        <v>42</v>
      </c>
      <c r="B44" s="30" t="s">
        <v>296</v>
      </c>
      <c r="C44" s="8" t="s">
        <v>297</v>
      </c>
      <c r="D44" s="8"/>
      <c r="E44" s="3">
        <v>78.8</v>
      </c>
      <c r="F44" s="3">
        <v>237.8</v>
      </c>
      <c r="G44" s="3">
        <f t="shared" si="0"/>
        <v>159</v>
      </c>
      <c r="H44" s="6">
        <v>15</v>
      </c>
    </row>
    <row r="45" spans="1:8" x14ac:dyDescent="0.25">
      <c r="A45" s="29">
        <v>43</v>
      </c>
      <c r="B45" s="30" t="s">
        <v>298</v>
      </c>
      <c r="C45" s="8" t="s">
        <v>299</v>
      </c>
      <c r="D45" s="8"/>
      <c r="E45" s="3">
        <v>319.3</v>
      </c>
      <c r="F45" s="3">
        <v>368.2</v>
      </c>
      <c r="G45" s="3">
        <f t="shared" si="0"/>
        <v>48.899999999999977</v>
      </c>
      <c r="H45" s="6">
        <f t="shared" si="3"/>
        <v>37.652999999999984</v>
      </c>
    </row>
    <row r="46" spans="1:8" x14ac:dyDescent="0.25">
      <c r="A46" s="29">
        <v>44</v>
      </c>
      <c r="B46" s="30" t="s">
        <v>336</v>
      </c>
      <c r="C46" s="8" t="s">
        <v>300</v>
      </c>
      <c r="D46" s="8" t="s">
        <v>175</v>
      </c>
      <c r="E46" s="3">
        <v>65</v>
      </c>
      <c r="F46" s="3">
        <v>77.2</v>
      </c>
      <c r="G46" s="3">
        <f t="shared" si="0"/>
        <v>12.200000000000003</v>
      </c>
      <c r="H46" s="6">
        <f t="shared" si="3"/>
        <v>9.3940000000000019</v>
      </c>
    </row>
    <row r="47" spans="1:8" x14ac:dyDescent="0.25">
      <c r="A47" s="29">
        <v>45</v>
      </c>
      <c r="B47" s="31" t="s">
        <v>301</v>
      </c>
      <c r="C47" s="8" t="s">
        <v>302</v>
      </c>
      <c r="D47" s="8"/>
      <c r="E47" s="3">
        <v>215.3</v>
      </c>
      <c r="F47" s="3">
        <v>235.4</v>
      </c>
      <c r="G47" s="3">
        <f t="shared" si="0"/>
        <v>20.099999999999994</v>
      </c>
      <c r="H47" s="6">
        <f t="shared" si="3"/>
        <v>15.476999999999997</v>
      </c>
    </row>
    <row r="48" spans="1:8" x14ac:dyDescent="0.25">
      <c r="A48" s="29">
        <v>46</v>
      </c>
      <c r="B48" s="30" t="s">
        <v>303</v>
      </c>
      <c r="C48" s="8" t="s">
        <v>304</v>
      </c>
      <c r="D48" s="8"/>
      <c r="E48" s="3">
        <v>513.79999999999995</v>
      </c>
      <c r="F48" s="3">
        <v>569.29999999999995</v>
      </c>
      <c r="G48" s="3">
        <f t="shared" si="0"/>
        <v>55.5</v>
      </c>
      <c r="H48" s="6">
        <v>25</v>
      </c>
    </row>
    <row r="49" spans="1:8" x14ac:dyDescent="0.25">
      <c r="A49" s="29">
        <v>47</v>
      </c>
      <c r="B49" s="30" t="s">
        <v>305</v>
      </c>
      <c r="C49" s="8"/>
      <c r="D49" s="8"/>
      <c r="E49" s="3"/>
      <c r="F49" s="3"/>
      <c r="G49" s="3">
        <f t="shared" si="0"/>
        <v>0</v>
      </c>
      <c r="H49" s="6">
        <v>18</v>
      </c>
    </row>
    <row r="50" spans="1:8" x14ac:dyDescent="0.25">
      <c r="A50" s="29">
        <v>48</v>
      </c>
      <c r="B50" s="30" t="s">
        <v>306</v>
      </c>
      <c r="C50" s="8" t="s">
        <v>307</v>
      </c>
      <c r="D50" s="8" t="s">
        <v>308</v>
      </c>
      <c r="E50" s="3">
        <v>100.6</v>
      </c>
      <c r="F50" s="3">
        <v>111.9</v>
      </c>
      <c r="G50" s="3">
        <f t="shared" si="0"/>
        <v>11.300000000000011</v>
      </c>
      <c r="H50" s="6">
        <f t="shared" si="3"/>
        <v>8.7010000000000094</v>
      </c>
    </row>
    <row r="51" spans="1:8" x14ac:dyDescent="0.25">
      <c r="A51" s="29">
        <v>49</v>
      </c>
      <c r="B51" s="30" t="s">
        <v>309</v>
      </c>
      <c r="C51" s="8" t="s">
        <v>310</v>
      </c>
      <c r="D51" s="8" t="s">
        <v>311</v>
      </c>
      <c r="E51" s="3">
        <v>118.8</v>
      </c>
      <c r="F51" s="3">
        <v>133.19999999999999</v>
      </c>
      <c r="G51" s="3">
        <f t="shared" si="0"/>
        <v>14.399999999999991</v>
      </c>
      <c r="H51" s="6">
        <f t="shared" si="3"/>
        <v>11.087999999999994</v>
      </c>
    </row>
    <row r="52" spans="1:8" x14ac:dyDescent="0.25">
      <c r="A52" s="29">
        <v>50</v>
      </c>
      <c r="B52" s="31" t="s">
        <v>312</v>
      </c>
      <c r="C52" s="8" t="s">
        <v>313</v>
      </c>
      <c r="D52" s="8"/>
      <c r="E52" s="3">
        <v>252.8</v>
      </c>
      <c r="F52" s="3">
        <v>274.7</v>
      </c>
      <c r="G52" s="3">
        <f t="shared" si="0"/>
        <v>21.899999999999977</v>
      </c>
      <c r="H52" s="6">
        <f>SUM(F52-E52)*0.77</f>
        <v>16.862999999999982</v>
      </c>
    </row>
    <row r="53" spans="1:8" x14ac:dyDescent="0.25">
      <c r="A53" s="29">
        <v>51</v>
      </c>
      <c r="B53" s="30" t="s">
        <v>314</v>
      </c>
      <c r="C53" s="8" t="s">
        <v>315</v>
      </c>
      <c r="D53" s="8" t="s">
        <v>316</v>
      </c>
      <c r="E53" s="3">
        <v>285.5</v>
      </c>
      <c r="F53" s="3">
        <v>315.60000000000002</v>
      </c>
      <c r="G53" s="3">
        <f t="shared" si="0"/>
        <v>30.100000000000023</v>
      </c>
      <c r="H53" s="6">
        <f>SUM(F53-E53)*0.77</f>
        <v>23.177000000000017</v>
      </c>
    </row>
    <row r="54" spans="1:8" x14ac:dyDescent="0.25">
      <c r="A54" s="29">
        <v>52</v>
      </c>
      <c r="B54" s="30" t="s">
        <v>317</v>
      </c>
      <c r="C54" s="8" t="s">
        <v>318</v>
      </c>
      <c r="D54" s="8"/>
      <c r="E54" s="3">
        <v>132.69999999999999</v>
      </c>
      <c r="F54" s="3">
        <v>154.9</v>
      </c>
      <c r="G54" s="3">
        <f t="shared" si="0"/>
        <v>22.200000000000017</v>
      </c>
      <c r="H54" s="6">
        <f>SUM(F54-E54)*0.77</f>
        <v>17.094000000000012</v>
      </c>
    </row>
    <row r="55" spans="1:8" x14ac:dyDescent="0.25">
      <c r="A55" s="29">
        <v>53</v>
      </c>
      <c r="B55" s="30" t="s">
        <v>319</v>
      </c>
      <c r="C55" s="8"/>
      <c r="D55" s="8"/>
      <c r="E55" s="3">
        <v>202.7</v>
      </c>
      <c r="F55" s="3">
        <v>236.2</v>
      </c>
      <c r="G55" s="3">
        <f t="shared" si="0"/>
        <v>33.5</v>
      </c>
      <c r="H55" s="6">
        <f>SUM(F55-E55)*0.77</f>
        <v>25.795000000000002</v>
      </c>
    </row>
    <row r="56" spans="1:8" x14ac:dyDescent="0.25">
      <c r="A56" s="29">
        <v>54</v>
      </c>
      <c r="B56" s="30" t="s">
        <v>320</v>
      </c>
      <c r="C56" s="8" t="s">
        <v>321</v>
      </c>
      <c r="D56" s="8"/>
      <c r="E56" s="3">
        <v>107.2</v>
      </c>
      <c r="F56" s="3">
        <v>119</v>
      </c>
      <c r="G56" s="3">
        <f t="shared" si="0"/>
        <v>11.799999999999997</v>
      </c>
      <c r="H56" s="6">
        <f>SUM(F56-E56)*0.77</f>
        <v>9.0859999999999985</v>
      </c>
    </row>
    <row r="57" spans="1:8" x14ac:dyDescent="0.25">
      <c r="A57" s="29">
        <v>55</v>
      </c>
      <c r="B57" s="30" t="s">
        <v>322</v>
      </c>
      <c r="C57" s="8" t="s">
        <v>323</v>
      </c>
      <c r="D57" s="8" t="s">
        <v>226</v>
      </c>
      <c r="E57" s="3"/>
      <c r="F57" s="3"/>
      <c r="G57" s="3">
        <f t="shared" si="0"/>
        <v>0</v>
      </c>
      <c r="H57" s="6">
        <v>10</v>
      </c>
    </row>
    <row r="58" spans="1:8" x14ac:dyDescent="0.25">
      <c r="A58" s="29">
        <v>56</v>
      </c>
      <c r="B58" s="29"/>
      <c r="C58" s="8" t="s">
        <v>324</v>
      </c>
      <c r="D58" s="8"/>
      <c r="E58" s="3"/>
      <c r="F58" s="3"/>
      <c r="G58" s="3">
        <f t="shared" si="0"/>
        <v>0</v>
      </c>
      <c r="H58" s="6">
        <f>SUM(F58-E58)*0.77</f>
        <v>0</v>
      </c>
    </row>
    <row r="59" spans="1:8" ht="15.75" thickBot="1" x14ac:dyDescent="0.3">
      <c r="A59" s="29">
        <v>57</v>
      </c>
      <c r="B59" s="75" t="s">
        <v>325</v>
      </c>
      <c r="C59" s="53" t="s">
        <v>326</v>
      </c>
      <c r="D59" s="53" t="s">
        <v>226</v>
      </c>
      <c r="E59" s="76"/>
      <c r="F59" s="76"/>
      <c r="G59" s="3">
        <f t="shared" si="0"/>
        <v>0</v>
      </c>
      <c r="H59" s="6">
        <v>10</v>
      </c>
    </row>
    <row r="60" spans="1:8" ht="15.75" thickBot="1" x14ac:dyDescent="0.3">
      <c r="A60" s="45"/>
      <c r="B60" s="77" t="s">
        <v>327</v>
      </c>
      <c r="C60" s="78"/>
      <c r="D60" s="78"/>
      <c r="E60" s="79">
        <v>3168.7</v>
      </c>
      <c r="F60" s="79">
        <v>3479.2</v>
      </c>
      <c r="G60" s="3">
        <f t="shared" si="0"/>
        <v>310.5</v>
      </c>
      <c r="H60" s="74"/>
    </row>
    <row r="61" spans="1:8" ht="16.5" thickBot="1" x14ac:dyDescent="0.3">
      <c r="B61" s="72" t="s">
        <v>119</v>
      </c>
      <c r="C61" s="73"/>
      <c r="D61" s="73"/>
      <c r="E61" s="73"/>
      <c r="F61" s="73"/>
      <c r="G61" s="73"/>
      <c r="H61" s="85">
        <f>SUM(H3:H60)</f>
        <v>933.32</v>
      </c>
    </row>
  </sheetData>
  <conditionalFormatting sqref="B8">
    <cfRule type="expression" dxfId="8" priority="6">
      <formula>fila=CELL("fila")</formula>
    </cfRule>
  </conditionalFormatting>
  <conditionalFormatting sqref="B10:B15">
    <cfRule type="expression" dxfId="7" priority="5">
      <formula>fila=CELL("fila")</formula>
    </cfRule>
  </conditionalFormatting>
  <conditionalFormatting sqref="B17:B20">
    <cfRule type="expression" dxfId="6" priority="4">
      <formula>fila=CELL("fila")</formula>
    </cfRule>
  </conditionalFormatting>
  <conditionalFormatting sqref="B22:B23">
    <cfRule type="expression" dxfId="5" priority="3">
      <formula>fila=CELL("fila")</formula>
    </cfRule>
  </conditionalFormatting>
  <conditionalFormatting sqref="B25:B27">
    <cfRule type="expression" dxfId="4" priority="2">
      <formula>fila=CELL("fila")</formula>
    </cfRule>
  </conditionalFormatting>
  <conditionalFormatting sqref="B31:B37">
    <cfRule type="expression" dxfId="3" priority="1">
      <formula>fila=CELL("fila")</formula>
    </cfRule>
  </conditionalFormatting>
  <conditionalFormatting sqref="B39">
    <cfRule type="expression" dxfId="2" priority="9">
      <formula>fila=CELL("fila")</formula>
    </cfRule>
  </conditionalFormatting>
  <conditionalFormatting sqref="B45:B46">
    <cfRule type="expression" dxfId="1" priority="8">
      <formula>fila=CELL("fila")</formula>
    </cfRule>
  </conditionalFormatting>
  <conditionalFormatting sqref="B50">
    <cfRule type="expression" dxfId="0" priority="7">
      <formula>fila=CELL("fila")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 SETIEMBRE CON MEDIDORES SOCIOS</vt:lpstr>
      <vt:lpstr>socios sin medidores</vt:lpstr>
      <vt:lpstr>Hoja1</vt:lpstr>
      <vt:lpstr>INQUILINOS SETIEMBRE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PCMYM</cp:lastModifiedBy>
  <dcterms:created xsi:type="dcterms:W3CDTF">2025-09-16T23:33:07Z</dcterms:created>
  <dcterms:modified xsi:type="dcterms:W3CDTF">2025-10-20T21:38:31Z</dcterms:modified>
</cp:coreProperties>
</file>