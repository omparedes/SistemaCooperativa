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MYM\Documents\SECRETARIA\SECRETARIA - 2026\ARQUEO 2026\"/>
    </mc:Choice>
  </mc:AlternateContent>
  <xr:revisionPtr revIDLastSave="0" documentId="13_ncr:1_{5AF790DC-A155-4802-8B3C-26CA2F401DC1}" xr6:coauthVersionLast="47" xr6:coauthVersionMax="47" xr10:uidLastSave="{00000000-0000-0000-0000-000000000000}"/>
  <bookViews>
    <workbookView xWindow="-120" yWindow="-120" windowWidth="29040" windowHeight="15720" firstSheet="19" activeTab="27" xr2:uid="{4F7F0F92-537A-4D26-8F7B-97EA8D7E2938}"/>
  </bookViews>
  <sheets>
    <sheet name="01-02-2026" sheetId="2" r:id="rId1"/>
    <sheet name="02-02-2026" sheetId="1" r:id="rId2"/>
    <sheet name="03-02-2026" sheetId="3" r:id="rId3"/>
    <sheet name="04-02-2026" sheetId="5" r:id="rId4"/>
    <sheet name="05-02-2026" sheetId="6" r:id="rId5"/>
    <sheet name="06-02-2026" sheetId="7" r:id="rId6"/>
    <sheet name="07-02-2026" sheetId="8" r:id="rId7"/>
    <sheet name="08-02-2026" sheetId="9" r:id="rId8"/>
    <sheet name="09-02-2026" sheetId="10" r:id="rId9"/>
    <sheet name="10-02-2026" sheetId="11" r:id="rId10"/>
    <sheet name="11-02-2026" sheetId="12" r:id="rId11"/>
    <sheet name="12-02-2026" sheetId="13" r:id="rId12"/>
    <sheet name="13-02-2026" sheetId="14" r:id="rId13"/>
    <sheet name="14-02-2026" sheetId="15" r:id="rId14"/>
    <sheet name="15-02-2026" sheetId="16" r:id="rId15"/>
    <sheet name="16-02-2026" sheetId="17" r:id="rId16"/>
    <sheet name="17-02-2026" sheetId="18" r:id="rId17"/>
    <sheet name="18-02-2026" sheetId="20" r:id="rId18"/>
    <sheet name="19-02-2026" sheetId="21" r:id="rId19"/>
    <sheet name="20-02-2026" sheetId="22" r:id="rId20"/>
    <sheet name="21-02-2026" sheetId="23" r:id="rId21"/>
    <sheet name="22-02-2026" sheetId="24" r:id="rId22"/>
    <sheet name="23-02-2026" sheetId="25" r:id="rId23"/>
    <sheet name="24-02-2026" sheetId="26" r:id="rId24"/>
    <sheet name="25-02-2026" sheetId="27" r:id="rId25"/>
    <sheet name="26-02-2026" sheetId="28" r:id="rId26"/>
    <sheet name="27-02-2026" sheetId="29" r:id="rId27"/>
    <sheet name="28-02-2026" sheetId="30" r:id="rId28"/>
    <sheet name="ARQUEO RESUMIDO" sheetId="4" r:id="rId29"/>
  </sheets>
  <externalReferences>
    <externalReference r:id="rId3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2" i="4" l="1"/>
  <c r="B6" i="4" l="1"/>
  <c r="M5" i="4"/>
  <c r="B32" i="4"/>
  <c r="J32" i="4"/>
  <c r="J91" i="30" l="1"/>
  <c r="B96" i="30" s="1"/>
  <c r="I57" i="30"/>
  <c r="H57" i="30"/>
  <c r="G57" i="30"/>
  <c r="F57" i="30"/>
  <c r="E57" i="30"/>
  <c r="D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57" i="30" s="1"/>
  <c r="J37" i="30"/>
  <c r="J36" i="30"/>
  <c r="J35" i="30"/>
  <c r="J34" i="30"/>
  <c r="J29" i="30"/>
  <c r="J28" i="30"/>
  <c r="J27" i="30"/>
  <c r="J26" i="30"/>
  <c r="J30" i="30" s="1"/>
  <c r="I22" i="30"/>
  <c r="H22" i="30"/>
  <c r="G22" i="30"/>
  <c r="F22" i="30"/>
  <c r="E22" i="30"/>
  <c r="D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J6" i="30"/>
  <c r="J5" i="30"/>
  <c r="J4" i="30"/>
  <c r="L67" i="29"/>
  <c r="L69" i="29"/>
  <c r="O69" i="29"/>
  <c r="O70" i="29"/>
  <c r="O71" i="29"/>
  <c r="O72" i="29"/>
  <c r="O73" i="29"/>
  <c r="O74" i="29"/>
  <c r="O75" i="29"/>
  <c r="O76" i="29"/>
  <c r="J38" i="30" l="1"/>
  <c r="M29" i="30" s="1"/>
  <c r="J22" i="30"/>
  <c r="C32" i="4" s="1"/>
  <c r="D32" i="4" s="1"/>
  <c r="I32" i="4" s="1"/>
  <c r="K32" i="4" s="1"/>
  <c r="J60" i="30"/>
  <c r="J74" i="30" s="1"/>
  <c r="B95" i="30" s="1"/>
  <c r="B97" i="30" s="1"/>
  <c r="H31" i="4"/>
  <c r="E31" i="4" l="1"/>
  <c r="K42" i="29" l="1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" i="29"/>
  <c r="K6" i="29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4" i="29"/>
  <c r="J59" i="29"/>
  <c r="K41" i="29"/>
  <c r="F31" i="4" l="1"/>
  <c r="K95" i="29"/>
  <c r="B100" i="29" s="1"/>
  <c r="I59" i="29"/>
  <c r="H59" i="29"/>
  <c r="G59" i="29"/>
  <c r="F59" i="29"/>
  <c r="E59" i="29"/>
  <c r="D59" i="29"/>
  <c r="K35" i="29"/>
  <c r="K34" i="29"/>
  <c r="K33" i="29"/>
  <c r="K32" i="29"/>
  <c r="K27" i="29"/>
  <c r="K26" i="29"/>
  <c r="K25" i="29"/>
  <c r="K24" i="29"/>
  <c r="I20" i="29"/>
  <c r="H20" i="29"/>
  <c r="G20" i="29"/>
  <c r="F20" i="29"/>
  <c r="E20" i="29"/>
  <c r="D20" i="29"/>
  <c r="S17" i="4"/>
  <c r="N36" i="4"/>
  <c r="N29" i="4"/>
  <c r="K36" i="29" l="1"/>
  <c r="G31" i="4"/>
  <c r="K28" i="29"/>
  <c r="N27" i="29" s="1"/>
  <c r="J31" i="4"/>
  <c r="K20" i="29"/>
  <c r="C31" i="4" s="1"/>
  <c r="K59" i="29"/>
  <c r="B31" i="4" s="1"/>
  <c r="S18" i="4"/>
  <c r="H30" i="4"/>
  <c r="D31" i="4" l="1"/>
  <c r="I31" i="4" s="1"/>
  <c r="K31" i="4" s="1"/>
  <c r="K62" i="29"/>
  <c r="K76" i="29" s="1"/>
  <c r="B99" i="29" s="1"/>
  <c r="B101" i="29" s="1"/>
  <c r="K92" i="28"/>
  <c r="I106" i="27"/>
  <c r="N9" i="4"/>
  <c r="K44" i="28" l="1"/>
  <c r="K45" i="28"/>
  <c r="K46" i="28"/>
  <c r="K47" i="28"/>
  <c r="K48" i="28"/>
  <c r="K49" i="28"/>
  <c r="K50" i="28"/>
  <c r="K51" i="28"/>
  <c r="K52" i="28"/>
  <c r="K53" i="28"/>
  <c r="K54" i="28"/>
  <c r="K55" i="28"/>
  <c r="K56" i="28"/>
  <c r="J57" i="28"/>
  <c r="K43" i="28"/>
  <c r="B97" i="28" l="1"/>
  <c r="I57" i="28"/>
  <c r="H57" i="28"/>
  <c r="G57" i="28"/>
  <c r="F57" i="28"/>
  <c r="E57" i="28"/>
  <c r="D57" i="28"/>
  <c r="K37" i="28"/>
  <c r="K36" i="28"/>
  <c r="K35" i="28"/>
  <c r="K34" i="28"/>
  <c r="K38" i="28" s="1"/>
  <c r="K29" i="28"/>
  <c r="K28" i="28"/>
  <c r="K27" i="28"/>
  <c r="K26" i="28"/>
  <c r="I22" i="28"/>
  <c r="H22" i="28"/>
  <c r="G22" i="28"/>
  <c r="F22" i="28"/>
  <c r="E22" i="28"/>
  <c r="D22" i="28"/>
  <c r="K21" i="28"/>
  <c r="K20" i="28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K5" i="28"/>
  <c r="K4" i="28"/>
  <c r="J99" i="27"/>
  <c r="J22" i="26"/>
  <c r="J5" i="27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H29" i="4"/>
  <c r="J34" i="25"/>
  <c r="K22" i="28" l="1"/>
  <c r="C30" i="4" s="1"/>
  <c r="K30" i="28"/>
  <c r="N29" i="28" s="1"/>
  <c r="J30" i="4"/>
  <c r="K57" i="28"/>
  <c r="B30" i="4" s="1"/>
  <c r="J29" i="4"/>
  <c r="I64" i="27"/>
  <c r="H64" i="27"/>
  <c r="G64" i="27"/>
  <c r="F64" i="27"/>
  <c r="E64" i="27"/>
  <c r="D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4" i="27"/>
  <c r="J43" i="27"/>
  <c r="J42" i="27"/>
  <c r="J41" i="27"/>
  <c r="J36" i="27"/>
  <c r="J35" i="27"/>
  <c r="J34" i="27"/>
  <c r="J33" i="27"/>
  <c r="I29" i="27"/>
  <c r="H29" i="27"/>
  <c r="G29" i="27"/>
  <c r="F29" i="27"/>
  <c r="E29" i="27"/>
  <c r="D29" i="27"/>
  <c r="J4" i="27"/>
  <c r="J29" i="27" s="1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37" i="27" l="1"/>
  <c r="K60" i="28"/>
  <c r="K74" i="28" s="1"/>
  <c r="B96" i="28" s="1"/>
  <c r="B98" i="28" s="1"/>
  <c r="D30" i="4"/>
  <c r="I30" i="4" s="1"/>
  <c r="K30" i="4" s="1"/>
  <c r="J45" i="27"/>
  <c r="M36" i="27" s="1"/>
  <c r="B110" i="27"/>
  <c r="J64" i="27"/>
  <c r="B29" i="4" s="1"/>
  <c r="C29" i="4"/>
  <c r="D29" i="4" s="1"/>
  <c r="I29" i="4" s="1"/>
  <c r="K29" i="4" s="1"/>
  <c r="J67" i="27" l="1"/>
  <c r="J81" i="27" s="1"/>
  <c r="B109" i="27" s="1"/>
  <c r="B111" i="27" s="1"/>
  <c r="H28" i="4" l="1"/>
  <c r="H27" i="4"/>
  <c r="J92" i="26"/>
  <c r="J28" i="4" s="1"/>
  <c r="I57" i="26"/>
  <c r="H57" i="26"/>
  <c r="G57" i="26"/>
  <c r="F57" i="26"/>
  <c r="E57" i="26"/>
  <c r="D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J37" i="26"/>
  <c r="J36" i="26"/>
  <c r="J35" i="26"/>
  <c r="J34" i="26"/>
  <c r="J29" i="26"/>
  <c r="J28" i="26"/>
  <c r="J27" i="26"/>
  <c r="J26" i="26"/>
  <c r="J30" i="26" s="1"/>
  <c r="I22" i="26"/>
  <c r="H22" i="26"/>
  <c r="G22" i="26"/>
  <c r="F22" i="26"/>
  <c r="E22" i="26"/>
  <c r="D22" i="26"/>
  <c r="J4" i="26"/>
  <c r="C28" i="4" s="1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48" i="25"/>
  <c r="J49" i="25"/>
  <c r="J50" i="25"/>
  <c r="J51" i="25"/>
  <c r="J52" i="25"/>
  <c r="J53" i="25"/>
  <c r="J54" i="25"/>
  <c r="J55" i="25"/>
  <c r="J56" i="25"/>
  <c r="J57" i="25"/>
  <c r="J58" i="25"/>
  <c r="J59" i="25"/>
  <c r="J60" i="25"/>
  <c r="J61" i="25"/>
  <c r="J62" i="25"/>
  <c r="J63" i="25"/>
  <c r="J64" i="25"/>
  <c r="J65" i="25"/>
  <c r="J66" i="25"/>
  <c r="J67" i="25"/>
  <c r="J68" i="25"/>
  <c r="J69" i="25"/>
  <c r="J70" i="25"/>
  <c r="G22" i="25"/>
  <c r="B97" i="26" l="1"/>
  <c r="J38" i="26"/>
  <c r="M29" i="26" s="1"/>
  <c r="J57" i="26"/>
  <c r="J4" i="25"/>
  <c r="J27" i="25"/>
  <c r="J28" i="25"/>
  <c r="J29" i="25"/>
  <c r="J30" i="25"/>
  <c r="J31" i="25"/>
  <c r="J32" i="25"/>
  <c r="J33" i="25"/>
  <c r="J26" i="25"/>
  <c r="J60" i="26" l="1"/>
  <c r="J74" i="26" s="1"/>
  <c r="B96" i="26" s="1"/>
  <c r="B98" i="26" s="1"/>
  <c r="B28" i="4"/>
  <c r="D28" i="4" s="1"/>
  <c r="I28" i="4" s="1"/>
  <c r="K28" i="4" s="1"/>
  <c r="H25" i="4"/>
  <c r="H26" i="4"/>
  <c r="J26" i="4" l="1"/>
  <c r="C26" i="4"/>
  <c r="D26" i="4" s="1"/>
  <c r="I26" i="4" s="1"/>
  <c r="K26" i="4" s="1"/>
  <c r="B26" i="4"/>
  <c r="J105" i="25"/>
  <c r="I70" i="25"/>
  <c r="H70" i="25"/>
  <c r="G70" i="25"/>
  <c r="F70" i="25"/>
  <c r="E70" i="25"/>
  <c r="D70" i="25"/>
  <c r="J47" i="25"/>
  <c r="J41" i="25"/>
  <c r="J40" i="25"/>
  <c r="J39" i="25"/>
  <c r="J38" i="25"/>
  <c r="I22" i="25"/>
  <c r="H22" i="25"/>
  <c r="F22" i="25"/>
  <c r="E22" i="25"/>
  <c r="D22" i="25"/>
  <c r="B97" i="24"/>
  <c r="J92" i="24"/>
  <c r="I57" i="24"/>
  <c r="H57" i="24"/>
  <c r="G57" i="24"/>
  <c r="F57" i="24"/>
  <c r="E57" i="24"/>
  <c r="D57" i="24"/>
  <c r="J56" i="24"/>
  <c r="J55" i="24"/>
  <c r="J54" i="24"/>
  <c r="J53" i="24"/>
  <c r="J52" i="24"/>
  <c r="J51" i="24"/>
  <c r="J50" i="24"/>
  <c r="J49" i="24"/>
  <c r="J48" i="24"/>
  <c r="J47" i="24"/>
  <c r="J46" i="24"/>
  <c r="J45" i="24"/>
  <c r="J44" i="24"/>
  <c r="J43" i="24"/>
  <c r="J57" i="24" s="1"/>
  <c r="J37" i="24"/>
  <c r="J36" i="24"/>
  <c r="J35" i="24"/>
  <c r="J34" i="24"/>
  <c r="J38" i="24" s="1"/>
  <c r="J29" i="24"/>
  <c r="J28" i="24"/>
  <c r="J30" i="24" s="1"/>
  <c r="M29" i="24" s="1"/>
  <c r="J27" i="24"/>
  <c r="J26" i="24"/>
  <c r="I22" i="24"/>
  <c r="H22" i="24"/>
  <c r="G22" i="24"/>
  <c r="F22" i="24"/>
  <c r="E22" i="24"/>
  <c r="D22" i="24"/>
  <c r="J21" i="24"/>
  <c r="J20" i="24"/>
  <c r="J19" i="24"/>
  <c r="J18" i="24"/>
  <c r="J17" i="24"/>
  <c r="J16" i="24"/>
  <c r="J15" i="24"/>
  <c r="J14" i="24"/>
  <c r="J13" i="24"/>
  <c r="J12" i="24"/>
  <c r="J11" i="24"/>
  <c r="J10" i="24"/>
  <c r="J9" i="24"/>
  <c r="J8" i="24"/>
  <c r="J7" i="24"/>
  <c r="J6" i="24"/>
  <c r="J5" i="24"/>
  <c r="J4" i="24"/>
  <c r="J22" i="24" s="1"/>
  <c r="J60" i="24" s="1"/>
  <c r="J74" i="24" s="1"/>
  <c r="B96" i="24" s="1"/>
  <c r="B98" i="24" s="1"/>
  <c r="B25" i="4"/>
  <c r="J25" i="4"/>
  <c r="J22" i="25" l="1"/>
  <c r="C27" i="4" s="1"/>
  <c r="J42" i="25"/>
  <c r="B110" i="25"/>
  <c r="J27" i="4"/>
  <c r="J92" i="23"/>
  <c r="B97" i="23" s="1"/>
  <c r="I57" i="23"/>
  <c r="H57" i="23"/>
  <c r="G57" i="23"/>
  <c r="F57" i="23"/>
  <c r="E57" i="23"/>
  <c r="D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37" i="23"/>
  <c r="J36" i="23"/>
  <c r="J35" i="23"/>
  <c r="J34" i="23"/>
  <c r="J38" i="23" s="1"/>
  <c r="J29" i="23"/>
  <c r="J30" i="23" s="1"/>
  <c r="J28" i="23"/>
  <c r="J27" i="23"/>
  <c r="J26" i="23"/>
  <c r="I22" i="23"/>
  <c r="H22" i="23"/>
  <c r="G22" i="23"/>
  <c r="F22" i="23"/>
  <c r="E22" i="23"/>
  <c r="D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J6" i="23"/>
  <c r="J5" i="23"/>
  <c r="J4" i="23"/>
  <c r="J58" i="17"/>
  <c r="J46" i="17"/>
  <c r="J45" i="17"/>
  <c r="J44" i="17"/>
  <c r="M33" i="25" l="1"/>
  <c r="J73" i="25"/>
  <c r="J87" i="25" s="1"/>
  <c r="B109" i="25" s="1"/>
  <c r="B111" i="25" s="1"/>
  <c r="B27" i="4"/>
  <c r="D27" i="4" s="1"/>
  <c r="I27" i="4" s="1"/>
  <c r="K27" i="4" s="1"/>
  <c r="M29" i="23"/>
  <c r="J57" i="23"/>
  <c r="J22" i="23"/>
  <c r="C25" i="4" s="1"/>
  <c r="D25" i="4" s="1"/>
  <c r="I25" i="4" s="1"/>
  <c r="K25" i="4" s="1"/>
  <c r="F24" i="4"/>
  <c r="E24" i="4"/>
  <c r="J94" i="22"/>
  <c r="J60" i="23" l="1"/>
  <c r="J74" i="23" s="1"/>
  <c r="B96" i="23" s="1"/>
  <c r="B98" i="23" s="1"/>
  <c r="G24" i="4"/>
  <c r="J27" i="22" l="1"/>
  <c r="J28" i="22"/>
  <c r="J29" i="22"/>
  <c r="J30" i="22"/>
  <c r="J31" i="22"/>
  <c r="H24" i="4" l="1"/>
  <c r="I59" i="22" l="1"/>
  <c r="H59" i="22"/>
  <c r="G59" i="22"/>
  <c r="F59" i="22"/>
  <c r="E59" i="22"/>
  <c r="D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39" i="22"/>
  <c r="J38" i="22"/>
  <c r="J37" i="22"/>
  <c r="J36" i="22"/>
  <c r="J26" i="22"/>
  <c r="I22" i="22"/>
  <c r="H22" i="22"/>
  <c r="G22" i="22"/>
  <c r="F22" i="22"/>
  <c r="E22" i="22"/>
  <c r="D22" i="22"/>
  <c r="J21" i="22"/>
  <c r="J20" i="22"/>
  <c r="J19" i="22"/>
  <c r="J18" i="22"/>
  <c r="J17" i="22"/>
  <c r="J16" i="22"/>
  <c r="J15" i="22"/>
  <c r="J14" i="22"/>
  <c r="J13" i="22"/>
  <c r="J12" i="22"/>
  <c r="J11" i="22"/>
  <c r="J10" i="22"/>
  <c r="J9" i="22"/>
  <c r="J8" i="22"/>
  <c r="J7" i="22"/>
  <c r="J6" i="22"/>
  <c r="J5" i="22"/>
  <c r="J4" i="22"/>
  <c r="H23" i="4"/>
  <c r="J22" i="22" l="1"/>
  <c r="C24" i="4" s="1"/>
  <c r="J40" i="22"/>
  <c r="B99" i="22"/>
  <c r="J24" i="4"/>
  <c r="J32" i="22"/>
  <c r="J59" i="22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M31" i="22" l="1"/>
  <c r="J62" i="22"/>
  <c r="J76" i="22" s="1"/>
  <c r="B98" i="22" s="1"/>
  <c r="B100" i="22" s="1"/>
  <c r="B24" i="4"/>
  <c r="D24" i="4" s="1"/>
  <c r="I24" i="4" s="1"/>
  <c r="K24" i="4" s="1"/>
  <c r="W15" i="4"/>
  <c r="W5" i="4"/>
  <c r="W6" i="4"/>
  <c r="W7" i="4"/>
  <c r="W8" i="4"/>
  <c r="W9" i="4"/>
  <c r="W10" i="4"/>
  <c r="W11" i="4"/>
  <c r="W12" i="4"/>
  <c r="W13" i="4"/>
  <c r="W14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J90" i="21" l="1"/>
  <c r="I57" i="21"/>
  <c r="H57" i="21"/>
  <c r="G57" i="21"/>
  <c r="F57" i="21"/>
  <c r="E57" i="21"/>
  <c r="D57" i="21"/>
  <c r="J43" i="21"/>
  <c r="J57" i="21" s="1"/>
  <c r="B23" i="4" s="1"/>
  <c r="J37" i="21"/>
  <c r="J36" i="21"/>
  <c r="J35" i="21"/>
  <c r="J34" i="21"/>
  <c r="J29" i="21"/>
  <c r="J28" i="21"/>
  <c r="J27" i="21"/>
  <c r="J26" i="21"/>
  <c r="J30" i="21" s="1"/>
  <c r="I22" i="21"/>
  <c r="H22" i="21"/>
  <c r="G22" i="21"/>
  <c r="F22" i="21"/>
  <c r="E22" i="21"/>
  <c r="D22" i="21"/>
  <c r="J4" i="21"/>
  <c r="M38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38" i="21" l="1"/>
  <c r="M29" i="21"/>
  <c r="B95" i="21"/>
  <c r="J23" i="4"/>
  <c r="J22" i="21"/>
  <c r="H22" i="4"/>
  <c r="J60" i="21" l="1"/>
  <c r="J74" i="21" s="1"/>
  <c r="B94" i="21" s="1"/>
  <c r="B96" i="21" s="1"/>
  <c r="C23" i="4"/>
  <c r="D23" i="4" s="1"/>
  <c r="I23" i="4" s="1"/>
  <c r="K23" i="4" s="1"/>
  <c r="J44" i="20"/>
  <c r="J45" i="20"/>
  <c r="J46" i="20"/>
  <c r="J47" i="20"/>
  <c r="J48" i="20"/>
  <c r="J49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E29" i="20" l="1"/>
  <c r="F29" i="20"/>
  <c r="G29" i="20"/>
  <c r="H29" i="20"/>
  <c r="I29" i="20"/>
  <c r="J34" i="20" l="1"/>
  <c r="J35" i="20"/>
  <c r="J36" i="20"/>
  <c r="J37" i="20"/>
  <c r="J38" i="20"/>
  <c r="J109" i="20" l="1"/>
  <c r="I74" i="20"/>
  <c r="H74" i="20"/>
  <c r="G74" i="20"/>
  <c r="F74" i="20"/>
  <c r="E74" i="20"/>
  <c r="D74" i="20"/>
  <c r="J55" i="20"/>
  <c r="J43" i="20"/>
  <c r="J33" i="20"/>
  <c r="D29" i="20"/>
  <c r="J4" i="20"/>
  <c r="H21" i="4"/>
  <c r="B114" i="20" l="1"/>
  <c r="J22" i="4"/>
  <c r="J50" i="20"/>
  <c r="J39" i="20"/>
  <c r="J29" i="20"/>
  <c r="C22" i="4" s="1"/>
  <c r="J74" i="20"/>
  <c r="B22" i="4" s="1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D22" i="4" l="1"/>
  <c r="I22" i="4" s="1"/>
  <c r="K22" i="4" s="1"/>
  <c r="J77" i="20"/>
  <c r="J91" i="20" s="1"/>
  <c r="B113" i="20" s="1"/>
  <c r="B115" i="20" s="1"/>
  <c r="J93" i="18"/>
  <c r="I61" i="18"/>
  <c r="H61" i="18"/>
  <c r="G61" i="18"/>
  <c r="F61" i="18"/>
  <c r="E61" i="18"/>
  <c r="D61" i="18"/>
  <c r="J45" i="18"/>
  <c r="J39" i="18"/>
  <c r="J36" i="18"/>
  <c r="J35" i="18"/>
  <c r="J34" i="18"/>
  <c r="J29" i="18"/>
  <c r="J28" i="18"/>
  <c r="J27" i="18"/>
  <c r="J26" i="18"/>
  <c r="I22" i="18"/>
  <c r="H22" i="18"/>
  <c r="G22" i="18"/>
  <c r="F22" i="18"/>
  <c r="E22" i="18"/>
  <c r="D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H20" i="4"/>
  <c r="J30" i="18" l="1"/>
  <c r="J40" i="18"/>
  <c r="B98" i="18"/>
  <c r="J21" i="4"/>
  <c r="J22" i="18"/>
  <c r="C21" i="4" s="1"/>
  <c r="J61" i="18"/>
  <c r="B21" i="4" s="1"/>
  <c r="J48" i="17"/>
  <c r="J49" i="17"/>
  <c r="J50" i="17"/>
  <c r="J51" i="17"/>
  <c r="J52" i="17"/>
  <c r="J53" i="17"/>
  <c r="J54" i="17"/>
  <c r="J55" i="17"/>
  <c r="J56" i="17"/>
  <c r="J57" i="17"/>
  <c r="M29" i="18" l="1"/>
  <c r="D21" i="4"/>
  <c r="I21" i="4" s="1"/>
  <c r="K21" i="4" s="1"/>
  <c r="J64" i="18"/>
  <c r="J78" i="18" s="1"/>
  <c r="B97" i="18" s="1"/>
  <c r="B99" i="18" s="1"/>
  <c r="H19" i="4"/>
  <c r="J23" i="15" l="1"/>
  <c r="H18" i="4" l="1"/>
  <c r="J19" i="4" l="1"/>
  <c r="C19" i="4"/>
  <c r="B19" i="4"/>
  <c r="J90" i="17"/>
  <c r="I58" i="17"/>
  <c r="H58" i="17"/>
  <c r="G58" i="17"/>
  <c r="F58" i="17"/>
  <c r="E58" i="17"/>
  <c r="D58" i="17"/>
  <c r="J47" i="17"/>
  <c r="J38" i="17"/>
  <c r="J35" i="17"/>
  <c r="J34" i="17"/>
  <c r="J33" i="17"/>
  <c r="J28" i="17"/>
  <c r="J27" i="17"/>
  <c r="J26" i="17"/>
  <c r="J25" i="17"/>
  <c r="I21" i="17"/>
  <c r="H21" i="17"/>
  <c r="G21" i="17"/>
  <c r="F21" i="17"/>
  <c r="E21" i="17"/>
  <c r="D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92" i="16"/>
  <c r="B97" i="16" s="1"/>
  <c r="I57" i="16"/>
  <c r="H57" i="16"/>
  <c r="G57" i="16"/>
  <c r="F57" i="16"/>
  <c r="E57" i="16"/>
  <c r="D57" i="16"/>
  <c r="J56" i="16"/>
  <c r="J55" i="16"/>
  <c r="J54" i="16"/>
  <c r="J53" i="16"/>
  <c r="J52" i="16"/>
  <c r="J51" i="16"/>
  <c r="J50" i="16"/>
  <c r="J49" i="16"/>
  <c r="J48" i="16"/>
  <c r="J47" i="16"/>
  <c r="J46" i="16"/>
  <c r="J57" i="16" s="1"/>
  <c r="J45" i="16"/>
  <c r="J44" i="16"/>
  <c r="J43" i="16"/>
  <c r="J37" i="16"/>
  <c r="J36" i="16"/>
  <c r="J35" i="16"/>
  <c r="J34" i="16"/>
  <c r="J38" i="16" s="1"/>
  <c r="J29" i="16"/>
  <c r="J28" i="16"/>
  <c r="J30" i="16" s="1"/>
  <c r="J27" i="16"/>
  <c r="J26" i="16"/>
  <c r="I22" i="16"/>
  <c r="H22" i="16"/>
  <c r="G22" i="16"/>
  <c r="F22" i="16"/>
  <c r="E22" i="16"/>
  <c r="D22" i="16"/>
  <c r="J21" i="16"/>
  <c r="J20" i="16"/>
  <c r="J19" i="16"/>
  <c r="J18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4" i="16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92" i="15"/>
  <c r="J18" i="4"/>
  <c r="B18" i="4"/>
  <c r="J39" i="17" l="1"/>
  <c r="B95" i="17"/>
  <c r="J20" i="4"/>
  <c r="J29" i="17"/>
  <c r="B20" i="4"/>
  <c r="J21" i="17"/>
  <c r="C20" i="4" s="1"/>
  <c r="C18" i="4"/>
  <c r="D19" i="4"/>
  <c r="I19" i="4" s="1"/>
  <c r="K19" i="4" s="1"/>
  <c r="J61" i="17"/>
  <c r="J75" i="17" s="1"/>
  <c r="B94" i="17" s="1"/>
  <c r="J22" i="16"/>
  <c r="J60" i="16"/>
  <c r="J74" i="16" s="1"/>
  <c r="B96" i="16" s="1"/>
  <c r="B98" i="16" s="1"/>
  <c r="M29" i="16"/>
  <c r="B97" i="15"/>
  <c r="I58" i="15"/>
  <c r="H58" i="15"/>
  <c r="G58" i="15"/>
  <c r="F58" i="15"/>
  <c r="E58" i="15"/>
  <c r="D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38" i="15"/>
  <c r="J37" i="15"/>
  <c r="J36" i="15"/>
  <c r="J35" i="15"/>
  <c r="J30" i="15"/>
  <c r="J29" i="15"/>
  <c r="J28" i="15"/>
  <c r="J27" i="15"/>
  <c r="I23" i="15"/>
  <c r="H23" i="15"/>
  <c r="G23" i="15"/>
  <c r="F23" i="15"/>
  <c r="E23" i="15"/>
  <c r="D23" i="15"/>
  <c r="J4" i="15"/>
  <c r="D18" i="4"/>
  <c r="I18" i="4" s="1"/>
  <c r="K18" i="4" s="1"/>
  <c r="H17" i="4"/>
  <c r="D20" i="4" l="1"/>
  <c r="I20" i="4" s="1"/>
  <c r="K20" i="4" s="1"/>
  <c r="M28" i="17"/>
  <c r="B96" i="17"/>
  <c r="J31" i="15"/>
  <c r="M30" i="15" s="1"/>
  <c r="J58" i="15"/>
  <c r="J39" i="15"/>
  <c r="J61" i="15"/>
  <c r="J75" i="15" s="1"/>
  <c r="B96" i="15" s="1"/>
  <c r="B98" i="15" s="1"/>
  <c r="F17" i="4"/>
  <c r="E17" i="4"/>
  <c r="O66" i="14"/>
  <c r="O67" i="14"/>
  <c r="O68" i="14"/>
  <c r="O69" i="14"/>
  <c r="O70" i="14"/>
  <c r="O71" i="14"/>
  <c r="O65" i="14"/>
  <c r="O72" i="14" s="1"/>
  <c r="K66" i="14"/>
  <c r="K68" i="14" s="1"/>
  <c r="G17" i="4" l="1"/>
  <c r="S16" i="4"/>
  <c r="J45" i="14" l="1"/>
  <c r="J46" i="14"/>
  <c r="J47" i="14"/>
  <c r="J48" i="14"/>
  <c r="J49" i="14"/>
  <c r="J50" i="14"/>
  <c r="J51" i="14"/>
  <c r="J52" i="14"/>
  <c r="J53" i="14"/>
  <c r="J54" i="14"/>
  <c r="J55" i="14"/>
  <c r="J56" i="14"/>
  <c r="J57" i="14"/>
  <c r="J93" i="14" l="1"/>
  <c r="I58" i="14"/>
  <c r="H58" i="14"/>
  <c r="G58" i="14"/>
  <c r="F58" i="14"/>
  <c r="E58" i="14"/>
  <c r="D58" i="14"/>
  <c r="J44" i="14"/>
  <c r="J38" i="14"/>
  <c r="J37" i="14"/>
  <c r="J36" i="14"/>
  <c r="J35" i="14"/>
  <c r="J39" i="14" s="1"/>
  <c r="J30" i="14"/>
  <c r="J29" i="14"/>
  <c r="J28" i="14"/>
  <c r="J27" i="14"/>
  <c r="J31" i="14" s="1"/>
  <c r="I23" i="14"/>
  <c r="H23" i="14"/>
  <c r="G23" i="14"/>
  <c r="F23" i="14"/>
  <c r="E23" i="14"/>
  <c r="D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8" i="14"/>
  <c r="J7" i="14"/>
  <c r="J6" i="14"/>
  <c r="J5" i="14"/>
  <c r="J4" i="14"/>
  <c r="J57" i="13"/>
  <c r="J43" i="13"/>
  <c r="M30" i="14" l="1"/>
  <c r="B98" i="14"/>
  <c r="J17" i="4"/>
  <c r="J23" i="14"/>
  <c r="C17" i="4" s="1"/>
  <c r="J58" i="14"/>
  <c r="H16" i="4"/>
  <c r="J61" i="14" l="1"/>
  <c r="J75" i="14" s="1"/>
  <c r="B97" i="14" s="1"/>
  <c r="B99" i="14" s="1"/>
  <c r="B17" i="4"/>
  <c r="D17" i="4" s="1"/>
  <c r="I17" i="4" s="1"/>
  <c r="K17" i="4" s="1"/>
  <c r="J92" i="13"/>
  <c r="I57" i="13"/>
  <c r="H57" i="13"/>
  <c r="G57" i="13"/>
  <c r="F57" i="13"/>
  <c r="E57" i="13"/>
  <c r="D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37" i="13"/>
  <c r="J36" i="13"/>
  <c r="J35" i="13"/>
  <c r="J34" i="13"/>
  <c r="J38" i="13" s="1"/>
  <c r="J29" i="13"/>
  <c r="J28" i="13"/>
  <c r="J27" i="13"/>
  <c r="J26" i="13"/>
  <c r="J30" i="13" s="1"/>
  <c r="M29" i="13" s="1"/>
  <c r="I22" i="13"/>
  <c r="H22" i="13"/>
  <c r="G22" i="13"/>
  <c r="F22" i="13"/>
  <c r="E22" i="13"/>
  <c r="D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22" i="13" s="1"/>
  <c r="J7" i="13"/>
  <c r="J6" i="13"/>
  <c r="J5" i="13"/>
  <c r="J4" i="13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45" i="12"/>
  <c r="J46" i="12"/>
  <c r="J47" i="12"/>
  <c r="J48" i="12"/>
  <c r="J49" i="12"/>
  <c r="J50" i="12"/>
  <c r="J51" i="12"/>
  <c r="H15" i="4"/>
  <c r="C16" i="4" l="1"/>
  <c r="B97" i="13"/>
  <c r="J16" i="4"/>
  <c r="B16" i="4"/>
  <c r="D16" i="4" s="1"/>
  <c r="I16" i="4" s="1"/>
  <c r="K16" i="4" s="1"/>
  <c r="J33" i="12"/>
  <c r="J34" i="12"/>
  <c r="J35" i="12"/>
  <c r="J36" i="12"/>
  <c r="J37" i="12"/>
  <c r="J38" i="12"/>
  <c r="J39" i="12"/>
  <c r="J30" i="12"/>
  <c r="J31" i="12"/>
  <c r="J32" i="12"/>
  <c r="J60" i="13" l="1"/>
  <c r="J74" i="13" s="1"/>
  <c r="B96" i="13" s="1"/>
  <c r="B98" i="13" s="1"/>
  <c r="H14" i="4"/>
  <c r="J119" i="12"/>
  <c r="I84" i="12"/>
  <c r="H84" i="12"/>
  <c r="G84" i="12"/>
  <c r="F84" i="12"/>
  <c r="E84" i="12"/>
  <c r="D84" i="12"/>
  <c r="J57" i="12"/>
  <c r="J84" i="12" s="1"/>
  <c r="J44" i="12"/>
  <c r="J29" i="12"/>
  <c r="I25" i="12"/>
  <c r="H25" i="12"/>
  <c r="G25" i="12"/>
  <c r="F25" i="12"/>
  <c r="E25" i="12"/>
  <c r="D25" i="12"/>
  <c r="J4" i="12"/>
  <c r="B124" i="12" l="1"/>
  <c r="J15" i="4"/>
  <c r="J25" i="12"/>
  <c r="C15" i="4" s="1"/>
  <c r="J40" i="12"/>
  <c r="J52" i="12"/>
  <c r="M39" i="12" l="1"/>
  <c r="J87" i="12"/>
  <c r="J101" i="12" s="1"/>
  <c r="B123" i="12" s="1"/>
  <c r="B125" i="12" s="1"/>
  <c r="B15" i="4"/>
  <c r="D15" i="4" s="1"/>
  <c r="I15" i="4" l="1"/>
  <c r="K15" i="4" s="1"/>
  <c r="J37" i="11"/>
  <c r="J38" i="11"/>
  <c r="J39" i="11"/>
  <c r="J40" i="11"/>
  <c r="J41" i="11"/>
  <c r="J42" i="11"/>
  <c r="J43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9" i="11"/>
  <c r="J30" i="11"/>
  <c r="J31" i="11"/>
  <c r="J98" i="11" l="1"/>
  <c r="I63" i="11"/>
  <c r="H63" i="11"/>
  <c r="G63" i="11"/>
  <c r="F63" i="11"/>
  <c r="E63" i="11"/>
  <c r="D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36" i="11"/>
  <c r="J28" i="11"/>
  <c r="I24" i="11"/>
  <c r="H24" i="11"/>
  <c r="G24" i="11"/>
  <c r="F24" i="11"/>
  <c r="E24" i="11"/>
  <c r="D24" i="11"/>
  <c r="J4" i="11"/>
  <c r="J24" i="11" s="1"/>
  <c r="C14" i="4" s="1"/>
  <c r="J32" i="11" l="1"/>
  <c r="J44" i="11"/>
  <c r="B103" i="11"/>
  <c r="J14" i="4"/>
  <c r="J63" i="11"/>
  <c r="B14" i="4" s="1"/>
  <c r="D14" i="4" s="1"/>
  <c r="I14" i="4" s="1"/>
  <c r="H13" i="4"/>
  <c r="K14" i="4" l="1"/>
  <c r="M31" i="11"/>
  <c r="J66" i="11"/>
  <c r="J80" i="11" s="1"/>
  <c r="B102" i="11" s="1"/>
  <c r="B104" i="11" s="1"/>
  <c r="H12" i="4"/>
  <c r="H11" i="4"/>
  <c r="E23" i="10" l="1"/>
  <c r="F23" i="10"/>
  <c r="G23" i="10"/>
  <c r="H23" i="10"/>
  <c r="I23" i="10"/>
  <c r="D23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4" i="10"/>
  <c r="J23" i="10" l="1"/>
  <c r="C13" i="4" s="1"/>
  <c r="C12" i="4"/>
  <c r="D12" i="4" s="1"/>
  <c r="J23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F23" i="8"/>
  <c r="B97" i="9"/>
  <c r="J92" i="9"/>
  <c r="I57" i="9"/>
  <c r="H57" i="9"/>
  <c r="G57" i="9"/>
  <c r="F57" i="9"/>
  <c r="E57" i="9"/>
  <c r="D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57" i="9" s="1"/>
  <c r="J43" i="9"/>
  <c r="J37" i="9"/>
  <c r="J36" i="9"/>
  <c r="J35" i="9"/>
  <c r="J34" i="9"/>
  <c r="J38" i="9" s="1"/>
  <c r="J29" i="9"/>
  <c r="J28" i="9"/>
  <c r="J27" i="9"/>
  <c r="J26" i="9"/>
  <c r="J30" i="9" s="1"/>
  <c r="M29" i="9" s="1"/>
  <c r="I22" i="9"/>
  <c r="H22" i="9"/>
  <c r="G22" i="9"/>
  <c r="F22" i="9"/>
  <c r="E22" i="9"/>
  <c r="D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91" i="10"/>
  <c r="I58" i="10"/>
  <c r="H58" i="10"/>
  <c r="G58" i="10"/>
  <c r="F58" i="10"/>
  <c r="E58" i="10"/>
  <c r="D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38" i="10"/>
  <c r="J37" i="10"/>
  <c r="J36" i="10"/>
  <c r="J35" i="10"/>
  <c r="J39" i="10" s="1"/>
  <c r="J30" i="10"/>
  <c r="J29" i="10"/>
  <c r="J28" i="10"/>
  <c r="J27" i="10"/>
  <c r="J12" i="4"/>
  <c r="J11" i="4"/>
  <c r="B11" i="4"/>
  <c r="B12" i="4"/>
  <c r="J10" i="4"/>
  <c r="J93" i="8"/>
  <c r="B98" i="8" s="1"/>
  <c r="I58" i="8"/>
  <c r="H58" i="8"/>
  <c r="G58" i="8"/>
  <c r="F58" i="8"/>
  <c r="E58" i="8"/>
  <c r="D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38" i="8"/>
  <c r="J37" i="8"/>
  <c r="J36" i="8"/>
  <c r="J35" i="8"/>
  <c r="J39" i="8" s="1"/>
  <c r="J30" i="8"/>
  <c r="J29" i="8"/>
  <c r="J28" i="8"/>
  <c r="J27" i="8"/>
  <c r="I23" i="8"/>
  <c r="H23" i="8"/>
  <c r="G23" i="8"/>
  <c r="E23" i="8"/>
  <c r="D23" i="8"/>
  <c r="J4" i="8"/>
  <c r="H10" i="4"/>
  <c r="B96" i="10" l="1"/>
  <c r="J13" i="4"/>
  <c r="J58" i="10"/>
  <c r="B13" i="4" s="1"/>
  <c r="J61" i="10"/>
  <c r="J75" i="10" s="1"/>
  <c r="B95" i="10" s="1"/>
  <c r="J31" i="10"/>
  <c r="M30" i="10" s="1"/>
  <c r="D13" i="4"/>
  <c r="I13" i="4" s="1"/>
  <c r="I12" i="4"/>
  <c r="K12" i="4" s="1"/>
  <c r="J22" i="9"/>
  <c r="J60" i="9" s="1"/>
  <c r="J74" i="9" s="1"/>
  <c r="B96" i="9" s="1"/>
  <c r="B98" i="9" s="1"/>
  <c r="J31" i="8"/>
  <c r="C11" i="4"/>
  <c r="D11" i="4" s="1"/>
  <c r="I11" i="4" s="1"/>
  <c r="K11" i="4" s="1"/>
  <c r="J58" i="8"/>
  <c r="M30" i="8"/>
  <c r="O74" i="7"/>
  <c r="O70" i="7"/>
  <c r="O71" i="7"/>
  <c r="O72" i="7"/>
  <c r="O73" i="7"/>
  <c r="O69" i="7"/>
  <c r="K68" i="7"/>
  <c r="K66" i="7"/>
  <c r="K13" i="4" l="1"/>
  <c r="B97" i="10"/>
  <c r="J61" i="8"/>
  <c r="J75" i="8" s="1"/>
  <c r="B97" i="8" s="1"/>
  <c r="B99" i="8" s="1"/>
  <c r="E23" i="7"/>
  <c r="F23" i="7"/>
  <c r="G23" i="7"/>
  <c r="H23" i="7"/>
  <c r="I23" i="7"/>
  <c r="D23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4" i="7"/>
  <c r="J23" i="7" l="1"/>
  <c r="F10" i="4"/>
  <c r="E10" i="4"/>
  <c r="J93" i="7"/>
  <c r="B98" i="7" s="1"/>
  <c r="I58" i="7"/>
  <c r="H58" i="7"/>
  <c r="G58" i="7"/>
  <c r="F58" i="7"/>
  <c r="E58" i="7"/>
  <c r="D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38" i="7"/>
  <c r="J37" i="7"/>
  <c r="J36" i="7"/>
  <c r="J35" i="7"/>
  <c r="J39" i="7" s="1"/>
  <c r="J30" i="7"/>
  <c r="J29" i="7"/>
  <c r="J28" i="7"/>
  <c r="J27" i="7"/>
  <c r="J31" i="7" s="1"/>
  <c r="J23" i="6"/>
  <c r="S9" i="4"/>
  <c r="M30" i="7" l="1"/>
  <c r="G10" i="4"/>
  <c r="J58" i="7"/>
  <c r="B10" i="4" s="1"/>
  <c r="C10" i="4"/>
  <c r="I101" i="6"/>
  <c r="D10" i="4" l="1"/>
  <c r="I10" i="4" s="1"/>
  <c r="K10" i="4" s="1"/>
  <c r="J61" i="7"/>
  <c r="J75" i="7" s="1"/>
  <c r="B97" i="7" s="1"/>
  <c r="B99" i="7" s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H9" i="4" l="1"/>
  <c r="J4" i="6" l="1"/>
  <c r="J92" i="6" l="1"/>
  <c r="I58" i="6"/>
  <c r="H58" i="6"/>
  <c r="G58" i="6"/>
  <c r="F58" i="6"/>
  <c r="E58" i="6"/>
  <c r="D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38" i="6"/>
  <c r="J37" i="6"/>
  <c r="J36" i="6"/>
  <c r="J35" i="6"/>
  <c r="J30" i="6"/>
  <c r="J29" i="6"/>
  <c r="J28" i="6"/>
  <c r="J27" i="6"/>
  <c r="I23" i="6"/>
  <c r="H23" i="6"/>
  <c r="G23" i="6"/>
  <c r="F23" i="6"/>
  <c r="E23" i="6"/>
  <c r="D23" i="6"/>
  <c r="H8" i="4"/>
  <c r="J31" i="6" l="1"/>
  <c r="J39" i="6"/>
  <c r="J58" i="6"/>
  <c r="B9" i="4" s="1"/>
  <c r="B105" i="6"/>
  <c r="J9" i="4"/>
  <c r="C9" i="4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124" i="5"/>
  <c r="J53" i="5"/>
  <c r="J54" i="5"/>
  <c r="J55" i="5"/>
  <c r="J56" i="5"/>
  <c r="J57" i="5"/>
  <c r="J58" i="5"/>
  <c r="J59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M30" i="6" l="1"/>
  <c r="J61" i="6"/>
  <c r="J75" i="6" s="1"/>
  <c r="B104" i="6" s="1"/>
  <c r="B106" i="6" s="1"/>
  <c r="D9" i="4"/>
  <c r="I9" i="4" s="1"/>
  <c r="K9" i="4" s="1"/>
  <c r="E27" i="5"/>
  <c r="F27" i="5"/>
  <c r="G27" i="5"/>
  <c r="H27" i="5"/>
  <c r="I27" i="5"/>
  <c r="D27" i="5"/>
  <c r="J4" i="5"/>
  <c r="J27" i="5" s="1"/>
  <c r="B129" i="5" l="1"/>
  <c r="I89" i="5"/>
  <c r="H89" i="5"/>
  <c r="G89" i="5"/>
  <c r="F89" i="5"/>
  <c r="E89" i="5"/>
  <c r="D89" i="5"/>
  <c r="J65" i="5"/>
  <c r="J52" i="5"/>
  <c r="J31" i="5"/>
  <c r="J48" i="5" s="1"/>
  <c r="H7" i="4"/>
  <c r="J60" i="5" l="1"/>
  <c r="M47" i="5" s="1"/>
  <c r="C8" i="4"/>
  <c r="J8" i="4"/>
  <c r="J89" i="5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7" i="3"/>
  <c r="J28" i="3"/>
  <c r="J29" i="3"/>
  <c r="J30" i="3"/>
  <c r="J92" i="5" l="1"/>
  <c r="J106" i="5" s="1"/>
  <c r="B128" i="5" s="1"/>
  <c r="B130" i="5" s="1"/>
  <c r="B8" i="4"/>
  <c r="D8" i="4" s="1"/>
  <c r="I8" i="4" s="1"/>
  <c r="K8" i="4" s="1"/>
  <c r="J6" i="4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8" i="1" s="1"/>
  <c r="J21" i="1"/>
  <c r="J22" i="1"/>
  <c r="J23" i="1"/>
  <c r="J24" i="1"/>
  <c r="J25" i="1"/>
  <c r="J26" i="1"/>
  <c r="J27" i="1"/>
  <c r="H6" i="4" l="1"/>
  <c r="J50" i="1" l="1"/>
  <c r="J51" i="1"/>
  <c r="J52" i="1"/>
  <c r="J53" i="1"/>
  <c r="J54" i="1"/>
  <c r="J55" i="1"/>
  <c r="J56" i="1"/>
  <c r="J57" i="1"/>
  <c r="J58" i="1"/>
  <c r="J59" i="1"/>
  <c r="J60" i="1"/>
  <c r="J61" i="1"/>
  <c r="J62" i="1"/>
  <c r="H5" i="4" l="1"/>
  <c r="C5" i="4"/>
  <c r="B5" i="4"/>
  <c r="J5" i="4" l="1"/>
  <c r="D33" i="4"/>
  <c r="D34" i="4"/>
  <c r="D35" i="4"/>
  <c r="D5" i="4"/>
  <c r="I5" i="4" s="1"/>
  <c r="K5" i="4" l="1"/>
  <c r="S4" i="4"/>
  <c r="T4" i="4" s="1"/>
  <c r="E36" i="4"/>
  <c r="F36" i="4"/>
  <c r="G36" i="4"/>
  <c r="H36" i="4"/>
  <c r="AA38" i="4"/>
  <c r="AA37" i="4"/>
  <c r="AA36" i="4"/>
  <c r="U36" i="4"/>
  <c r="R36" i="4"/>
  <c r="Q36" i="4"/>
  <c r="P36" i="4"/>
  <c r="P39" i="4" s="1"/>
  <c r="O36" i="4"/>
  <c r="AA35" i="4"/>
  <c r="W35" i="4"/>
  <c r="AA34" i="4"/>
  <c r="W34" i="4"/>
  <c r="AA33" i="4"/>
  <c r="W33" i="4"/>
  <c r="W32" i="4"/>
  <c r="W31" i="4"/>
  <c r="W30" i="4"/>
  <c r="W29" i="4"/>
  <c r="AB22" i="4"/>
  <c r="AB21" i="4"/>
  <c r="AB20" i="4"/>
  <c r="AB19" i="4"/>
  <c r="AB18" i="4"/>
  <c r="AB17" i="4"/>
  <c r="AB16" i="4"/>
  <c r="AB15" i="4"/>
  <c r="AB14" i="4"/>
  <c r="AB13" i="4"/>
  <c r="AB12" i="4"/>
  <c r="J93" i="3"/>
  <c r="I58" i="3"/>
  <c r="H58" i="3"/>
  <c r="G58" i="3"/>
  <c r="F58" i="3"/>
  <c r="E58" i="3"/>
  <c r="D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38" i="3"/>
  <c r="J37" i="3"/>
  <c r="J36" i="3"/>
  <c r="J35" i="3"/>
  <c r="J26" i="3"/>
  <c r="I22" i="3"/>
  <c r="H22" i="3"/>
  <c r="G22" i="3"/>
  <c r="F22" i="3"/>
  <c r="E22" i="3"/>
  <c r="D22" i="3"/>
  <c r="J4" i="3"/>
  <c r="J92" i="2"/>
  <c r="B97" i="2" s="1"/>
  <c r="I57" i="2"/>
  <c r="H57" i="2"/>
  <c r="G57" i="2"/>
  <c r="F57" i="2"/>
  <c r="E57" i="2"/>
  <c r="D57" i="2"/>
  <c r="J56" i="2"/>
  <c r="J55" i="2"/>
  <c r="J54" i="2"/>
  <c r="J53" i="2"/>
  <c r="J52" i="2"/>
  <c r="J51" i="2"/>
  <c r="J50" i="2"/>
  <c r="J49" i="2"/>
  <c r="J48" i="2"/>
  <c r="J47" i="2"/>
  <c r="J46" i="2"/>
  <c r="J57" i="2" s="1"/>
  <c r="J45" i="2"/>
  <c r="J44" i="2"/>
  <c r="J43" i="2"/>
  <c r="J37" i="2"/>
  <c r="J36" i="2"/>
  <c r="J35" i="2"/>
  <c r="J34" i="2"/>
  <c r="J38" i="2" s="1"/>
  <c r="J29" i="2"/>
  <c r="J28" i="2"/>
  <c r="J30" i="2" s="1"/>
  <c r="J27" i="2"/>
  <c r="J26" i="2"/>
  <c r="I22" i="2"/>
  <c r="H22" i="2"/>
  <c r="G22" i="2"/>
  <c r="F22" i="2"/>
  <c r="E22" i="2"/>
  <c r="D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22" i="2" s="1"/>
  <c r="J106" i="1"/>
  <c r="I63" i="1"/>
  <c r="H63" i="1"/>
  <c r="G63" i="1"/>
  <c r="F63" i="1"/>
  <c r="E63" i="1"/>
  <c r="D63" i="1"/>
  <c r="J49" i="1"/>
  <c r="J43" i="1"/>
  <c r="J42" i="1"/>
  <c r="J41" i="1"/>
  <c r="J40" i="1"/>
  <c r="J35" i="1"/>
  <c r="J34" i="1"/>
  <c r="J33" i="1"/>
  <c r="J32" i="1"/>
  <c r="I28" i="1"/>
  <c r="H28" i="1"/>
  <c r="G28" i="1"/>
  <c r="F28" i="1"/>
  <c r="E28" i="1"/>
  <c r="D28" i="1"/>
  <c r="AB23" i="4" l="1"/>
  <c r="B98" i="3"/>
  <c r="J7" i="4"/>
  <c r="J22" i="3"/>
  <c r="C7" i="4" s="1"/>
  <c r="J39" i="3"/>
  <c r="J31" i="3"/>
  <c r="M30" i="3" s="1"/>
  <c r="J58" i="3"/>
  <c r="B7" i="4" s="1"/>
  <c r="AA40" i="4"/>
  <c r="AA42" i="4" s="1"/>
  <c r="J36" i="1"/>
  <c r="B111" i="1"/>
  <c r="J44" i="1"/>
  <c r="J63" i="1"/>
  <c r="W36" i="4"/>
  <c r="S5" i="4"/>
  <c r="S6" i="4" s="1"/>
  <c r="S7" i="4" s="1"/>
  <c r="S8" i="4" s="1"/>
  <c r="S10" i="4" s="1"/>
  <c r="S11" i="4" s="1"/>
  <c r="S12" i="4" s="1"/>
  <c r="S13" i="4" s="1"/>
  <c r="S14" i="4" s="1"/>
  <c r="S15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J60" i="2"/>
  <c r="J74" i="2" s="1"/>
  <c r="B96" i="2" s="1"/>
  <c r="B98" i="2" s="1"/>
  <c r="M29" i="2"/>
  <c r="C6" i="4"/>
  <c r="S29" i="4" l="1"/>
  <c r="B36" i="4"/>
  <c r="D7" i="4"/>
  <c r="I7" i="4" s="1"/>
  <c r="K7" i="4" s="1"/>
  <c r="J61" i="3"/>
  <c r="J75" i="3" s="1"/>
  <c r="B97" i="3" s="1"/>
  <c r="B99" i="3" s="1"/>
  <c r="M35" i="1"/>
  <c r="D6" i="4"/>
  <c r="C36" i="4"/>
  <c r="J36" i="4"/>
  <c r="J66" i="1"/>
  <c r="J80" i="1" s="1"/>
  <c r="B110" i="1" s="1"/>
  <c r="B112" i="1" s="1"/>
  <c r="S30" i="4" l="1"/>
  <c r="S31" i="4" s="1"/>
  <c r="S32" i="4" s="1"/>
  <c r="S33" i="4" s="1"/>
  <c r="S34" i="4" s="1"/>
  <c r="S35" i="4" s="1"/>
  <c r="I6" i="4"/>
  <c r="D36" i="4"/>
  <c r="T5" i="4"/>
  <c r="I36" i="4" l="1"/>
  <c r="M36" i="4" s="1"/>
  <c r="K6" i="4"/>
  <c r="M6" i="4" s="1"/>
  <c r="M7" i="4" s="1"/>
  <c r="M8" i="4" l="1"/>
  <c r="T7" i="4"/>
  <c r="K36" i="4"/>
  <c r="T6" i="4" l="1"/>
  <c r="M9" i="4" l="1"/>
  <c r="T9" i="4" s="1"/>
  <c r="T8" i="4"/>
  <c r="M10" i="4" l="1"/>
  <c r="M11" i="4" l="1"/>
  <c r="T10" i="4"/>
  <c r="M12" i="4" l="1"/>
  <c r="M13" i="4" s="1"/>
  <c r="T11" i="4"/>
  <c r="T12" i="4" l="1"/>
  <c r="M14" i="4" l="1"/>
  <c r="M15" i="4" s="1"/>
  <c r="T15" i="4" s="1"/>
  <c r="T13" i="4"/>
  <c r="T14" i="4" l="1"/>
  <c r="M16" i="4" l="1"/>
  <c r="M17" i="4" l="1"/>
  <c r="T17" i="4" s="1"/>
  <c r="T16" i="4"/>
  <c r="M18" i="4" l="1"/>
  <c r="M19" i="4" l="1"/>
  <c r="M20" i="4" s="1"/>
  <c r="M21" i="4" s="1"/>
  <c r="M22" i="4" s="1"/>
  <c r="T18" i="4"/>
  <c r="T19" i="4" l="1"/>
  <c r="T20" i="4" l="1"/>
  <c r="T21" i="4" l="1"/>
  <c r="M23" i="4" l="1"/>
  <c r="M24" i="4" s="1"/>
  <c r="T22" i="4"/>
  <c r="T23" i="4" l="1"/>
  <c r="M25" i="4" l="1"/>
  <c r="T24" i="4"/>
  <c r="M26" i="4" l="1"/>
  <c r="M27" i="4" s="1"/>
  <c r="T25" i="4"/>
  <c r="T26" i="4" l="1"/>
  <c r="M28" i="4" l="1"/>
  <c r="T27" i="4"/>
  <c r="M29" i="4" l="1"/>
  <c r="T29" i="4" s="1"/>
  <c r="T28" i="4"/>
  <c r="M30" i="4" l="1"/>
  <c r="M31" i="4" l="1"/>
  <c r="M32" i="4" s="1"/>
  <c r="T30" i="4"/>
  <c r="T31" i="4" l="1"/>
  <c r="M33" i="4" l="1"/>
  <c r="T32" i="4"/>
  <c r="M34" i="4" l="1"/>
  <c r="T33" i="4"/>
  <c r="M35" i="4" l="1"/>
  <c r="AB27" i="4" s="1"/>
  <c r="T34" i="4"/>
  <c r="T35" i="4" l="1"/>
  <c r="M41" i="4" s="1"/>
</calcChain>
</file>

<file path=xl/sharedStrings.xml><?xml version="1.0" encoding="utf-8"?>
<sst xmlns="http://schemas.openxmlformats.org/spreadsheetml/2006/main" count="2919" uniqueCount="901">
  <si>
    <t>INQUILINO</t>
  </si>
  <si>
    <t>COMPROBANTE</t>
  </si>
  <si>
    <t>DETALLE</t>
  </si>
  <si>
    <t>LUZ</t>
  </si>
  <si>
    <t>AGUA</t>
  </si>
  <si>
    <t>ALQUILER</t>
  </si>
  <si>
    <t>ESPACIO</t>
  </si>
  <si>
    <t>PARQUEO</t>
  </si>
  <si>
    <t>TICKET</t>
  </si>
  <si>
    <t>TOTAL</t>
  </si>
  <si>
    <t>JOSE</t>
  </si>
  <si>
    <t>ANATOLIA</t>
  </si>
  <si>
    <t>BBVA</t>
  </si>
  <si>
    <t>INQUILINOS</t>
  </si>
  <si>
    <t xml:space="preserve">DETALLE </t>
  </si>
  <si>
    <t>DEPOSITO</t>
  </si>
  <si>
    <t>TOTAL QR</t>
  </si>
  <si>
    <t>SOCIOS</t>
  </si>
  <si>
    <t>RECIBO DE SERVICIO</t>
  </si>
  <si>
    <t>G. ADM</t>
  </si>
  <si>
    <t>P. SOCIAL</t>
  </si>
  <si>
    <t>P.S X FALLECIMIENTO</t>
  </si>
  <si>
    <t>SOCIO</t>
  </si>
  <si>
    <t xml:space="preserve">TOTAL DE INGRESOS </t>
  </si>
  <si>
    <t>SRTA. FATIMA SIHUE</t>
  </si>
  <si>
    <t>COBRANZA SOCIOS</t>
  </si>
  <si>
    <t>COBRANZA INQUILINOS</t>
  </si>
  <si>
    <t>SRA. MARIA CUYA ARANGO</t>
  </si>
  <si>
    <t>COBRANZA DE BAÑO DEL 1ER PISO</t>
  </si>
  <si>
    <t>COBRANZA DE BAÑO DEL 2DO PISO</t>
  </si>
  <si>
    <t>TOTAL GENERAL DE INGRESOS</t>
  </si>
  <si>
    <t>CAJA</t>
  </si>
  <si>
    <t>RESPONSABLE</t>
  </si>
  <si>
    <t xml:space="preserve">COMPROBANTE </t>
  </si>
  <si>
    <t>TOTAL DE EGRESOS</t>
  </si>
  <si>
    <t>RESUMEN</t>
  </si>
  <si>
    <t>TOTAL GENERAL</t>
  </si>
  <si>
    <t>SALDO</t>
  </si>
  <si>
    <t>INGRESOS DEL DIA 01-02-2026</t>
  </si>
  <si>
    <t>OFICINA</t>
  </si>
  <si>
    <t>COBRADOR</t>
  </si>
  <si>
    <t xml:space="preserve">SOCIOS </t>
  </si>
  <si>
    <t>SS.HH</t>
  </si>
  <si>
    <t>INGRESOS</t>
  </si>
  <si>
    <t>EGRESOS</t>
  </si>
  <si>
    <t>EGRESOS
BOVEDA</t>
  </si>
  <si>
    <t>BOVEDA SANTO ROSA</t>
  </si>
  <si>
    <t xml:space="preserve">ACTIVIDAD SANTA ROSA </t>
  </si>
  <si>
    <t>BOVEDA SR. OSCAR</t>
  </si>
  <si>
    <t>DIEGO</t>
  </si>
  <si>
    <t>DEPOSITO
AL BCO</t>
  </si>
  <si>
    <t>BOVEDA TOTAL</t>
  </si>
  <si>
    <t>ACUMULADO</t>
  </si>
  <si>
    <t>DOLARES</t>
  </si>
  <si>
    <t>PAGO CON QR</t>
  </si>
  <si>
    <t>SAL. INI.</t>
  </si>
  <si>
    <t>FATIMA</t>
  </si>
  <si>
    <t>SENCILLO</t>
  </si>
  <si>
    <t>MONEDAS DE 50</t>
  </si>
  <si>
    <t>BAÑO</t>
  </si>
  <si>
    <t>NUMERO</t>
  </si>
  <si>
    <t>DENOMINACION</t>
  </si>
  <si>
    <t>CCI BBVA</t>
  </si>
  <si>
    <t>011 338 000100019602 10</t>
  </si>
  <si>
    <t>N DE CUENTA</t>
  </si>
  <si>
    <t>0011 0338 0100019602 10</t>
  </si>
  <si>
    <t>EGRESOS DEL DIA 01-02-2026</t>
  </si>
  <si>
    <t>INGRESOS DEL DIA 02-02-2026</t>
  </si>
  <si>
    <t>EGRESOS DEL DIA 02-02-2026</t>
  </si>
  <si>
    <t>INGRESOS DEL DIA 03-02-2026</t>
  </si>
  <si>
    <t>EGRESOS DEL DIA 03-02-2026</t>
  </si>
  <si>
    <t>PAÑITOS HUMEDOS</t>
  </si>
  <si>
    <t>TK 50748</t>
  </si>
  <si>
    <t xml:space="preserve">	ADMINISTRADORA DE SERVICIOS FUNERARIOS SAC</t>
  </si>
  <si>
    <t xml:space="preserve">E001-310 </t>
  </si>
  <si>
    <t>JULIA</t>
  </si>
  <si>
    <t>TK 50749</t>
  </si>
  <si>
    <t>TK 50750</t>
  </si>
  <si>
    <t>TK 50751</t>
  </si>
  <si>
    <t>TK 50752</t>
  </si>
  <si>
    <t>TK 50753</t>
  </si>
  <si>
    <t xml:space="preserve">ALFONSO GONZALO HUAMANI JUAREZ </t>
  </si>
  <si>
    <t xml:space="preserve">EB01-6779 </t>
  </si>
  <si>
    <t>LOCAL 2DO PISO</t>
  </si>
  <si>
    <t xml:space="preserve">LA ROSA MARGARITA </t>
  </si>
  <si>
    <t>EB01-6780</t>
  </si>
  <si>
    <t>VIOLETA RETAMOZO</t>
  </si>
  <si>
    <t>EB01-6781</t>
  </si>
  <si>
    <t>QUISPE MIGUEL</t>
  </si>
  <si>
    <t>RI 32446</t>
  </si>
  <si>
    <t>NICHO ESTEPHANY</t>
  </si>
  <si>
    <t>RI 32447</t>
  </si>
  <si>
    <t>RAMIREZ HERMELINDA</t>
  </si>
  <si>
    <t>RC 8525</t>
  </si>
  <si>
    <t>REEMPLAZO DE LA SRA DE LOS SSHH DEL DIA 01-02-2026</t>
  </si>
  <si>
    <t>HERRERA POMA ADELINO</t>
  </si>
  <si>
    <t>E001- 39</t>
  </si>
  <si>
    <t>ADELANTO DE PAGO PARA LA COMPRA DE MATERIALES PARA EL PINTADO DEL TECHO PARABOLICO</t>
  </si>
  <si>
    <t>EB01-6782</t>
  </si>
  <si>
    <t>CHOQUEHUANCA DERSE</t>
  </si>
  <si>
    <t>EB01-6783</t>
  </si>
  <si>
    <t>EB01-6784</t>
  </si>
  <si>
    <t>MAYHUASCA DORIS</t>
  </si>
  <si>
    <t>ZANABRIA LILIA</t>
  </si>
  <si>
    <t>RII 3227</t>
  </si>
  <si>
    <t>RC 8526</t>
  </si>
  <si>
    <t xml:space="preserve">MOLERO ROSANA </t>
  </si>
  <si>
    <t>LIMPIEZA DE OFICINA Y SSHH DEL SEGUNDO PISO</t>
  </si>
  <si>
    <t>HERNANDEZ ALDO</t>
  </si>
  <si>
    <t>RC 8527</t>
  </si>
  <si>
    <t xml:space="preserve">PASAJE PARA FIRMA LAS CONSTANCIAS DE MANIPULACION DE ALIMENTOS </t>
  </si>
  <si>
    <t>RC 8528</t>
  </si>
  <si>
    <t>VILLANUEVA TATIHANA</t>
  </si>
  <si>
    <t>PASAJE A LA MUNICIPALIDAD PARA DERJAR DOCUMENTACION</t>
  </si>
  <si>
    <t>DAVILA MARISOL</t>
  </si>
  <si>
    <t>RI 32448</t>
  </si>
  <si>
    <t>QUINTANA GLICERIO</t>
  </si>
  <si>
    <t>RI 32449</t>
  </si>
  <si>
    <t>CAHUANA MATIAS</t>
  </si>
  <si>
    <t>ORMEÑO CARLOS</t>
  </si>
  <si>
    <t>PALOMINO SANTOS</t>
  </si>
  <si>
    <t>POMACANCHARI NICANOR</t>
  </si>
  <si>
    <t>TUEROS PRUDENCIO</t>
  </si>
  <si>
    <t>CUYA MARIA</t>
  </si>
  <si>
    <t>HURTADO WILDER</t>
  </si>
  <si>
    <t>VILLANUEVA TATIH</t>
  </si>
  <si>
    <t>SIHUE FATIMA</t>
  </si>
  <si>
    <t>SUELDO DEL MES DE ENERO 2026</t>
  </si>
  <si>
    <t>PANQUIEZ DENIS</t>
  </si>
  <si>
    <t>SALDAÑA JESSICA</t>
  </si>
  <si>
    <t>1 SPORADE GRANDE PARA EL CONSEJO DE ADM</t>
  </si>
  <si>
    <t>PEÑA ASHLEY</t>
  </si>
  <si>
    <t>EB01-6785</t>
  </si>
  <si>
    <t>EB01-6786</t>
  </si>
  <si>
    <t>ANCHAYA ABEL</t>
  </si>
  <si>
    <t>RII 3228</t>
  </si>
  <si>
    <t xml:space="preserve">EB01-6787 </t>
  </si>
  <si>
    <t>SOTO MARIA</t>
  </si>
  <si>
    <t>RC 8529</t>
  </si>
  <si>
    <t>VILCHEZ LOURDES</t>
  </si>
  <si>
    <t>RC 8530</t>
  </si>
  <si>
    <t>RC 8531</t>
  </si>
  <si>
    <t>LOPEZ NELLY</t>
  </si>
  <si>
    <t>PRUDENCIO TUEROS</t>
  </si>
  <si>
    <t>EB01-6788</t>
  </si>
  <si>
    <t>DESARMADORES</t>
  </si>
  <si>
    <t>EB01-6790</t>
  </si>
  <si>
    <t>TK 50754</t>
  </si>
  <si>
    <t xml:space="preserve">FACILTERR S.A.C.  </t>
  </si>
  <si>
    <t xml:space="preserve">E001-311 </t>
  </si>
  <si>
    <t>JARA ALVAREZ BLANCA ROSA</t>
  </si>
  <si>
    <t>EB01-49</t>
  </si>
  <si>
    <t>EQUIPO + INSTALACION DE INTERNET</t>
  </si>
  <si>
    <t>YRUPAILLA ISIDRO</t>
  </si>
  <si>
    <t>RI 32450</t>
  </si>
  <si>
    <t>HERRERA ROMINA</t>
  </si>
  <si>
    <t>EB01-6791</t>
  </si>
  <si>
    <t>RII 3229</t>
  </si>
  <si>
    <t>ESPARTA JULIO</t>
  </si>
  <si>
    <t>EB01-6792</t>
  </si>
  <si>
    <t>RII 3230</t>
  </si>
  <si>
    <t xml:space="preserve">WALTER DAVID MOTA DAMAS </t>
  </si>
  <si>
    <t xml:space="preserve">EB01-6793 </t>
  </si>
  <si>
    <t>QUISPE MARISOL</t>
  </si>
  <si>
    <t>EB01-6794</t>
  </si>
  <si>
    <t>EB01-6795</t>
  </si>
  <si>
    <t>TRIGO DE ORO</t>
  </si>
  <si>
    <t>FA01-00012297</t>
  </si>
  <si>
    <t>1 TORTA GRANDE POR EL ONOMASTICO DE LA PRESIDENTA DEL CONSEJO DE VIGILANCIA</t>
  </si>
  <si>
    <t>RII 3231</t>
  </si>
  <si>
    <t>MELO MARINA</t>
  </si>
  <si>
    <t>RI 32451</t>
  </si>
  <si>
    <t>YUCRA JOSUE</t>
  </si>
  <si>
    <t>RC 8532</t>
  </si>
  <si>
    <t>DIETA MES DE ENERO 2026 AL CARGO DE VICEPRESIDENTE DEL CONSEJO DE ADM</t>
  </si>
  <si>
    <t xml:space="preserve">EB01-6797 </t>
  </si>
  <si>
    <t>INGRESOS DEL DIA 04-02-2026</t>
  </si>
  <si>
    <t>EGRESOS DEL DIA 04-02-2026</t>
  </si>
  <si>
    <t>PALOMINO CECILIA</t>
  </si>
  <si>
    <t>RI 32452</t>
  </si>
  <si>
    <t>TALONARIO SANTA ROSA</t>
  </si>
  <si>
    <t>FRANCISCO TORRES</t>
  </si>
  <si>
    <t>RC 8533</t>
  </si>
  <si>
    <t>DIETA MES DE ENERO 2026 AL CARGO DE VOCAL DEL CONSEJO DE VIGILANCIA</t>
  </si>
  <si>
    <t xml:space="preserve">LOVEMARK PUBLICIDAD PROMOCIONAL S.A.C.  </t>
  </si>
  <si>
    <t>E001-312 </t>
  </si>
  <si>
    <t>CERVANTES CARLOS</t>
  </si>
  <si>
    <t xml:space="preserve">EB01-6798 </t>
  </si>
  <si>
    <t>RII 3232</t>
  </si>
  <si>
    <t>TK 50755</t>
  </si>
  <si>
    <t>SATALAYA SEGUNDO</t>
  </si>
  <si>
    <t>EB01-6799</t>
  </si>
  <si>
    <t>HERNANDEZ LILIBETH</t>
  </si>
  <si>
    <t>RII 3233</t>
  </si>
  <si>
    <t>HERRERA ORFELITA</t>
  </si>
  <si>
    <t>RII 3234</t>
  </si>
  <si>
    <t>EB01-6800</t>
  </si>
  <si>
    <t>EB01-6801</t>
  </si>
  <si>
    <t>EB01-6802</t>
  </si>
  <si>
    <t>AZURZA DAYSI</t>
  </si>
  <si>
    <t>EB01-6803</t>
  </si>
  <si>
    <t>BENITES ERIKA</t>
  </si>
  <si>
    <t>EB01-6804</t>
  </si>
  <si>
    <t>EB01-6805</t>
  </si>
  <si>
    <t>CLAROS SANTOS</t>
  </si>
  <si>
    <t>E001-313</t>
  </si>
  <si>
    <t>RII 3235</t>
  </si>
  <si>
    <t>RII 3236</t>
  </si>
  <si>
    <t>MEDINA VICENTA</t>
  </si>
  <si>
    <t>RI 32453</t>
  </si>
  <si>
    <t>CUYA ALBERTO</t>
  </si>
  <si>
    <t>RI 32454</t>
  </si>
  <si>
    <t>BURGA ELIDA</t>
  </si>
  <si>
    <t>RI 32455</t>
  </si>
  <si>
    <t>RI 32456</t>
  </si>
  <si>
    <t>ANULADO</t>
  </si>
  <si>
    <t>LUJAN MARINO</t>
  </si>
  <si>
    <t>RI 32457</t>
  </si>
  <si>
    <t>RAMOS PEDRO</t>
  </si>
  <si>
    <t>RI 32458</t>
  </si>
  <si>
    <t>RI 32459</t>
  </si>
  <si>
    <t>RI 32460</t>
  </si>
  <si>
    <t>JUAREZ LEONOR</t>
  </si>
  <si>
    <t>RI 32461</t>
  </si>
  <si>
    <t>GUTIERREZ ROGER</t>
  </si>
  <si>
    <t>RI 32462</t>
  </si>
  <si>
    <t>QUISPE ROSA</t>
  </si>
  <si>
    <t>RI 32463</t>
  </si>
  <si>
    <t>JARA SANTOS</t>
  </si>
  <si>
    <t>RI 32464</t>
  </si>
  <si>
    <t>RI 32465</t>
  </si>
  <si>
    <t>PACOMPIA GIOVANNI</t>
  </si>
  <si>
    <t>RI 32466</t>
  </si>
  <si>
    <t>CARDEÑA ALEJANDRINA</t>
  </si>
  <si>
    <t>RI 32467</t>
  </si>
  <si>
    <t>RI 32468</t>
  </si>
  <si>
    <t>RII 3237</t>
  </si>
  <si>
    <t>CCENCHO DAVID</t>
  </si>
  <si>
    <t>DAVILA YESENIA</t>
  </si>
  <si>
    <t>RII 3238</t>
  </si>
  <si>
    <t>CONDORI LIDIA</t>
  </si>
  <si>
    <t>RII 3239</t>
  </si>
  <si>
    <t>FLORES DOMINICA</t>
  </si>
  <si>
    <t>RII 3240</t>
  </si>
  <si>
    <t>GOMEZ MARIBEL</t>
  </si>
  <si>
    <t>RII 3241</t>
  </si>
  <si>
    <t>ENCARNACION GLADYS</t>
  </si>
  <si>
    <t>RII 3242</t>
  </si>
  <si>
    <t>EB01-6806</t>
  </si>
  <si>
    <t>EB01-6807</t>
  </si>
  <si>
    <t>EB01-6808</t>
  </si>
  <si>
    <t>EB01-6809</t>
  </si>
  <si>
    <t>MALLMA LISBETH</t>
  </si>
  <si>
    <t>MUJICA SANDRA</t>
  </si>
  <si>
    <t>EB01-6810</t>
  </si>
  <si>
    <t>EB01-6811</t>
  </si>
  <si>
    <t>EB01-6812</t>
  </si>
  <si>
    <t>SANTILLAN ZOILA</t>
  </si>
  <si>
    <t>RC 8534</t>
  </si>
  <si>
    <t>DIETA MES DE ENERO 2026 AL CARGO DE VICEPRESIDENTE DEL CONSEJO DE VIGILANCIA</t>
  </si>
  <si>
    <t>GARCIA AQUINO SANTOS</t>
  </si>
  <si>
    <t>E001-462</t>
  </si>
  <si>
    <t>SERVICIO TECNICO Y MANTENIMIENTO DE FOTOCOPIADORA BROTHER Y CAMBIO DE SENDOR DE IMAGEN COLOR</t>
  </si>
  <si>
    <t>CHOQUE UMPIRE JAMES FIDEL</t>
  </si>
  <si>
    <t>E001-44</t>
  </si>
  <si>
    <t>MEMORIA DE CALCULO DE PLANO EXISTENTE TECHOS PARABOLICOS</t>
  </si>
  <si>
    <t xml:space="preserve">5 POWER Y 1 PQT DE RITZ PARA LA SESION DE COBRANZA </t>
  </si>
  <si>
    <t>ALARCON NANCY</t>
  </si>
  <si>
    <t>RI 32469</t>
  </si>
  <si>
    <t xml:space="preserve">EB01-6814 </t>
  </si>
  <si>
    <t>INGRESOS DEL DIA 05-02-2026</t>
  </si>
  <si>
    <t>EGRESOS DEL DIA 05-02-2026</t>
  </si>
  <si>
    <t>E001-464</t>
  </si>
  <si>
    <t>SERVICIO DE MANTENIMIENTO Y CAMBIO DE 4 SELLOS Y TONER CARTUCHO NEGRO</t>
  </si>
  <si>
    <t>TK 50756</t>
  </si>
  <si>
    <t>EB01-6815</t>
  </si>
  <si>
    <t>RC 8535</t>
  </si>
  <si>
    <t>LONCHE PARA LA SESION DE COBRANZA DEL DIA 04-02-2026</t>
  </si>
  <si>
    <t xml:space="preserve">E001-314 </t>
  </si>
  <si>
    <t>AYALA ELISEO</t>
  </si>
  <si>
    <t>RI 32470</t>
  </si>
  <si>
    <t>AYALA NORMA</t>
  </si>
  <si>
    <t>RI 32471</t>
  </si>
  <si>
    <t>HUASHUAYO NORMA</t>
  </si>
  <si>
    <t>RI 32472</t>
  </si>
  <si>
    <t>DIETA MES DE ENERO 2026 AL CARGO DE VOCAL TITULAR DEL CONSEJO DE ADM.</t>
  </si>
  <si>
    <t>DIETA MES DE ENERO 2026 AL CARGO DE VOCAL SUPLENTE DEL CONSEJO DE ADM.</t>
  </si>
  <si>
    <t xml:space="preserve">DIETA MES DE ENERO 2026 AL CARGO DE GERENTA </t>
  </si>
  <si>
    <t>YUPANQUI SAYDA</t>
  </si>
  <si>
    <t>EB01-6816</t>
  </si>
  <si>
    <t>1 AGUA SAN MATEO DE 2.5 LT PARA LA SESION DEL CONSEJO DE ADM</t>
  </si>
  <si>
    <t>ANAMPA CLEMENCIA</t>
  </si>
  <si>
    <t>DIETA MES DE ENERO 2026 AL CARGO DE VOCAL TITUALR DEL CONSEJO DE ADM</t>
  </si>
  <si>
    <t>RC 8536</t>
  </si>
  <si>
    <t>YAURIMUCHA URSULA</t>
  </si>
  <si>
    <t>RII 3243</t>
  </si>
  <si>
    <t>RII 3244</t>
  </si>
  <si>
    <t xml:space="preserve">EB01-6818 </t>
  </si>
  <si>
    <t>BOVEDA SANTA ROSA</t>
  </si>
  <si>
    <t>ALARCON ANAMPA BETSY</t>
  </si>
  <si>
    <t>ARREGLO FLORAL</t>
  </si>
  <si>
    <t>INGRESOS DEL DIA 06-02-2026</t>
  </si>
  <si>
    <t>CERRON OBDULIA</t>
  </si>
  <si>
    <t>EB01-6819</t>
  </si>
  <si>
    <t>EB01-6820</t>
  </si>
  <si>
    <t>SANCHEZ DIANA</t>
  </si>
  <si>
    <t>RII 3245</t>
  </si>
  <si>
    <t>HEREDIA MARIA</t>
  </si>
  <si>
    <t>RI 32473</t>
  </si>
  <si>
    <t>HUASHUAYO EDUDOSIA</t>
  </si>
  <si>
    <t>RC 8537</t>
  </si>
  <si>
    <t>PREVENCION SOCIAL POR SALUD A LA SOCIA HUASHUAYO EUDOSIA</t>
  </si>
  <si>
    <t>EB01-6821</t>
  </si>
  <si>
    <t>TK 50757</t>
  </si>
  <si>
    <t>AGUIRRE WILFREDO</t>
  </si>
  <si>
    <t>RI 32474</t>
  </si>
  <si>
    <t>RI 32475</t>
  </si>
  <si>
    <t>QUISPE VIDAL</t>
  </si>
  <si>
    <t>RI 32476</t>
  </si>
  <si>
    <t>ESTELA ELVIA</t>
  </si>
  <si>
    <t>FERRETERIA Y MATIZADOS EL REY E.I.R.L.</t>
  </si>
  <si>
    <t>E001 1097</t>
  </si>
  <si>
    <t>1 FOCO LED BOTELLA</t>
  </si>
  <si>
    <t>EGRESOS DEL DIA 06-02-2026</t>
  </si>
  <si>
    <t>SEGOVIA VILLAFUERTE</t>
  </si>
  <si>
    <t>RI 32477</t>
  </si>
  <si>
    <t>MARIN BASILISA</t>
  </si>
  <si>
    <t>RI 32478</t>
  </si>
  <si>
    <t>RI 32479</t>
  </si>
  <si>
    <t>CUSI SONIA</t>
  </si>
  <si>
    <t>RII 3246</t>
  </si>
  <si>
    <t>LOPEZ HAYDEE</t>
  </si>
  <si>
    <t>EB01-6822</t>
  </si>
  <si>
    <t xml:space="preserve">EB01-6824 </t>
  </si>
  <si>
    <t>EGRESOS DEL DIA 07-02-2026</t>
  </si>
  <si>
    <t>INGRESOS DEL DIA 07-02-2026</t>
  </si>
  <si>
    <t>FERREYRA TANIA</t>
  </si>
  <si>
    <t>E001-315</t>
  </si>
  <si>
    <t>CABALLERO GLADYS</t>
  </si>
  <si>
    <t>RI 32480</t>
  </si>
  <si>
    <t>RI 32481</t>
  </si>
  <si>
    <t xml:space="preserve">ANATOLIA CHIPANA DE VARGAS </t>
  </si>
  <si>
    <t xml:space="preserve">EB01-6825 </t>
  </si>
  <si>
    <t>ROSA</t>
  </si>
  <si>
    <t>TK 50758</t>
  </si>
  <si>
    <t>TK 50759</t>
  </si>
  <si>
    <t xml:space="preserve">AURORA ISABEL NEYRA CONTRERAS </t>
  </si>
  <si>
    <t xml:space="preserve">EB01-6826 </t>
  </si>
  <si>
    <t>TUSE MANUEL</t>
  </si>
  <si>
    <t>RC 8538</t>
  </si>
  <si>
    <t>REEMPLAZO DEL SR NICANOR DEL DIA 29-01 Y 02-02 PARA LA LIMPIEZA DEL MERCADO</t>
  </si>
  <si>
    <t>1 TORTA GRANDE POR EL ONOMASTICO DE LA SRA LOURDES VILCHEZ DEL CONSEJO DE ADM.</t>
  </si>
  <si>
    <t>INGRESOS DEL DIA 08-02-2026</t>
  </si>
  <si>
    <t>EGRESOS DEL DIA 08-02-2026</t>
  </si>
  <si>
    <t>INGRESOS DEL DIA 09-02-2026</t>
  </si>
  <si>
    <t>EGRESOS DEL DIA 09-02-2026</t>
  </si>
  <si>
    <t xml:space="preserve">PIZARRO ROMANI RAQUEL SONIA </t>
  </si>
  <si>
    <t xml:space="preserve">E001-316 </t>
  </si>
  <si>
    <t>JOSE DESARMADORES</t>
  </si>
  <si>
    <t>TK 50760</t>
  </si>
  <si>
    <t>TK 50761</t>
  </si>
  <si>
    <t>VASQUEZ MARGARITA</t>
  </si>
  <si>
    <t>EB01-6829</t>
  </si>
  <si>
    <t>TK 50762</t>
  </si>
  <si>
    <t>E001-45</t>
  </si>
  <si>
    <t xml:space="preserve">ORMEÑO HERNANDEZ CARLOS </t>
  </si>
  <si>
    <t>VACACIONES DEL SR. ORMEÑO</t>
  </si>
  <si>
    <t>PAREDES FLORES OSCAR</t>
  </si>
  <si>
    <t>RC 8541</t>
  </si>
  <si>
    <t>DIETA MES DE ENERO 2026 AL CARGO DE PRESIDENTE DEL CONSEJO DE ADM</t>
  </si>
  <si>
    <t>FA01-00012354</t>
  </si>
  <si>
    <t>MAYHUASCA CLUDY</t>
  </si>
  <si>
    <t>RI 32482</t>
  </si>
  <si>
    <t>URETA EMILIA</t>
  </si>
  <si>
    <t>RI 32483</t>
  </si>
  <si>
    <t>ESTRADA OSCAR</t>
  </si>
  <si>
    <t>RI 32484</t>
  </si>
  <si>
    <t>MULTA X CAPACITACION</t>
  </si>
  <si>
    <t>RC 8542</t>
  </si>
  <si>
    <t>PAZ FRANCO</t>
  </si>
  <si>
    <t>15 PANES CON HUEVO FRITO PARA LA SESION DEL CONSEJO DE ADM</t>
  </si>
  <si>
    <t xml:space="preserve">MARIBEL GOMEZ MITMA </t>
  </si>
  <si>
    <t xml:space="preserve">EB01-6830 </t>
  </si>
  <si>
    <t>HERMELINDA RAMIREZ</t>
  </si>
  <si>
    <t>RC 8539</t>
  </si>
  <si>
    <t>REEMPLAZO DE LA SRA DE LOS SSHH DEL DIA 08-02-2026</t>
  </si>
  <si>
    <t>ROSANNA MOLERO</t>
  </si>
  <si>
    <t>RC 8540</t>
  </si>
  <si>
    <t>LIMPIEZA DE LOS SSHH DEL SEGUNDO PISO Y LA OFICINA</t>
  </si>
  <si>
    <t>INFORME DE MEMORIA DE CALCULO</t>
  </si>
  <si>
    <t xml:space="preserve">EB01-6831 </t>
  </si>
  <si>
    <t xml:space="preserve">EB01-6833 </t>
  </si>
  <si>
    <t>INGRESOS DEL DIA 10-02-2026</t>
  </si>
  <si>
    <t>EGRESOS DEL DIA 10-02-2026</t>
  </si>
  <si>
    <t>MOTA DAVID</t>
  </si>
  <si>
    <t>EB01-6834</t>
  </si>
  <si>
    <t>EB01-6835</t>
  </si>
  <si>
    <t>CHAMBI SIMONA</t>
  </si>
  <si>
    <t>RII 3247</t>
  </si>
  <si>
    <t>AFP PRIMA</t>
  </si>
  <si>
    <t>AFP INTEGRA</t>
  </si>
  <si>
    <t>AFP PROFUTURO</t>
  </si>
  <si>
    <t>PAGO DE AFP PRIMA</t>
  </si>
  <si>
    <t>PAGO DE AFP INTEGRA</t>
  </si>
  <si>
    <t>PAGO DE AFP PROFUTURO</t>
  </si>
  <si>
    <t>ATANASIO MAXIMILIANA</t>
  </si>
  <si>
    <t>RI 32485</t>
  </si>
  <si>
    <t>TK 50763</t>
  </si>
  <si>
    <t>BURGA ELMER</t>
  </si>
  <si>
    <t>EB01-6836</t>
  </si>
  <si>
    <t>PALOMINO HELBER</t>
  </si>
  <si>
    <t>RC 8543</t>
  </si>
  <si>
    <t>REEMPLAZO DEL SR WILDER DEL DIA 05-02-2026 TURNO NOCHE</t>
  </si>
  <si>
    <t>EB01-6837</t>
  </si>
  <si>
    <t>QUISPE PATRICIA</t>
  </si>
  <si>
    <t>EB01-6838</t>
  </si>
  <si>
    <t>EB01-6839</t>
  </si>
  <si>
    <t>BUSTAMANTE GRACIELA</t>
  </si>
  <si>
    <t>EB01-6840</t>
  </si>
  <si>
    <t>CARRASCO MERY</t>
  </si>
  <si>
    <t>EB01-6841</t>
  </si>
  <si>
    <t>RII 3248</t>
  </si>
  <si>
    <t>RII 3249</t>
  </si>
  <si>
    <t>RI 32486</t>
  </si>
  <si>
    <t>RI 32487</t>
  </si>
  <si>
    <t>BRAVO ANA</t>
  </si>
  <si>
    <t>SANCHEZ LUCIA</t>
  </si>
  <si>
    <t>RI 32488</t>
  </si>
  <si>
    <t>MAYHUASCA ULISES</t>
  </si>
  <si>
    <t>RI 32489</t>
  </si>
  <si>
    <t>ROMERO ESTEBAN</t>
  </si>
  <si>
    <t>RI 32490</t>
  </si>
  <si>
    <t>PRADO MILAGROS</t>
  </si>
  <si>
    <t>EB01-6842</t>
  </si>
  <si>
    <t xml:space="preserve"> </t>
  </si>
  <si>
    <t>EB01-6844</t>
  </si>
  <si>
    <t>INGRESOS DEL DIA 11-02-2026</t>
  </si>
  <si>
    <t>EGRESOS DEL DIA 11-02-2026</t>
  </si>
  <si>
    <t>RI 32491</t>
  </si>
  <si>
    <t>JARA MARIA</t>
  </si>
  <si>
    <t>RI 32492</t>
  </si>
  <si>
    <t>PEREZ EPIFANIA</t>
  </si>
  <si>
    <t>RI 32493</t>
  </si>
  <si>
    <t>ROMERO EDDNA</t>
  </si>
  <si>
    <t>RI 32494</t>
  </si>
  <si>
    <t>MORENO FREDY</t>
  </si>
  <si>
    <t>RI 32495</t>
  </si>
  <si>
    <t xml:space="preserve">QUISPE MARISOL </t>
  </si>
  <si>
    <t xml:space="preserve">EB01-6845 </t>
  </si>
  <si>
    <t>EB01-6846</t>
  </si>
  <si>
    <t>CLAROS SANTOS JESUS</t>
  </si>
  <si>
    <t>E001-317</t>
  </si>
  <si>
    <t>RII 3250</t>
  </si>
  <si>
    <t>FUMIGACION</t>
  </si>
  <si>
    <t>RII 3251</t>
  </si>
  <si>
    <t>CERDA CARMEN</t>
  </si>
  <si>
    <t>RI 32496</t>
  </si>
  <si>
    <t>CAJALEON LUIS</t>
  </si>
  <si>
    <t>RI 32497</t>
  </si>
  <si>
    <t>RI 32498</t>
  </si>
  <si>
    <t>RI 32499</t>
  </si>
  <si>
    <t>RI 32500</t>
  </si>
  <si>
    <t>CASTRO HORTENCIA</t>
  </si>
  <si>
    <t>RI 32501</t>
  </si>
  <si>
    <t>MAYHUASCA MARILU</t>
  </si>
  <si>
    <t>RI 32502</t>
  </si>
  <si>
    <t>EB01-6847</t>
  </si>
  <si>
    <t>SANDRA MUJICA</t>
  </si>
  <si>
    <t>EB01-6848</t>
  </si>
  <si>
    <t>SALAZAR MARIA</t>
  </si>
  <si>
    <t>EB01-6849</t>
  </si>
  <si>
    <t>RII 3220</t>
  </si>
  <si>
    <t>OQUENDO JESSICA</t>
  </si>
  <si>
    <t>RI 32503</t>
  </si>
  <si>
    <t>ACCO VICTOR</t>
  </si>
  <si>
    <t>RII 3253</t>
  </si>
  <si>
    <t>ARREDONDO GLADYS</t>
  </si>
  <si>
    <t xml:space="preserve">EB01-6850 </t>
  </si>
  <si>
    <t>LONCHE PARA LA SESION DE COBRANZA DEL DIA 11-02-2026</t>
  </si>
  <si>
    <t>RC 8544</t>
  </si>
  <si>
    <t xml:space="preserve">EB01-6852 </t>
  </si>
  <si>
    <t>INGRESOS DEL DIA 12-02-2026</t>
  </si>
  <si>
    <t>EGRESOS DEL DIA 12-02-2026</t>
  </si>
  <si>
    <t>CAYO BACILIO</t>
  </si>
  <si>
    <t>EB01-6853</t>
  </si>
  <si>
    <t>CAMARENA GABRIELA</t>
  </si>
  <si>
    <t>EB01-6854</t>
  </si>
  <si>
    <t>ZAPATA VICTORIANO</t>
  </si>
  <si>
    <t>RC 8545</t>
  </si>
  <si>
    <t>COMPRA DE CERROJO PARA LA PUERTA DEL BAÑO DE VARONES DEL PRIMER PISO</t>
  </si>
  <si>
    <t>TK 50764</t>
  </si>
  <si>
    <t>E001-40</t>
  </si>
  <si>
    <t>E001-41</t>
  </si>
  <si>
    <t xml:space="preserve">PINTADO DE LOS DADOS Y TORNILLOS EN LA BASE DE LAS VIGAS DE FIERRO </t>
  </si>
  <si>
    <t>SEGUNDO SATALAYA</t>
  </si>
  <si>
    <t>EB01-6856</t>
  </si>
  <si>
    <t>EB01-6855</t>
  </si>
  <si>
    <t>COLINA SIRLEY</t>
  </si>
  <si>
    <t>EB01-6857</t>
  </si>
  <si>
    <t>RI 32504</t>
  </si>
  <si>
    <t>CAMPUZANO VICENTA</t>
  </si>
  <si>
    <t>1 AGUA CIELO DE 2.5 LT PARA LA SESION DEL CONSEJO DE ADM.</t>
  </si>
  <si>
    <t>INVERSIONES B.L Y CIA SAC</t>
  </si>
  <si>
    <t>F001-00000227</t>
  </si>
  <si>
    <t>1 GASEOSA INKA DE 1.5 LT PARA LA SESION DEL CONSEJO DE ADM.</t>
  </si>
  <si>
    <t xml:space="preserve">EB01-6859 </t>
  </si>
  <si>
    <t>INGRESOS DEL DIA 13-02-2026</t>
  </si>
  <si>
    <t>EGRESOS DEL DIA 13-02-2026</t>
  </si>
  <si>
    <t>SERMEÑO JAVIER</t>
  </si>
  <si>
    <t>RI 32505</t>
  </si>
  <si>
    <t>CASTRO AQUILA</t>
  </si>
  <si>
    <t>RI 32506</t>
  </si>
  <si>
    <t>TK 50765</t>
  </si>
  <si>
    <t>SALAZAR VICTORIA</t>
  </si>
  <si>
    <t>RI 32507</t>
  </si>
  <si>
    <t>RI 32508</t>
  </si>
  <si>
    <t>RII 3254</t>
  </si>
  <si>
    <t>BASTDAS HERMENEGILDO</t>
  </si>
  <si>
    <t>RI 32509</t>
  </si>
  <si>
    <t xml:space="preserve">FRANCISCO CONTESOR TORRES ASTO </t>
  </si>
  <si>
    <t xml:space="preserve">EB01-6860 </t>
  </si>
  <si>
    <t>REYES NANCY</t>
  </si>
  <si>
    <t>RI 32510</t>
  </si>
  <si>
    <t>VALENCIA VICENTE</t>
  </si>
  <si>
    <t>RI 32511</t>
  </si>
  <si>
    <t>MACAVILCA GIAN MARCO</t>
  </si>
  <si>
    <t>COPIA DE 06 PLANOS DE LA COOPERATIVA</t>
  </si>
  <si>
    <t>RC 8546</t>
  </si>
  <si>
    <t>PASAJE PARA IR A DEPOSITAR AL BANCO BBVA Y SACAR COPIA DE LOS PLANOS DE LA COOPERATIVA</t>
  </si>
  <si>
    <t xml:space="preserve">EB01-6862 </t>
  </si>
  <si>
    <t>INGRESOS DEL DIA 14-02-2026</t>
  </si>
  <si>
    <t>EGRESOS DEL DIA 14-02-2026</t>
  </si>
  <si>
    <t>QUISPE LISBETH</t>
  </si>
  <si>
    <t>EB01-6863</t>
  </si>
  <si>
    <t>PIZARRO RAQUEL SONIA</t>
  </si>
  <si>
    <t>EB01-6864</t>
  </si>
  <si>
    <t>MATIAS CAHUANA ACUÑA</t>
  </si>
  <si>
    <t>PARIASCA TATHIANA</t>
  </si>
  <si>
    <t>CAMILA</t>
  </si>
  <si>
    <t>TK 50766</t>
  </si>
  <si>
    <t>TK 50767</t>
  </si>
  <si>
    <t>INGRESOS DEL DIA 15-02-2026</t>
  </si>
  <si>
    <t>INGRESOS DEL DIA 16-02-2026</t>
  </si>
  <si>
    <t>EGRESOS DEL DIA 16-02-2026</t>
  </si>
  <si>
    <t>EB01-6867</t>
  </si>
  <si>
    <t>ADELANTO DE SUELDO MES DE FEBRERO 2026</t>
  </si>
  <si>
    <t>EB01-6869</t>
  </si>
  <si>
    <t>RC 8547</t>
  </si>
  <si>
    <t>REEMPLAZO DE LA SRA DE LOS SSHH DEL DIA 15-02-2026</t>
  </si>
  <si>
    <t>HALIRE JOSUE</t>
  </si>
  <si>
    <t>RI 32513</t>
  </si>
  <si>
    <t>RI 32514</t>
  </si>
  <si>
    <t>EB01-6870</t>
  </si>
  <si>
    <t>CCOYLLO POLANCO DANIEL</t>
  </si>
  <si>
    <t>RI 32515</t>
  </si>
  <si>
    <t>RI 32516</t>
  </si>
  <si>
    <t>RI 32517</t>
  </si>
  <si>
    <t>RII 3255</t>
  </si>
  <si>
    <t>MULTA POR CAPACITACION</t>
  </si>
  <si>
    <t>RIVERA JUANA</t>
  </si>
  <si>
    <t xml:space="preserve">EB01-6872 </t>
  </si>
  <si>
    <t>INGRESOS DEL DIA 17-02-2026</t>
  </si>
  <si>
    <t>EGRESOS DEL DIA 17-02-2026</t>
  </si>
  <si>
    <t>ROMERO JAVIER</t>
  </si>
  <si>
    <t>RI 32518</t>
  </si>
  <si>
    <t>SALAS RUTH</t>
  </si>
  <si>
    <t>RI 32519</t>
  </si>
  <si>
    <t xml:space="preserve">JOSE </t>
  </si>
  <si>
    <t>TK 50768</t>
  </si>
  <si>
    <t>TK 50769</t>
  </si>
  <si>
    <t>TK 50770</t>
  </si>
  <si>
    <t>PEÑA TERESA</t>
  </si>
  <si>
    <t>EB01-6873</t>
  </si>
  <si>
    <t>RII 3256</t>
  </si>
  <si>
    <t>MEDINA HONORATA</t>
  </si>
  <si>
    <t>RI 32520</t>
  </si>
  <si>
    <t>ALARCON MARTHA</t>
  </si>
  <si>
    <t>EB01-6874</t>
  </si>
  <si>
    <t>RII 3257</t>
  </si>
  <si>
    <t>GAVILAN NORMA</t>
  </si>
  <si>
    <t>RI 32521</t>
  </si>
  <si>
    <t>RI 32522</t>
  </si>
  <si>
    <t>SORIA TAPIA EDITH</t>
  </si>
  <si>
    <t>CALDERON ESTELA</t>
  </si>
  <si>
    <t>RI 32523</t>
  </si>
  <si>
    <t xml:space="preserve">EB01-6876 </t>
  </si>
  <si>
    <t>INGRESOS DEL DIA 18-02-2026</t>
  </si>
  <si>
    <t>EGRESOS DEL DIA 18-02-2026</t>
  </si>
  <si>
    <t>EGRESOS DEL DIA 15-02-2026</t>
  </si>
  <si>
    <t xml:space="preserve">HERRERA ORFELITA  </t>
  </si>
  <si>
    <t xml:space="preserve">EB01-6877 </t>
  </si>
  <si>
    <t>PORRAS OLIMPIA</t>
  </si>
  <si>
    <t>RI 32525</t>
  </si>
  <si>
    <t>RI 32524</t>
  </si>
  <si>
    <t>PAREDES DIANA</t>
  </si>
  <si>
    <t>RI 32526</t>
  </si>
  <si>
    <t>EB01-6878</t>
  </si>
  <si>
    <t>E001-319</t>
  </si>
  <si>
    <t>E001-318</t>
  </si>
  <si>
    <t>EB01-6879</t>
  </si>
  <si>
    <t>EB01-6880</t>
  </si>
  <si>
    <t>ASAEL CASTILLO</t>
  </si>
  <si>
    <t>ROJAS LIONILA</t>
  </si>
  <si>
    <t>RI 32527</t>
  </si>
  <si>
    <t>RI 32528</t>
  </si>
  <si>
    <t>RI 32529</t>
  </si>
  <si>
    <t xml:space="preserve">EB01-6881 </t>
  </si>
  <si>
    <t>EB01-6882</t>
  </si>
  <si>
    <t>EB01-6883</t>
  </si>
  <si>
    <t>EB01-6884</t>
  </si>
  <si>
    <t>EB01-6885</t>
  </si>
  <si>
    <t>EB01-6886</t>
  </si>
  <si>
    <t>EB01-6887</t>
  </si>
  <si>
    <t>RII 3259</t>
  </si>
  <si>
    <t>ARREDONDO GLADIS</t>
  </si>
  <si>
    <t>RI 32530</t>
  </si>
  <si>
    <t>FALCON HECTOR</t>
  </si>
  <si>
    <t>RI 32531</t>
  </si>
  <si>
    <t>RI 32532</t>
  </si>
  <si>
    <t>MAYTA MATOS HERMELINDA</t>
  </si>
  <si>
    <t>RI 32533</t>
  </si>
  <si>
    <t>CALLE ALVAREZ MARCO</t>
  </si>
  <si>
    <t>RI 32534</t>
  </si>
  <si>
    <t>TELLO EDGAR</t>
  </si>
  <si>
    <t>RI 32535</t>
  </si>
  <si>
    <t xml:space="preserve">EB01-6888 </t>
  </si>
  <si>
    <t>CAHUANA VICENTINA</t>
  </si>
  <si>
    <t>RI 32536</t>
  </si>
  <si>
    <t>SUNAT</t>
  </si>
  <si>
    <t>5310 SNP-LEY 19990</t>
  </si>
  <si>
    <t>5210 ESSALUD</t>
  </si>
  <si>
    <t>3042 RENTA 4 TA. CATEG. RETENCIONES</t>
  </si>
  <si>
    <t>MACAVILCA GIAN</t>
  </si>
  <si>
    <t>IMPRESIÓN DE 6 PLANOS COLOR A1</t>
  </si>
  <si>
    <t>DELTRON</t>
  </si>
  <si>
    <t>F103-01091949</t>
  </si>
  <si>
    <t xml:space="preserve">EB01-6889 </t>
  </si>
  <si>
    <t>TK 50771</t>
  </si>
  <si>
    <t>RII 3258</t>
  </si>
  <si>
    <t>RII 3260</t>
  </si>
  <si>
    <t>3 ESTABILIZADORES PARA LOS SSHH</t>
  </si>
  <si>
    <t>RI 32537</t>
  </si>
  <si>
    <t xml:space="preserve">EB01-6891 </t>
  </si>
  <si>
    <t>INGRESOS DEL DIA 19-02-2026</t>
  </si>
  <si>
    <t>EGRESOS DEL DIA 19-02-2026</t>
  </si>
  <si>
    <t>RI 32538</t>
  </si>
  <si>
    <t>RI 32539</t>
  </si>
  <si>
    <t>RI 32540</t>
  </si>
  <si>
    <t>CALLE FIDEL</t>
  </si>
  <si>
    <t>RI 32541</t>
  </si>
  <si>
    <t xml:space="preserve">AGUIRRE WILFREDO </t>
  </si>
  <si>
    <t>RC 8548</t>
  </si>
  <si>
    <t>PREVISION SOCIAL POR SALUD AL SOCIO AGUIRRE WILFREDO</t>
  </si>
  <si>
    <t>TK 50772</t>
  </si>
  <si>
    <t>AIRE HECTOR</t>
  </si>
  <si>
    <t>EB01-6892</t>
  </si>
  <si>
    <t>RII 3261</t>
  </si>
  <si>
    <t>CUNIAS MARIELA</t>
  </si>
  <si>
    <t>EB01-6893</t>
  </si>
  <si>
    <t>EB01-6894</t>
  </si>
  <si>
    <t>RII 3262</t>
  </si>
  <si>
    <t>AYALA MARLENE</t>
  </si>
  <si>
    <t>FA01-00012540</t>
  </si>
  <si>
    <t>1 GASEOSA DE 3LT+ 15 PANES+JAMONADA Y QUESO PARA EL LONCHE DEL CONSEJO DE ADM.</t>
  </si>
  <si>
    <t>EB01-6896</t>
  </si>
  <si>
    <t>SANTOS JARA</t>
  </si>
  <si>
    <t>1 CAFÉ Y AZUCAR PARA LOS VIGILANTES DEL TURNO NOCHE</t>
  </si>
  <si>
    <t>INGRESOS DEL DIA 20-02-2026</t>
  </si>
  <si>
    <t>EGRESOS DEL DIA 20-02-2026</t>
  </si>
  <si>
    <t xml:space="preserve">CRUZ LUIS </t>
  </si>
  <si>
    <t>RI 32542</t>
  </si>
  <si>
    <t>ALCAREZ MARIANELA</t>
  </si>
  <si>
    <t>RC 8549</t>
  </si>
  <si>
    <t>PREVISION SOCIAL POR SALUD AL SOCIO ALVAREZ CAMPOS ROLANDO</t>
  </si>
  <si>
    <t>TK 50773</t>
  </si>
  <si>
    <t xml:space="preserve">SALAZAR MARIA </t>
  </si>
  <si>
    <t xml:space="preserve">EB01-6897 </t>
  </si>
  <si>
    <t>RII 3264</t>
  </si>
  <si>
    <t xml:space="preserve">EB01-6898 </t>
  </si>
  <si>
    <t>BERNAOLA FLORENCIA</t>
  </si>
  <si>
    <t>RI 32543</t>
  </si>
  <si>
    <t>ACCESOS TECH PERU S.A.C.</t>
  </si>
  <si>
    <t>E001-963</t>
  </si>
  <si>
    <t>REPARACION DEL PULSADOR DE SALIDA DE LOS SSHH DE VARONES DEL PRIMER PISO</t>
  </si>
  <si>
    <t>OTROS</t>
  </si>
  <si>
    <t>PRETEL LUCAS (MAQUINA DE CHICLES)</t>
  </si>
  <si>
    <t>RI 32544</t>
  </si>
  <si>
    <t>RI 3263</t>
  </si>
  <si>
    <t>CONTINENTAL SAC</t>
  </si>
  <si>
    <t>F259-00026912</t>
  </si>
  <si>
    <t>COMPRA DE UTILES PARA LA OFICINA DE ADMINISTRACION</t>
  </si>
  <si>
    <t>GRAFICA LEON &amp; ASOCIADOS E.I.R.L.</t>
  </si>
  <si>
    <t>EB01-15</t>
  </si>
  <si>
    <t>FABRICACION DE BANNERS PARA LA PLAYA DE ESTACIONAMIENTO</t>
  </si>
  <si>
    <t>BUSTAMANTE JOSE</t>
  </si>
  <si>
    <t>RC 8550</t>
  </si>
  <si>
    <t>PASAJE PARA REALIZAR LOS BANNERS DE LA PLAYA DE ESTACIONAMIENTO</t>
  </si>
  <si>
    <t>RI 32512</t>
  </si>
  <si>
    <t xml:space="preserve">EB01-6899 </t>
  </si>
  <si>
    <t>RC8551</t>
  </si>
  <si>
    <t>ADELANTO DE SUELDO DEL MES DE FEBRERO 2026</t>
  </si>
  <si>
    <t>TATIANA</t>
  </si>
  <si>
    <t>INGRESOS DEL DIA 21-02-2026</t>
  </si>
  <si>
    <t>EGRESOS DEL DIA 21-02-2026</t>
  </si>
  <si>
    <t xml:space="preserve">ADMINISTRADORA DE SERVICIOS FUNERARIOS SAC  </t>
  </si>
  <si>
    <t xml:space="preserve">E001-320 </t>
  </si>
  <si>
    <t>PALOMINO ROSA</t>
  </si>
  <si>
    <t>EB01-6901</t>
  </si>
  <si>
    <t>RII 3265</t>
  </si>
  <si>
    <t>ESPEJO ROSA</t>
  </si>
  <si>
    <t>RI 32545</t>
  </si>
  <si>
    <t>MULTA</t>
  </si>
  <si>
    <t>TK 50774</t>
  </si>
  <si>
    <t>SANCHEZ JUDITH</t>
  </si>
  <si>
    <t>RI 32546</t>
  </si>
  <si>
    <t>INGRESOS DEL DIA 22-02-2026</t>
  </si>
  <si>
    <t>EGRESOS DEL DIA 22-02-2026</t>
  </si>
  <si>
    <t>INGRESOS DEL DIA 23-02-2026</t>
  </si>
  <si>
    <t>EGRESOS DEL DIA 23-02-2026</t>
  </si>
  <si>
    <t>TORRES FRANCISCO</t>
  </si>
  <si>
    <t>RI 32547</t>
  </si>
  <si>
    <t>CHALLCO NICOLAZA</t>
  </si>
  <si>
    <t>RI 32548</t>
  </si>
  <si>
    <t xml:space="preserve">RAMIREZ HERMELINDA </t>
  </si>
  <si>
    <t>RC 8552</t>
  </si>
  <si>
    <t>REEMPLAZO DE LA SRA DE LOS SSHH DEL DIA 22-02-2026</t>
  </si>
  <si>
    <t>SALVATIERRA ALLISON</t>
  </si>
  <si>
    <t>RI 32549</t>
  </si>
  <si>
    <t>SALAS JUDITH</t>
  </si>
  <si>
    <t>RI 32550</t>
  </si>
  <si>
    <t>CCOYLLO ALEXIS</t>
  </si>
  <si>
    <t>RI 32551</t>
  </si>
  <si>
    <t>PALOMINO EUSEBIO</t>
  </si>
  <si>
    <t>RI 32552</t>
  </si>
  <si>
    <t>RI 32553</t>
  </si>
  <si>
    <t xml:space="preserve">EB01-6905 </t>
  </si>
  <si>
    <t xml:space="preserve">DAVID CHOQUEHUANCA HUAMAN </t>
  </si>
  <si>
    <t xml:space="preserve">EB01-6906 </t>
  </si>
  <si>
    <t>RII 3266</t>
  </si>
  <si>
    <t>FLORES FLORES IRENE</t>
  </si>
  <si>
    <t>RI 32554</t>
  </si>
  <si>
    <t xml:space="preserve">SEVEN DAYS CORPORATION S.A.C.  </t>
  </si>
  <si>
    <t>E001-321</t>
  </si>
  <si>
    <t>QUISPE ADRIANA</t>
  </si>
  <si>
    <t>RI 32555</t>
  </si>
  <si>
    <t xml:space="preserve">OQUENDO MIGUEL </t>
  </si>
  <si>
    <t>RI 32556</t>
  </si>
  <si>
    <t>TORRES NERY</t>
  </si>
  <si>
    <t>RI 32557</t>
  </si>
  <si>
    <t>QUISPE DOROTEA</t>
  </si>
  <si>
    <t>RI 32558</t>
  </si>
  <si>
    <t>CARLOS ROJAS SILVA </t>
  </si>
  <si>
    <t xml:space="preserve">EB01-6907 </t>
  </si>
  <si>
    <t>RI 32559</t>
  </si>
  <si>
    <t>LEON RODRIGUEZ ANGIE</t>
  </si>
  <si>
    <t>EB01-6908</t>
  </si>
  <si>
    <t>RII 3267</t>
  </si>
  <si>
    <t>PITTMAN NELLY</t>
  </si>
  <si>
    <t>RI 32560</t>
  </si>
  <si>
    <t xml:space="preserve">EB01-6910 </t>
  </si>
  <si>
    <t>INGRESOS DEL DIA 24-02-2026</t>
  </si>
  <si>
    <t>EGRESOS DEL DIA 24-02-2026</t>
  </si>
  <si>
    <t>DE LA CRUZ JOSE</t>
  </si>
  <si>
    <t>RI 32561</t>
  </si>
  <si>
    <t>TK 50775</t>
  </si>
  <si>
    <t>RI 32562</t>
  </si>
  <si>
    <t>ZAPATA ROSANA</t>
  </si>
  <si>
    <t>RI 32563</t>
  </si>
  <si>
    <t>RI 32564</t>
  </si>
  <si>
    <t>TK 50776</t>
  </si>
  <si>
    <t>COTRINA MANRIQUE TITO</t>
  </si>
  <si>
    <t>E001-189</t>
  </si>
  <si>
    <t>INSTALACION DE 1 TOMACORRIENTE PARA LA FOTOCOPIADORA DE LA OFICINA DE ADM.</t>
  </si>
  <si>
    <t>VILLAR RONCAL DIGNA</t>
  </si>
  <si>
    <t>F001-0003488</t>
  </si>
  <si>
    <t>MATERIALES PARA LA INSTALACION DE 1 TOMACORRIENTE PARA LA OFICINA DE ADM</t>
  </si>
  <si>
    <t>RI 32565</t>
  </si>
  <si>
    <t>RI 32566</t>
  </si>
  <si>
    <t>FLORES FLORES UMBELINA</t>
  </si>
  <si>
    <t>RI 32567</t>
  </si>
  <si>
    <t>EB01-6912</t>
  </si>
  <si>
    <t>INGRESOS DEL DIA 25-02-2026</t>
  </si>
  <si>
    <t>EGRESOS DEL DIA 25-02-2026</t>
  </si>
  <si>
    <t>LAPAS MARIA</t>
  </si>
  <si>
    <t>RII 3268</t>
  </si>
  <si>
    <t>TINTAYA PATRICIA</t>
  </si>
  <si>
    <t>RI 32568</t>
  </si>
  <si>
    <t>RI 32569</t>
  </si>
  <si>
    <t>ALHUAY JUANA</t>
  </si>
  <si>
    <t>VASQUEZ TAFUR SONIA</t>
  </si>
  <si>
    <t>E001-322</t>
  </si>
  <si>
    <t>HUAMANI MAXIMO</t>
  </si>
  <si>
    <t>EB01-6913</t>
  </si>
  <si>
    <t>MEDINA JUAN CARLOS</t>
  </si>
  <si>
    <t>RI 32570</t>
  </si>
  <si>
    <t>TK 50777</t>
  </si>
  <si>
    <t>E001-323</t>
  </si>
  <si>
    <t>EB01-6914</t>
  </si>
  <si>
    <t>EB01-6915</t>
  </si>
  <si>
    <t>ALVAREZ EDGAR</t>
  </si>
  <si>
    <t>CASTRO JANETT</t>
  </si>
  <si>
    <t>EB01-6916</t>
  </si>
  <si>
    <t>RII 3269</t>
  </si>
  <si>
    <t>RII 3270</t>
  </si>
  <si>
    <t xml:space="preserve">EB01-6917 </t>
  </si>
  <si>
    <t>RII 3271</t>
  </si>
  <si>
    <t>MENDOZA RICHARD</t>
  </si>
  <si>
    <t>1 USB KINGSTON 16 GB PARA EL ABOGADO DE LA COOPERATIVA - CASO DIEGO</t>
  </si>
  <si>
    <t>HUAMAN TACURI JESUS ALBERTO</t>
  </si>
  <si>
    <t>E001- 15</t>
  </si>
  <si>
    <t>SERVICIO DE MONTAJE Y CONEXION DE 02 TABLEROS Y ESTABILIZADORES DE LOS SSHH DEL PRIMER PISO.</t>
  </si>
  <si>
    <t>MATERIALES PARA SERVICIO DE MONTAJE DE 02 ESTABILIZADORES PARA TRINQUETES DE LOS SSHH DEL PRIMER PISO</t>
  </si>
  <si>
    <t>E001 1129</t>
  </si>
  <si>
    <t>1 CAÑO JARDIN DE BRONCE PARA LA GRUTA DE LA ENTRADA DE LA COOPERATIVA</t>
  </si>
  <si>
    <t xml:space="preserve">EB01-6919 </t>
  </si>
  <si>
    <t>DISTRIBUIDORA ROXAL S.A.C.</t>
  </si>
  <si>
    <t>F002-00004360</t>
  </si>
  <si>
    <t>UTILES DE LIMPIEZA PARA LOS SSHH DEL PRIMER PISO</t>
  </si>
  <si>
    <t>INGRESOS DEL DIA 26-02-2026</t>
  </si>
  <si>
    <t>EGRESOS DEL DIA 26-02-2026</t>
  </si>
  <si>
    <t>RI 32571</t>
  </si>
  <si>
    <t>VALLEJOS MARIA</t>
  </si>
  <si>
    <t>RI 32572</t>
  </si>
  <si>
    <t>RI 32573</t>
  </si>
  <si>
    <t>PODER JUDICIAL</t>
  </si>
  <si>
    <t>HABILITACION DE NOTIFICACION - CASO DIEGO</t>
  </si>
  <si>
    <t>DERECHO DE NOTIFICACION JUDICIAL - CASO DIEGO</t>
  </si>
  <si>
    <t>TK 50778</t>
  </si>
  <si>
    <t>VICENTE JOSE</t>
  </si>
  <si>
    <t>RI 32574</t>
  </si>
  <si>
    <t>RI 32575</t>
  </si>
  <si>
    <t>RI 32576</t>
  </si>
  <si>
    <t>RC 8553</t>
  </si>
  <si>
    <t>REEMPLAZO DEL SR NICANOR PARA LA LIMPIEZA DEL MERCADO DE LOS DIAS 09/16/23 DE FEB. DEL 2026</t>
  </si>
  <si>
    <t>RC 8554</t>
  </si>
  <si>
    <t>DAÑOS AL VEHICULO DE PLACA F3L-210 TOYOTA</t>
  </si>
  <si>
    <t>CADENA DE COMERCIO PERU S.A.C.  OXXO</t>
  </si>
  <si>
    <t>F349-00000988</t>
  </si>
  <si>
    <t>1 SPORADE DE 1.5 LT PARA LA SESION DEL CONSEJO DE ADM.</t>
  </si>
  <si>
    <t>1 AGUA CIELO DE 2.5 LT PARA LA SESION DEL CONSEJO DE ADM</t>
  </si>
  <si>
    <t>1 RITZ TACO PARA LA SESION DEL CONSEJO DE ADM</t>
  </si>
  <si>
    <t xml:space="preserve">EB01-6920 </t>
  </si>
  <si>
    <t>FA01-00012640</t>
  </si>
  <si>
    <t>PAN+JAMON+QUESO PARA LA SESION DEL CONSEJO DE ADM.</t>
  </si>
  <si>
    <t>RC 8555</t>
  </si>
  <si>
    <t>PREVISION SOCIAL POR SALUD A LA SOCIA SOTO MARIA</t>
  </si>
  <si>
    <t>INGRESOS DEL DIA 27-02-2026</t>
  </si>
  <si>
    <t>EGRESOS DEL DIA 27-02-2026</t>
  </si>
  <si>
    <t>EB01-6922</t>
  </si>
  <si>
    <t>SAAVEDRA LUIS</t>
  </si>
  <si>
    <t>1 PAR DE PILAS AAA PARA EL TECLADO DE LA SECRETARIA DE LA OFICINA DE ADM</t>
  </si>
  <si>
    <t>LUJAN JUAN</t>
  </si>
  <si>
    <t>RI 32577</t>
  </si>
  <si>
    <t xml:space="preserve">MULTA POR CAPACITACION </t>
  </si>
  <si>
    <t xml:space="preserve">IDALINA MONTENEGRO BAUTISTA </t>
  </si>
  <si>
    <t xml:space="preserve">EB01-6923 </t>
  </si>
  <si>
    <t>TK 50779</t>
  </si>
  <si>
    <t>PATRICIO PALOMINO MIGUEL ANGEL</t>
  </si>
  <si>
    <t>E001-17</t>
  </si>
  <si>
    <t>CAYRO CARI RUBEN</t>
  </si>
  <si>
    <t>E001- 200</t>
  </si>
  <si>
    <t>ASESORIA LEGAL Y CONSULTORIA DEL MES DE FEBRERO 2026</t>
  </si>
  <si>
    <t>A CUENTA DE 1 MUEBLE PARA LA DOCUMENTACION DE LA OFICINA DE ADM.</t>
  </si>
  <si>
    <t xml:space="preserve">MARGARITA JUANA GOMERO DULANTO </t>
  </si>
  <si>
    <t xml:space="preserve">EB01-6925 </t>
  </si>
  <si>
    <t>EB01-6924</t>
  </si>
  <si>
    <t>RII 3272</t>
  </si>
  <si>
    <t>RI 32578</t>
  </si>
  <si>
    <t>RII 3273</t>
  </si>
  <si>
    <t>RII 3274</t>
  </si>
  <si>
    <t>PRADO ZOZIMA</t>
  </si>
  <si>
    <t>RI 32579</t>
  </si>
  <si>
    <t>MARIN HUAMAN MARIA YNES</t>
  </si>
  <si>
    <t>RI 32580</t>
  </si>
  <si>
    <t>CHOQUEHUAMANI CEFERINO</t>
  </si>
  <si>
    <t>RI 32581</t>
  </si>
  <si>
    <t>QUISPE LUCIANO</t>
  </si>
  <si>
    <t>RI 32582</t>
  </si>
  <si>
    <t>CARTAGENA BENJAMIN</t>
  </si>
  <si>
    <t>RI 32583</t>
  </si>
  <si>
    <t>CARTAGENA ALVARO</t>
  </si>
  <si>
    <t>RI 32584</t>
  </si>
  <si>
    <t>RI 32585</t>
  </si>
  <si>
    <t>RI 32586</t>
  </si>
  <si>
    <t>DURAND BLANCA</t>
  </si>
  <si>
    <t>EB01-6926</t>
  </si>
  <si>
    <t xml:space="preserve">CARTULINAS Y PLUMONES PARA HACER CARTELES POR INCUMPLIMIENTO DE LOS DEPOSITOS </t>
  </si>
  <si>
    <t xml:space="preserve">EB01-6928 </t>
  </si>
  <si>
    <t>INGRESOS DEL DIA 28-02-2026</t>
  </si>
  <si>
    <t>EGRESOS DEL DIA 28-02-2026</t>
  </si>
  <si>
    <t>RI 32587</t>
  </si>
  <si>
    <t xml:space="preserve">INVERSIONES MUYA S.A.C.  </t>
  </si>
  <si>
    <t xml:space="preserve">E001-324 </t>
  </si>
  <si>
    <t>CHIRINOS MARIA</t>
  </si>
  <si>
    <t>RI 32588</t>
  </si>
  <si>
    <t>EB01-6929</t>
  </si>
  <si>
    <t>CAMAN HUABLOCHO LLENY SANDYBELL</t>
  </si>
  <si>
    <t>E001- 546</t>
  </si>
  <si>
    <t>ASESORIA CONTABLE DEL MES DE FEBRERO 2026</t>
  </si>
  <si>
    <t>SUELDO DEL MES DE FEBRERO 2026</t>
  </si>
  <si>
    <t>TK 50780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</si>
</sst>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65" formatCode="[$-C0A]d\-mmm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color rgb="FF000000"/>
      <name val="Verdana"/>
      <family val="2"/>
    </font>
    <font>
      <sz val="14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F4EA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C593D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FBFCD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2">
    <xf numFmtId="0" fontId="0" fillId="0" borderId="0" xfId="0"/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Fill="1"/>
    <xf numFmtId="0" fontId="3" fillId="0" borderId="1" xfId="0" applyFont="1" applyBorder="1" applyAlignment="1">
      <alignment horizontal="center" vertical="center" wrapText="1"/>
    </xf>
    <xf numFmtId="43" fontId="3" fillId="0" borderId="2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43" fontId="3" fillId="0" borderId="1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2" fontId="0" fillId="0" borderId="1" xfId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43" fontId="6" fillId="0" borderId="1" xfId="1" applyFont="1" applyFill="1" applyBorder="1" applyAlignment="1">
      <alignment horizontal="center"/>
    </xf>
    <xf numFmtId="43" fontId="6" fillId="0" borderId="5" xfId="1" applyFont="1" applyFill="1" applyBorder="1"/>
    <xf numFmtId="43" fontId="6" fillId="0" borderId="1" xfId="1" applyFont="1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43" fontId="6" fillId="0" borderId="0" xfId="1" applyFont="1" applyFill="1" applyBorder="1" applyAlignment="1">
      <alignment horizontal="center"/>
    </xf>
    <xf numFmtId="43" fontId="6" fillId="0" borderId="0" xfId="1" applyFont="1" applyFill="1" applyBorder="1"/>
    <xf numFmtId="0" fontId="7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right" vertical="center"/>
    </xf>
    <xf numFmtId="2" fontId="0" fillId="0" borderId="1" xfId="1" applyNumberFormat="1" applyFont="1" applyFill="1" applyBorder="1" applyAlignment="1">
      <alignment horizontal="right" vertical="center"/>
    </xf>
    <xf numFmtId="43" fontId="0" fillId="0" borderId="1" xfId="1" applyFont="1" applyFill="1" applyBorder="1" applyAlignment="1">
      <alignment vertical="center"/>
    </xf>
    <xf numFmtId="43" fontId="1" fillId="0" borderId="1" xfId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43" fontId="3" fillId="3" borderId="1" xfId="0" applyNumberFormat="1" applyFont="1" applyFill="1" applyBorder="1" applyAlignment="1">
      <alignment horizontal="center" vertical="center"/>
    </xf>
    <xf numFmtId="43" fontId="0" fillId="4" borderId="1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7" fontId="3" fillId="0" borderId="6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43" fontId="3" fillId="0" borderId="0" xfId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3" xfId="0" applyBorder="1" applyAlignment="1">
      <alignment vertical="center" wrapText="1"/>
    </xf>
    <xf numFmtId="43" fontId="0" fillId="0" borderId="5" xfId="1" applyFont="1" applyFill="1" applyBorder="1" applyAlignment="1">
      <alignment vertical="center"/>
    </xf>
    <xf numFmtId="0" fontId="8" fillId="0" borderId="0" xfId="0" applyFont="1" applyAlignment="1">
      <alignment horizontal="center"/>
    </xf>
    <xf numFmtId="43" fontId="8" fillId="0" borderId="0" xfId="1" applyFont="1" applyFill="1" applyAlignment="1">
      <alignment horizontal="center"/>
    </xf>
    <xf numFmtId="43" fontId="8" fillId="0" borderId="0" xfId="1" applyFont="1" applyFill="1"/>
    <xf numFmtId="43" fontId="6" fillId="0" borderId="6" xfId="1" applyFont="1" applyFill="1" applyBorder="1" applyAlignment="1">
      <alignment horizontal="center"/>
    </xf>
    <xf numFmtId="43" fontId="6" fillId="0" borderId="6" xfId="1" applyFont="1" applyFill="1" applyBorder="1"/>
    <xf numFmtId="43" fontId="0" fillId="0" borderId="0" xfId="1" applyFont="1" applyFill="1" applyAlignment="1">
      <alignment horizontal="center"/>
    </xf>
    <xf numFmtId="0" fontId="8" fillId="0" borderId="0" xfId="0" applyFont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center"/>
    </xf>
    <xf numFmtId="43" fontId="9" fillId="0" borderId="6" xfId="1" applyFont="1" applyFill="1" applyBorder="1" applyAlignment="1">
      <alignment horizontal="center"/>
    </xf>
    <xf numFmtId="43" fontId="9" fillId="0" borderId="6" xfId="1" applyFont="1" applyFill="1" applyBorder="1"/>
    <xf numFmtId="43" fontId="9" fillId="0" borderId="8" xfId="1" applyFont="1" applyFill="1" applyBorder="1" applyAlignment="1">
      <alignment horizontal="left"/>
    </xf>
    <xf numFmtId="0" fontId="9" fillId="0" borderId="0" xfId="0" applyFont="1" applyAlignment="1">
      <alignment horizontal="center"/>
    </xf>
    <xf numFmtId="43" fontId="9" fillId="0" borderId="0" xfId="1" applyFont="1" applyFill="1" applyBorder="1" applyAlignment="1">
      <alignment horizontal="left"/>
    </xf>
    <xf numFmtId="43" fontId="9" fillId="0" borderId="0" xfId="1" applyFont="1" applyFill="1" applyBorder="1"/>
    <xf numFmtId="0" fontId="8" fillId="0" borderId="10" xfId="0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43" fontId="0" fillId="0" borderId="6" xfId="1" applyFont="1" applyFill="1" applyBorder="1" applyAlignment="1">
      <alignment horizontal="center"/>
    </xf>
    <xf numFmtId="43" fontId="0" fillId="0" borderId="6" xfId="1" applyFont="1" applyFill="1" applyBorder="1"/>
    <xf numFmtId="43" fontId="6" fillId="6" borderId="9" xfId="1" applyFont="1" applyFill="1" applyBorder="1"/>
    <xf numFmtId="0" fontId="0" fillId="0" borderId="0" xfId="0" applyAlignment="1">
      <alignment horizontal="left"/>
    </xf>
    <xf numFmtId="43" fontId="0" fillId="0" borderId="8" xfId="1" applyFont="1" applyFill="1" applyBorder="1" applyAlignment="1">
      <alignment horizontal="center"/>
    </xf>
    <xf numFmtId="43" fontId="6" fillId="0" borderId="9" xfId="1" applyFont="1" applyFill="1" applyBorder="1"/>
    <xf numFmtId="43" fontId="4" fillId="0" borderId="8" xfId="1" applyFont="1" applyFill="1" applyBorder="1" applyAlignment="1">
      <alignment horizontal="center"/>
    </xf>
    <xf numFmtId="43" fontId="4" fillId="0" borderId="6" xfId="1" applyFont="1" applyFill="1" applyBorder="1"/>
    <xf numFmtId="43" fontId="4" fillId="0" borderId="9" xfId="1" applyFont="1" applyFill="1" applyBorder="1"/>
    <xf numFmtId="0" fontId="4" fillId="0" borderId="0" xfId="0" applyFont="1" applyAlignment="1">
      <alignment horizontal="center"/>
    </xf>
    <xf numFmtId="43" fontId="4" fillId="0" borderId="0" xfId="1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3" fontId="3" fillId="0" borderId="2" xfId="1" applyFont="1" applyFill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vertical="center" wrapText="1"/>
    </xf>
    <xf numFmtId="0" fontId="6" fillId="0" borderId="16" xfId="0" applyFont="1" applyBorder="1" applyAlignment="1">
      <alignment horizontal="center"/>
    </xf>
    <xf numFmtId="43" fontId="6" fillId="0" borderId="4" xfId="1" applyFont="1" applyFill="1" applyBorder="1"/>
    <xf numFmtId="0" fontId="0" fillId="0" borderId="0" xfId="0" applyAlignment="1">
      <alignment horizontal="left" vertical="center" wrapText="1"/>
    </xf>
    <xf numFmtId="43" fontId="0" fillId="0" borderId="0" xfId="1" applyFont="1" applyFill="1" applyBorder="1" applyAlignment="1">
      <alignment horizontal="left" vertical="center" wrapText="1"/>
    </xf>
    <xf numFmtId="43" fontId="2" fillId="0" borderId="0" xfId="0" applyNumberFormat="1" applyFont="1" applyAlignment="1">
      <alignment horizontal="center"/>
    </xf>
    <xf numFmtId="43" fontId="0" fillId="0" borderId="17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3" fontId="8" fillId="0" borderId="18" xfId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43" fontId="2" fillId="0" borderId="0" xfId="1" applyFont="1" applyFill="1"/>
    <xf numFmtId="43" fontId="0" fillId="0" borderId="0" xfId="0" applyNumberFormat="1"/>
    <xf numFmtId="14" fontId="0" fillId="0" borderId="0" xfId="0" applyNumberFormat="1"/>
    <xf numFmtId="0" fontId="10" fillId="0" borderId="0" xfId="0" applyFont="1"/>
    <xf numFmtId="0" fontId="10" fillId="0" borderId="19" xfId="0" applyFont="1" applyBorder="1" applyAlignment="1">
      <alignment horizontal="center" vertical="center"/>
    </xf>
    <xf numFmtId="4" fontId="10" fillId="0" borderId="13" xfId="0" applyNumberFormat="1" applyFont="1" applyBorder="1" applyAlignment="1">
      <alignment horizontal="center" vertical="center"/>
    </xf>
    <xf numFmtId="4" fontId="10" fillId="0" borderId="8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4" fontId="10" fillId="0" borderId="20" xfId="0" applyNumberFormat="1" applyFont="1" applyBorder="1" applyAlignment="1">
      <alignment horizontal="center" vertical="center"/>
    </xf>
    <xf numFmtId="4" fontId="10" fillId="5" borderId="1" xfId="0" applyNumberFormat="1" applyFont="1" applyFill="1" applyBorder="1" applyAlignment="1">
      <alignment horizontal="center" vertical="center"/>
    </xf>
    <xf numFmtId="4" fontId="10" fillId="9" borderId="1" xfId="0" applyNumberFormat="1" applyFont="1" applyFill="1" applyBorder="1" applyAlignment="1">
      <alignment horizontal="center" vertical="center"/>
    </xf>
    <xf numFmtId="4" fontId="10" fillId="10" borderId="1" xfId="0" applyNumberFormat="1" applyFont="1" applyFill="1" applyBorder="1" applyAlignment="1">
      <alignment horizontal="center" vertical="center" wrapText="1"/>
    </xf>
    <xf numFmtId="4" fontId="10" fillId="3" borderId="1" xfId="0" applyNumberFormat="1" applyFont="1" applyFill="1" applyBorder="1" applyAlignment="1">
      <alignment horizontal="center" vertical="center" wrapText="1"/>
    </xf>
    <xf numFmtId="4" fontId="10" fillId="11" borderId="1" xfId="0" applyNumberFormat="1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/>
    </xf>
    <xf numFmtId="4" fontId="10" fillId="0" borderId="9" xfId="0" applyNumberFormat="1" applyFont="1" applyBorder="1" applyAlignment="1">
      <alignment horizontal="center" vertical="center" wrapText="1"/>
    </xf>
    <xf numFmtId="4" fontId="10" fillId="12" borderId="9" xfId="0" applyNumberFormat="1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/>
    </xf>
    <xf numFmtId="43" fontId="10" fillId="0" borderId="24" xfId="0" applyNumberFormat="1" applyFont="1" applyBorder="1"/>
    <xf numFmtId="43" fontId="10" fillId="0" borderId="25" xfId="0" applyNumberFormat="1" applyFont="1" applyBorder="1"/>
    <xf numFmtId="43" fontId="10" fillId="0" borderId="26" xfId="0" applyNumberFormat="1" applyFont="1" applyBorder="1"/>
    <xf numFmtId="43" fontId="10" fillId="0" borderId="1" xfId="0" applyNumberFormat="1" applyFont="1" applyBorder="1"/>
    <xf numFmtId="43" fontId="10" fillId="0" borderId="0" xfId="0" applyNumberFormat="1" applyFont="1"/>
    <xf numFmtId="43" fontId="10" fillId="0" borderId="21" xfId="0" applyNumberFormat="1" applyFont="1" applyBorder="1"/>
    <xf numFmtId="165" fontId="10" fillId="0" borderId="27" xfId="0" applyNumberFormat="1" applyFont="1" applyBorder="1"/>
    <xf numFmtId="43" fontId="10" fillId="0" borderId="4" xfId="0" applyNumberFormat="1" applyFont="1" applyBorder="1"/>
    <xf numFmtId="43" fontId="10" fillId="0" borderId="27" xfId="0" applyNumberFormat="1" applyFont="1" applyBorder="1"/>
    <xf numFmtId="43" fontId="10" fillId="0" borderId="28" xfId="0" applyNumberFormat="1" applyFont="1" applyBorder="1"/>
    <xf numFmtId="43" fontId="10" fillId="0" borderId="29" xfId="0" applyNumberFormat="1" applyFont="1" applyBorder="1"/>
    <xf numFmtId="43" fontId="11" fillId="0" borderId="25" xfId="0" applyNumberFormat="1" applyFont="1" applyBorder="1"/>
    <xf numFmtId="43" fontId="10" fillId="0" borderId="30" xfId="0" applyNumberFormat="1" applyFont="1" applyBorder="1"/>
    <xf numFmtId="0" fontId="2" fillId="0" borderId="0" xfId="0" applyFont="1"/>
    <xf numFmtId="0" fontId="10" fillId="0" borderId="30" xfId="0" applyFont="1" applyBorder="1"/>
    <xf numFmtId="43" fontId="6" fillId="0" borderId="25" xfId="0" applyNumberFormat="1" applyFont="1" applyBorder="1"/>
    <xf numFmtId="43" fontId="10" fillId="0" borderId="31" xfId="0" applyNumberFormat="1" applyFont="1" applyBorder="1"/>
    <xf numFmtId="43" fontId="10" fillId="0" borderId="25" xfId="0" applyNumberFormat="1" applyFont="1" applyBorder="1" applyAlignment="1">
      <alignment horizontal="center"/>
    </xf>
    <xf numFmtId="0" fontId="0" fillId="15" borderId="0" xfId="0" applyFill="1"/>
    <xf numFmtId="0" fontId="0" fillId="0" borderId="0" xfId="0" applyAlignment="1">
      <alignment horizontal="center" vertical="center"/>
    </xf>
    <xf numFmtId="43" fontId="10" fillId="0" borderId="32" xfId="0" applyNumberFormat="1" applyFont="1" applyBorder="1"/>
    <xf numFmtId="0" fontId="0" fillId="16" borderId="0" xfId="0" applyFill="1" applyAlignment="1">
      <alignment horizontal="center"/>
    </xf>
    <xf numFmtId="0" fontId="0" fillId="6" borderId="0" xfId="0" applyFill="1"/>
    <xf numFmtId="2" fontId="0" fillId="13" borderId="0" xfId="0" applyNumberFormat="1" applyFill="1"/>
    <xf numFmtId="2" fontId="0" fillId="15" borderId="0" xfId="0" applyNumberFormat="1" applyFill="1"/>
    <xf numFmtId="0" fontId="3" fillId="0" borderId="0" xfId="0" applyFont="1"/>
    <xf numFmtId="0" fontId="0" fillId="17" borderId="0" xfId="0" applyFill="1"/>
    <xf numFmtId="2" fontId="0" fillId="17" borderId="0" xfId="0" applyNumberFormat="1" applyFill="1"/>
    <xf numFmtId="43" fontId="6" fillId="0" borderId="2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3" fontId="10" fillId="0" borderId="13" xfId="0" applyNumberFormat="1" applyFont="1" applyBorder="1"/>
    <xf numFmtId="0" fontId="10" fillId="0" borderId="6" xfId="0" applyFont="1" applyBorder="1"/>
    <xf numFmtId="43" fontId="10" fillId="0" borderId="6" xfId="0" applyNumberFormat="1" applyFont="1" applyBorder="1"/>
    <xf numFmtId="43" fontId="10" fillId="6" borderId="6" xfId="0" applyNumberFormat="1" applyFont="1" applyFill="1" applyBorder="1"/>
    <xf numFmtId="0" fontId="10" fillId="0" borderId="9" xfId="0" applyFont="1" applyBorder="1"/>
    <xf numFmtId="43" fontId="10" fillId="0" borderId="9" xfId="0" applyNumberFormat="1" applyFont="1" applyBorder="1"/>
    <xf numFmtId="43" fontId="0" fillId="0" borderId="4" xfId="0" applyNumberFormat="1" applyBorder="1"/>
    <xf numFmtId="43" fontId="10" fillId="6" borderId="0" xfId="0" applyNumberFormat="1" applyFont="1" applyFill="1"/>
    <xf numFmtId="0" fontId="0" fillId="0" borderId="10" xfId="0" applyBorder="1"/>
    <xf numFmtId="0" fontId="0" fillId="0" borderId="1" xfId="0" applyBorder="1"/>
    <xf numFmtId="0" fontId="0" fillId="0" borderId="16" xfId="0" applyBorder="1"/>
    <xf numFmtId="165" fontId="10" fillId="0" borderId="27" xfId="0" applyNumberFormat="1" applyFont="1" applyFill="1" applyBorder="1"/>
    <xf numFmtId="43" fontId="10" fillId="0" borderId="21" xfId="0" applyNumberFormat="1" applyFont="1" applyFill="1" applyBorder="1"/>
    <xf numFmtId="43" fontId="10" fillId="0" borderId="31" xfId="0" applyNumberFormat="1" applyFont="1" applyFill="1" applyBorder="1"/>
    <xf numFmtId="43" fontId="10" fillId="0" borderId="30" xfId="0" applyNumberFormat="1" applyFont="1" applyFill="1" applyBorder="1"/>
    <xf numFmtId="43" fontId="10" fillId="0" borderId="1" xfId="0" applyNumberFormat="1" applyFont="1" applyFill="1" applyBorder="1"/>
    <xf numFmtId="43" fontId="10" fillId="0" borderId="27" xfId="0" applyNumberFormat="1" applyFont="1" applyFill="1" applyBorder="1"/>
    <xf numFmtId="43" fontId="10" fillId="0" borderId="28" xfId="0" applyNumberFormat="1" applyFont="1" applyFill="1" applyBorder="1"/>
    <xf numFmtId="0" fontId="10" fillId="0" borderId="30" xfId="0" applyFont="1" applyFill="1" applyBorder="1"/>
    <xf numFmtId="43" fontId="10" fillId="0" borderId="24" xfId="0" applyNumberFormat="1" applyFont="1" applyFill="1" applyBorder="1"/>
    <xf numFmtId="43" fontId="10" fillId="0" borderId="25" xfId="0" applyNumberFormat="1" applyFont="1" applyFill="1" applyBorder="1"/>
    <xf numFmtId="43" fontId="6" fillId="0" borderId="25" xfId="0" applyNumberFormat="1" applyFont="1" applyFill="1" applyBorder="1"/>
    <xf numFmtId="43" fontId="10" fillId="0" borderId="26" xfId="0" applyNumberFormat="1" applyFont="1" applyFill="1" applyBorder="1"/>
    <xf numFmtId="43" fontId="10" fillId="0" borderId="0" xfId="0" applyNumberFormat="1" applyFont="1" applyFill="1"/>
    <xf numFmtId="0" fontId="0" fillId="0" borderId="0" xfId="0" applyFill="1"/>
    <xf numFmtId="2" fontId="0" fillId="0" borderId="0" xfId="0" applyNumberFormat="1" applyFill="1"/>
    <xf numFmtId="43" fontId="10" fillId="0" borderId="32" xfId="0" applyNumberFormat="1" applyFont="1" applyFill="1" applyBorder="1"/>
    <xf numFmtId="0" fontId="10" fillId="0" borderId="0" xfId="0" applyFont="1" applyFill="1"/>
    <xf numFmtId="43" fontId="6" fillId="0" borderId="25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center" wrapText="1"/>
    </xf>
    <xf numFmtId="0" fontId="15" fillId="0" borderId="0" xfId="0" applyFont="1"/>
    <xf numFmtId="15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43" fontId="15" fillId="0" borderId="0" xfId="1" applyFont="1" applyFill="1"/>
    <xf numFmtId="0" fontId="16" fillId="0" borderId="1" xfId="0" applyFont="1" applyBorder="1" applyAlignment="1">
      <alignment horizontal="center" vertical="center" wrapText="1"/>
    </xf>
    <xf numFmtId="43" fontId="16" fillId="0" borderId="2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7" fontId="16" fillId="0" borderId="1" xfId="0" applyNumberFormat="1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17" fontId="15" fillId="0" borderId="1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43" fontId="16" fillId="0" borderId="1" xfId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 wrapText="1"/>
    </xf>
    <xf numFmtId="17" fontId="15" fillId="0" borderId="3" xfId="0" applyNumberFormat="1" applyFont="1" applyBorder="1" applyAlignment="1">
      <alignment horizontal="center" vertical="center" wrapText="1"/>
    </xf>
    <xf numFmtId="2" fontId="15" fillId="0" borderId="1" xfId="1" applyNumberFormat="1" applyFont="1" applyFill="1" applyBorder="1" applyAlignment="1">
      <alignment vertical="center"/>
    </xf>
    <xf numFmtId="0" fontId="11" fillId="0" borderId="1" xfId="0" applyFont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43" fontId="11" fillId="0" borderId="5" xfId="1" applyFont="1" applyFill="1" applyBorder="1"/>
    <xf numFmtId="43" fontId="11" fillId="0" borderId="1" xfId="1" applyFont="1" applyFill="1" applyBorder="1"/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43" fontId="11" fillId="0" borderId="0" xfId="1" applyFont="1" applyFill="1" applyBorder="1" applyAlignment="1">
      <alignment horizontal="center"/>
    </xf>
    <xf numFmtId="43" fontId="11" fillId="0" borderId="0" xfId="1" applyFont="1" applyFill="1" applyBorder="1"/>
    <xf numFmtId="0" fontId="17" fillId="0" borderId="1" xfId="0" applyFont="1" applyBorder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3" fontId="16" fillId="0" borderId="1" xfId="1" applyFont="1" applyFill="1" applyBorder="1" applyAlignment="1">
      <alignment horizontal="center" vertical="center"/>
    </xf>
    <xf numFmtId="43" fontId="15" fillId="0" borderId="1" xfId="1" applyFont="1" applyFill="1" applyBorder="1" applyAlignment="1">
      <alignment horizontal="right" vertical="center"/>
    </xf>
    <xf numFmtId="2" fontId="15" fillId="0" borderId="1" xfId="1" applyNumberFormat="1" applyFont="1" applyFill="1" applyBorder="1" applyAlignment="1">
      <alignment horizontal="right" vertical="center"/>
    </xf>
    <xf numFmtId="43" fontId="15" fillId="0" borderId="1" xfId="1" applyFont="1" applyFill="1" applyBorder="1" applyAlignment="1">
      <alignment vertical="center"/>
    </xf>
    <xf numFmtId="43" fontId="15" fillId="0" borderId="1" xfId="1" applyFont="1" applyFill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right" vertical="center" wrapText="1"/>
    </xf>
    <xf numFmtId="2" fontId="16" fillId="0" borderId="1" xfId="0" applyNumberFormat="1" applyFont="1" applyBorder="1" applyAlignment="1">
      <alignment horizontal="right" vertical="center" wrapText="1"/>
    </xf>
    <xf numFmtId="0" fontId="16" fillId="0" borderId="4" xfId="0" applyFont="1" applyBorder="1" applyAlignment="1">
      <alignment horizontal="center" vertical="center" wrapText="1"/>
    </xf>
    <xf numFmtId="17" fontId="15" fillId="0" borderId="4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3" fontId="16" fillId="3" borderId="1" xfId="0" applyNumberFormat="1" applyFont="1" applyFill="1" applyBorder="1" applyAlignment="1">
      <alignment horizontal="center" vertical="center"/>
    </xf>
    <xf numFmtId="43" fontId="15" fillId="4" borderId="1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17" fontId="16" fillId="0" borderId="6" xfId="0" applyNumberFormat="1" applyFont="1" applyBorder="1" applyAlignment="1">
      <alignment horizontal="center" vertical="center" wrapText="1"/>
    </xf>
    <xf numFmtId="2" fontId="16" fillId="0" borderId="6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43" fontId="16" fillId="0" borderId="0" xfId="1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43" fontId="16" fillId="0" borderId="0" xfId="0" applyNumberFormat="1" applyFont="1" applyAlignment="1">
      <alignment horizontal="center" vertical="center"/>
    </xf>
    <xf numFmtId="43" fontId="15" fillId="0" borderId="0" xfId="0" applyNumberFormat="1" applyFont="1" applyAlignment="1">
      <alignment horizontal="center" vertical="center"/>
    </xf>
    <xf numFmtId="2" fontId="15" fillId="0" borderId="0" xfId="0" applyNumberFormat="1" applyFont="1"/>
    <xf numFmtId="0" fontId="15" fillId="0" borderId="3" xfId="0" applyFont="1" applyBorder="1" applyAlignment="1">
      <alignment vertical="center" wrapText="1"/>
    </xf>
    <xf numFmtId="43" fontId="15" fillId="0" borderId="5" xfId="1" applyFont="1" applyFill="1" applyBorder="1" applyAlignment="1">
      <alignment vertical="center"/>
    </xf>
    <xf numFmtId="0" fontId="18" fillId="0" borderId="0" xfId="0" applyFont="1" applyAlignment="1">
      <alignment horizontal="center"/>
    </xf>
    <xf numFmtId="43" fontId="18" fillId="0" borderId="0" xfId="1" applyFont="1" applyFill="1" applyAlignment="1">
      <alignment horizontal="center"/>
    </xf>
    <xf numFmtId="43" fontId="18" fillId="0" borderId="0" xfId="1" applyFont="1" applyFill="1"/>
    <xf numFmtId="43" fontId="11" fillId="0" borderId="6" xfId="1" applyFont="1" applyFill="1" applyBorder="1" applyAlignment="1">
      <alignment horizontal="center"/>
    </xf>
    <xf numFmtId="43" fontId="11" fillId="0" borderId="6" xfId="1" applyFont="1" applyFill="1" applyBorder="1"/>
    <xf numFmtId="43" fontId="15" fillId="0" borderId="0" xfId="1" applyFont="1" applyFill="1" applyAlignment="1">
      <alignment horizontal="center"/>
    </xf>
    <xf numFmtId="0" fontId="18" fillId="0" borderId="0" xfId="0" applyFont="1" applyAlignment="1">
      <alignment horizontal="left"/>
    </xf>
    <xf numFmtId="0" fontId="19" fillId="0" borderId="8" xfId="0" applyFont="1" applyBorder="1" applyAlignment="1">
      <alignment horizontal="left"/>
    </xf>
    <xf numFmtId="0" fontId="19" fillId="0" borderId="9" xfId="0" applyFont="1" applyBorder="1" applyAlignment="1">
      <alignment horizontal="center"/>
    </xf>
    <xf numFmtId="43" fontId="19" fillId="0" borderId="6" xfId="1" applyFont="1" applyFill="1" applyBorder="1" applyAlignment="1">
      <alignment horizontal="center"/>
    </xf>
    <xf numFmtId="43" fontId="19" fillId="0" borderId="6" xfId="1" applyFont="1" applyFill="1" applyBorder="1"/>
    <xf numFmtId="43" fontId="19" fillId="0" borderId="8" xfId="1" applyFont="1" applyFill="1" applyBorder="1" applyAlignment="1">
      <alignment horizontal="left"/>
    </xf>
    <xf numFmtId="0" fontId="19" fillId="0" borderId="0" xfId="0" applyFont="1" applyAlignment="1">
      <alignment horizontal="center"/>
    </xf>
    <xf numFmtId="43" fontId="19" fillId="0" borderId="0" xfId="1" applyFont="1" applyFill="1" applyBorder="1" applyAlignment="1">
      <alignment horizontal="left"/>
    </xf>
    <xf numFmtId="43" fontId="19" fillId="0" borderId="0" xfId="1" applyFont="1" applyFill="1" applyBorder="1"/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15" fillId="0" borderId="8" xfId="0" applyFont="1" applyBorder="1" applyAlignment="1">
      <alignment horizontal="left"/>
    </xf>
    <xf numFmtId="0" fontId="15" fillId="0" borderId="9" xfId="0" applyFont="1" applyBorder="1" applyAlignment="1">
      <alignment horizontal="center"/>
    </xf>
    <xf numFmtId="43" fontId="15" fillId="0" borderId="6" xfId="1" applyFont="1" applyFill="1" applyBorder="1" applyAlignment="1">
      <alignment horizontal="center"/>
    </xf>
    <xf numFmtId="43" fontId="15" fillId="0" borderId="6" xfId="1" applyFont="1" applyFill="1" applyBorder="1"/>
    <xf numFmtId="43" fontId="11" fillId="6" borderId="9" xfId="1" applyFont="1" applyFill="1" applyBorder="1"/>
    <xf numFmtId="0" fontId="15" fillId="0" borderId="0" xfId="0" applyFont="1" applyAlignment="1">
      <alignment horizontal="left"/>
    </xf>
    <xf numFmtId="43" fontId="15" fillId="0" borderId="8" xfId="1" applyFont="1" applyFill="1" applyBorder="1" applyAlignment="1">
      <alignment horizontal="center"/>
    </xf>
    <xf numFmtId="43" fontId="11" fillId="0" borderId="9" xfId="1" applyFont="1" applyFill="1" applyBorder="1"/>
    <xf numFmtId="43" fontId="14" fillId="0" borderId="8" xfId="1" applyFont="1" applyFill="1" applyBorder="1" applyAlignment="1">
      <alignment horizontal="center"/>
    </xf>
    <xf numFmtId="43" fontId="14" fillId="0" borderId="6" xfId="1" applyFont="1" applyFill="1" applyBorder="1"/>
    <xf numFmtId="43" fontId="14" fillId="0" borderId="9" xfId="1" applyFont="1" applyFill="1" applyBorder="1"/>
    <xf numFmtId="0" fontId="14" fillId="0" borderId="0" xfId="0" applyFont="1" applyAlignment="1">
      <alignment horizontal="center"/>
    </xf>
    <xf numFmtId="43" fontId="14" fillId="0" borderId="0" xfId="1" applyFont="1" applyFill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43" fontId="16" fillId="0" borderId="2" xfId="1" applyFont="1" applyFill="1" applyBorder="1" applyAlignment="1">
      <alignment horizontal="center"/>
    </xf>
    <xf numFmtId="0" fontId="15" fillId="0" borderId="12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vertical="center" wrapText="1"/>
    </xf>
    <xf numFmtId="0" fontId="11" fillId="0" borderId="16" xfId="0" applyFont="1" applyBorder="1" applyAlignment="1">
      <alignment horizontal="center"/>
    </xf>
    <xf numFmtId="43" fontId="11" fillId="0" borderId="4" xfId="1" applyFont="1" applyFill="1" applyBorder="1"/>
    <xf numFmtId="0" fontId="15" fillId="0" borderId="0" xfId="0" applyFont="1" applyAlignment="1">
      <alignment horizontal="left" vertical="center" wrapText="1"/>
    </xf>
    <xf numFmtId="43" fontId="15" fillId="0" borderId="0" xfId="1" applyFont="1" applyFill="1" applyBorder="1" applyAlignment="1">
      <alignment horizontal="left" vertical="center" wrapText="1"/>
    </xf>
    <xf numFmtId="43" fontId="15" fillId="0" borderId="0" xfId="0" applyNumberFormat="1" applyFont="1" applyAlignment="1">
      <alignment horizontal="center"/>
    </xf>
    <xf numFmtId="43" fontId="15" fillId="0" borderId="17" xfId="1" applyFont="1" applyFill="1" applyBorder="1" applyAlignment="1">
      <alignment horizontal="center"/>
    </xf>
    <xf numFmtId="16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43" fontId="18" fillId="0" borderId="18" xfId="1" applyFont="1" applyFill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43" fontId="15" fillId="0" borderId="0" xfId="0" applyNumberFormat="1" applyFont="1"/>
    <xf numFmtId="14" fontId="15" fillId="0" borderId="0" xfId="0" applyNumberFormat="1" applyFont="1"/>
    <xf numFmtId="43" fontId="6" fillId="7" borderId="25" xfId="0" applyNumberFormat="1" applyFont="1" applyFill="1" applyBorder="1"/>
    <xf numFmtId="2" fontId="5" fillId="0" borderId="0" xfId="0" applyNumberFormat="1" applyFont="1" applyAlignment="1">
      <alignment horizontal="center"/>
    </xf>
    <xf numFmtId="2" fontId="6" fillId="0" borderId="5" xfId="1" applyNumberFormat="1" applyFont="1" applyFill="1" applyBorder="1"/>
    <xf numFmtId="2" fontId="6" fillId="0" borderId="0" xfId="1" applyNumberFormat="1" applyFont="1" applyFill="1" applyBorder="1"/>
    <xf numFmtId="2" fontId="3" fillId="0" borderId="7" xfId="0" applyNumberFormat="1" applyFont="1" applyBorder="1" applyAlignment="1">
      <alignment horizontal="center" vertical="center" wrapText="1"/>
    </xf>
    <xf numFmtId="2" fontId="0" fillId="0" borderId="5" xfId="1" applyNumberFormat="1" applyFont="1" applyFill="1" applyBorder="1" applyAlignment="1">
      <alignment vertical="center"/>
    </xf>
    <xf numFmtId="2" fontId="8" fillId="0" borderId="0" xfId="1" applyNumberFormat="1" applyFont="1" applyFill="1"/>
    <xf numFmtId="2" fontId="6" fillId="0" borderId="6" xfId="1" applyNumberFormat="1" applyFont="1" applyFill="1" applyBorder="1"/>
    <xf numFmtId="2" fontId="0" fillId="0" borderId="0" xfId="1" applyNumberFormat="1" applyFont="1" applyFill="1"/>
    <xf numFmtId="2" fontId="9" fillId="0" borderId="6" xfId="1" applyNumberFormat="1" applyFont="1" applyFill="1" applyBorder="1"/>
    <xf numFmtId="2" fontId="9" fillId="0" borderId="0" xfId="1" applyNumberFormat="1" applyFont="1" applyFill="1" applyBorder="1"/>
    <xf numFmtId="2" fontId="0" fillId="0" borderId="6" xfId="1" applyNumberFormat="1" applyFont="1" applyFill="1" applyBorder="1"/>
    <xf numFmtId="2" fontId="4" fillId="0" borderId="6" xfId="1" applyNumberFormat="1" applyFont="1" applyFill="1" applyBorder="1"/>
    <xf numFmtId="2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left" vertical="center" wrapText="1"/>
    </xf>
    <xf numFmtId="2" fontId="0" fillId="0" borderId="0" xfId="0" applyNumberFormat="1" applyAlignment="1">
      <alignment vertical="center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7" fontId="0" fillId="0" borderId="1" xfId="0" applyNumberFormat="1" applyFont="1" applyBorder="1" applyAlignment="1">
      <alignment horizontal="center" vertical="center" wrapText="1"/>
    </xf>
    <xf numFmtId="2" fontId="0" fillId="0" borderId="1" xfId="0" applyNumberFormat="1" applyFont="1" applyBorder="1" applyAlignment="1">
      <alignment horizontal="right" vertical="center" wrapText="1"/>
    </xf>
    <xf numFmtId="0" fontId="5" fillId="0" borderId="9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17" fontId="0" fillId="0" borderId="25" xfId="0" applyNumberForma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right" vertical="center" wrapText="1"/>
    </xf>
    <xf numFmtId="2" fontId="0" fillId="0" borderId="9" xfId="0" applyNumberFormat="1" applyFont="1" applyBorder="1" applyAlignment="1">
      <alignment horizontal="right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2" fontId="0" fillId="0" borderId="0" xfId="1" applyNumberFormat="1" applyFont="1" applyFill="1" applyBorder="1" applyAlignment="1">
      <alignment vertical="center"/>
    </xf>
    <xf numFmtId="2" fontId="0" fillId="0" borderId="3" xfId="0" applyNumberFormat="1" applyBorder="1"/>
    <xf numFmtId="2" fontId="0" fillId="0" borderId="1" xfId="0" applyNumberFormat="1" applyBorder="1"/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7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5" fontId="10" fillId="18" borderId="27" xfId="0" applyNumberFormat="1" applyFont="1" applyFill="1" applyBorder="1"/>
    <xf numFmtId="43" fontId="10" fillId="18" borderId="21" xfId="0" applyNumberFormat="1" applyFont="1" applyFill="1" applyBorder="1"/>
    <xf numFmtId="43" fontId="10" fillId="18" borderId="4" xfId="0" applyNumberFormat="1" applyFont="1" applyFill="1" applyBorder="1"/>
    <xf numFmtId="43" fontId="10" fillId="18" borderId="1" xfId="0" applyNumberFormat="1" applyFont="1" applyFill="1" applyBorder="1"/>
    <xf numFmtId="43" fontId="10" fillId="18" borderId="27" xfId="0" applyNumberFormat="1" applyFont="1" applyFill="1" applyBorder="1"/>
    <xf numFmtId="43" fontId="10" fillId="18" borderId="28" xfId="0" applyNumberFormat="1" applyFont="1" applyFill="1" applyBorder="1"/>
    <xf numFmtId="0" fontId="10" fillId="18" borderId="30" xfId="0" applyFont="1" applyFill="1" applyBorder="1"/>
    <xf numFmtId="43" fontId="10" fillId="18" borderId="24" xfId="0" applyNumberFormat="1" applyFont="1" applyFill="1" applyBorder="1"/>
    <xf numFmtId="43" fontId="10" fillId="18" borderId="25" xfId="0" applyNumberFormat="1" applyFont="1" applyFill="1" applyBorder="1"/>
    <xf numFmtId="43" fontId="6" fillId="18" borderId="25" xfId="0" applyNumberFormat="1" applyFont="1" applyFill="1" applyBorder="1"/>
    <xf numFmtId="0" fontId="6" fillId="18" borderId="25" xfId="0" applyFont="1" applyFill="1" applyBorder="1" applyAlignment="1">
      <alignment horizontal="center" vertical="center"/>
    </xf>
    <xf numFmtId="43" fontId="10" fillId="18" borderId="26" xfId="0" applyNumberFormat="1" applyFont="1" applyFill="1" applyBorder="1"/>
    <xf numFmtId="43" fontId="10" fillId="18" borderId="0" xfId="0" applyNumberFormat="1" applyFont="1" applyFill="1"/>
    <xf numFmtId="0" fontId="0" fillId="18" borderId="0" xfId="0" applyFill="1"/>
    <xf numFmtId="0" fontId="4" fillId="0" borderId="0" xfId="0" applyFont="1" applyAlignment="1">
      <alignment horizontal="center"/>
    </xf>
    <xf numFmtId="17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" fontId="0" fillId="0" borderId="25" xfId="0" applyNumberFormat="1" applyBorder="1" applyAlignment="1">
      <alignment horizontal="center" vertical="center" wrapText="1"/>
    </xf>
    <xf numFmtId="43" fontId="1" fillId="0" borderId="1" xfId="1" applyFont="1" applyFill="1" applyBorder="1" applyAlignment="1">
      <alignment horizontal="right" vertical="center"/>
    </xf>
    <xf numFmtId="2" fontId="0" fillId="0" borderId="1" xfId="0" applyNumberFormat="1" applyFont="1" applyBorder="1" applyAlignment="1">
      <alignment horizontal="center" vertical="center" wrapText="1"/>
    </xf>
    <xf numFmtId="43" fontId="1" fillId="0" borderId="2" xfId="1" applyFont="1" applyFill="1" applyBorder="1" applyAlignment="1">
      <alignment horizontal="center" vertical="center" wrapText="1"/>
    </xf>
    <xf numFmtId="43" fontId="0" fillId="0" borderId="0" xfId="1" applyFont="1" applyFill="1" applyBorder="1" applyAlignment="1">
      <alignment vertical="center"/>
    </xf>
    <xf numFmtId="17" fontId="0" fillId="0" borderId="1" xfId="0" applyNumberFormat="1" applyFill="1" applyBorder="1" applyAlignment="1">
      <alignment horizontal="center" vertical="center" wrapText="1"/>
    </xf>
    <xf numFmtId="2" fontId="0" fillId="0" borderId="1" xfId="0" applyNumberFormat="1" applyFill="1" applyBorder="1"/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7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2" fontId="0" fillId="18" borderId="0" xfId="0" applyNumberFormat="1" applyFill="1"/>
    <xf numFmtId="43" fontId="10" fillId="0" borderId="4" xfId="0" applyNumberFormat="1" applyFont="1" applyFill="1" applyBorder="1"/>
    <xf numFmtId="43" fontId="6" fillId="5" borderId="25" xfId="0" applyNumberFormat="1" applyFont="1" applyFill="1" applyBorder="1"/>
    <xf numFmtId="4" fontId="10" fillId="20" borderId="9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7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7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7" fontId="0" fillId="0" borderId="3" xfId="0" applyNumberFormat="1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/>
    </xf>
    <xf numFmtId="17" fontId="0" fillId="0" borderId="1" xfId="0" applyNumberFormat="1" applyFont="1" applyBorder="1" applyAlignment="1">
      <alignment horizontal="right" vertical="center" wrapText="1"/>
    </xf>
    <xf numFmtId="0" fontId="0" fillId="0" borderId="3" xfId="0" applyFont="1" applyBorder="1" applyAlignment="1">
      <alignment horizontal="right" vertical="center" wrapText="1"/>
    </xf>
    <xf numFmtId="43" fontId="1" fillId="0" borderId="1" xfId="1" applyFont="1" applyFill="1" applyBorder="1" applyAlignment="1">
      <alignment horizontal="center" vertical="center"/>
    </xf>
    <xf numFmtId="43" fontId="1" fillId="0" borderId="1" xfId="1" applyFont="1" applyFill="1" applyBorder="1" applyAlignment="1">
      <alignment vertical="center"/>
    </xf>
    <xf numFmtId="43" fontId="6" fillId="19" borderId="25" xfId="0" applyNumberFormat="1" applyFont="1" applyFill="1" applyBorder="1"/>
    <xf numFmtId="0" fontId="4" fillId="0" borderId="0" xfId="0" applyFont="1" applyAlignment="1">
      <alignment horizontal="center"/>
    </xf>
    <xf numFmtId="17" fontId="0" fillId="0" borderId="3" xfId="0" applyNumberFormat="1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 wrapText="1"/>
    </xf>
    <xf numFmtId="43" fontId="6" fillId="0" borderId="4" xfId="1" applyFont="1" applyFill="1" applyBorder="1" applyAlignment="1">
      <alignment horizontal="right"/>
    </xf>
    <xf numFmtId="0" fontId="10" fillId="18" borderId="0" xfId="0" applyFont="1" applyFill="1"/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7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2" fontId="0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43" fontId="0" fillId="0" borderId="25" xfId="1" applyFont="1" applyFill="1" applyBorder="1" applyAlignment="1">
      <alignment vertical="center"/>
    </xf>
    <xf numFmtId="0" fontId="2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7" fontId="0" fillId="0" borderId="3" xfId="0" applyNumberFormat="1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0" fillId="0" borderId="2" xfId="1" applyNumberFormat="1" applyFont="1" applyFill="1" applyBorder="1" applyAlignment="1">
      <alignment vertical="center"/>
    </xf>
    <xf numFmtId="43" fontId="6" fillId="10" borderId="25" xfId="0" applyNumberFormat="1" applyFont="1" applyFill="1" applyBorder="1"/>
    <xf numFmtId="0" fontId="6" fillId="0" borderId="0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5" fontId="21" fillId="18" borderId="27" xfId="0" applyNumberFormat="1" applyFont="1" applyFill="1" applyBorder="1"/>
    <xf numFmtId="43" fontId="21" fillId="18" borderId="21" xfId="0" applyNumberFormat="1" applyFont="1" applyFill="1" applyBorder="1"/>
    <xf numFmtId="43" fontId="21" fillId="18" borderId="4" xfId="0" applyNumberFormat="1" applyFont="1" applyFill="1" applyBorder="1"/>
    <xf numFmtId="43" fontId="21" fillId="18" borderId="1" xfId="0" applyNumberFormat="1" applyFont="1" applyFill="1" applyBorder="1"/>
    <xf numFmtId="43" fontId="21" fillId="18" borderId="27" xfId="0" applyNumberFormat="1" applyFont="1" applyFill="1" applyBorder="1"/>
    <xf numFmtId="43" fontId="21" fillId="18" borderId="28" xfId="0" applyNumberFormat="1" applyFont="1" applyFill="1" applyBorder="1"/>
    <xf numFmtId="0" fontId="21" fillId="18" borderId="0" xfId="0" applyFont="1" applyFill="1"/>
    <xf numFmtId="43" fontId="21" fillId="18" borderId="24" xfId="0" applyNumberFormat="1" applyFont="1" applyFill="1" applyBorder="1"/>
    <xf numFmtId="43" fontId="21" fillId="18" borderId="25" xfId="0" applyNumberFormat="1" applyFont="1" applyFill="1" applyBorder="1"/>
    <xf numFmtId="43" fontId="11" fillId="18" borderId="25" xfId="0" applyNumberFormat="1" applyFont="1" applyFill="1" applyBorder="1"/>
    <xf numFmtId="43" fontId="21" fillId="18" borderId="26" xfId="0" applyNumberFormat="1" applyFont="1" applyFill="1" applyBorder="1"/>
    <xf numFmtId="43" fontId="21" fillId="18" borderId="0" xfId="0" applyNumberFormat="1" applyFont="1" applyFill="1"/>
    <xf numFmtId="0" fontId="15" fillId="18" borderId="0" xfId="0" applyFont="1" applyFill="1"/>
    <xf numFmtId="0" fontId="5" fillId="0" borderId="3" xfId="0" applyFont="1" applyBorder="1" applyAlignment="1">
      <alignment horizontal="center" vertical="center" wrapText="1"/>
    </xf>
    <xf numFmtId="43" fontId="0" fillId="0" borderId="1" xfId="1" applyFont="1" applyFill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2" fontId="0" fillId="0" borderId="8" xfId="1" applyNumberFormat="1" applyFont="1" applyFill="1" applyBorder="1" applyAlignment="1">
      <alignment vertical="center"/>
    </xf>
    <xf numFmtId="43" fontId="6" fillId="0" borderId="10" xfId="1" applyFont="1" applyFill="1" applyBorder="1"/>
    <xf numFmtId="2" fontId="3" fillId="0" borderId="3" xfId="0" applyNumberFormat="1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/>
    </xf>
    <xf numFmtId="2" fontId="0" fillId="0" borderId="3" xfId="1" applyNumberFormat="1" applyFont="1" applyFill="1" applyBorder="1" applyAlignment="1">
      <alignment vertical="center"/>
    </xf>
    <xf numFmtId="43" fontId="10" fillId="13" borderId="24" xfId="0" applyNumberFormat="1" applyFont="1" applyFill="1" applyBorder="1"/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3" fontId="3" fillId="0" borderId="8" xfId="1" applyFont="1" applyFill="1" applyBorder="1" applyAlignment="1">
      <alignment horizontal="center"/>
    </xf>
    <xf numFmtId="43" fontId="3" fillId="0" borderId="6" xfId="1" applyFont="1" applyFill="1" applyBorder="1" applyAlignment="1">
      <alignment horizontal="center"/>
    </xf>
    <xf numFmtId="43" fontId="3" fillId="0" borderId="9" xfId="1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" fontId="0" fillId="0" borderId="3" xfId="0" applyNumberFormat="1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0" borderId="13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43" fontId="16" fillId="0" borderId="8" xfId="1" applyFont="1" applyFill="1" applyBorder="1" applyAlignment="1">
      <alignment horizontal="center"/>
    </xf>
    <xf numFmtId="43" fontId="16" fillId="0" borderId="6" xfId="1" applyFont="1" applyFill="1" applyBorder="1" applyAlignment="1">
      <alignment horizontal="center"/>
    </xf>
    <xf numFmtId="43" fontId="16" fillId="0" borderId="9" xfId="1" applyFont="1" applyFill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7" fontId="15" fillId="0" borderId="3" xfId="0" applyNumberFormat="1" applyFont="1" applyBorder="1" applyAlignment="1">
      <alignment horizontal="center" vertical="center" wrapText="1"/>
    </xf>
    <xf numFmtId="17" fontId="15" fillId="0" borderId="4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" fontId="0" fillId="0" borderId="25" xfId="0" applyNumberForma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17" fontId="0" fillId="0" borderId="3" xfId="0" applyNumberFormat="1" applyFill="1" applyBorder="1" applyAlignment="1">
      <alignment horizontal="center" vertical="center" wrapText="1"/>
    </xf>
    <xf numFmtId="17" fontId="0" fillId="0" borderId="25" xfId="0" applyNumberFormat="1" applyFill="1" applyBorder="1" applyAlignment="1">
      <alignment horizontal="center" vertical="center" wrapText="1"/>
    </xf>
    <xf numFmtId="17" fontId="0" fillId="0" borderId="4" xfId="0" applyNumberForma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9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17" fontId="6" fillId="0" borderId="16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2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00FFCC"/>
      <color rgb="FFDFB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RQUEO%20DIARIO%20DE%20ENER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01-2026"/>
      <sheetName val="02-01-2026"/>
      <sheetName val="03-01-2026"/>
      <sheetName val="04-01-2026"/>
      <sheetName val="05-01-2026"/>
      <sheetName val="06-01-2026"/>
      <sheetName val="07-01-2026"/>
      <sheetName val="08-01-2026"/>
      <sheetName val="09-01-2026"/>
      <sheetName val="10-01-2026"/>
      <sheetName val="11-01-2026"/>
      <sheetName val="12-01-2026"/>
      <sheetName val="13-01-2026"/>
      <sheetName val="14-01-2026"/>
      <sheetName val="15-01-2026"/>
      <sheetName val="16-01-2026"/>
      <sheetName val="17-01-2026"/>
      <sheetName val="18-01-2026"/>
      <sheetName val="19-01-2026"/>
      <sheetName val="20-01-2026"/>
      <sheetName val="21-01-2026"/>
      <sheetName val="22-01-2026"/>
      <sheetName val="23-01-2026"/>
      <sheetName val="24-01-2026"/>
      <sheetName val="25-01-2026"/>
      <sheetName val="26-01-2026"/>
      <sheetName val="27-01-2026"/>
      <sheetName val="28-01-2026"/>
      <sheetName val="29-01-2026"/>
      <sheetName val="30-01-2026"/>
      <sheetName val="31-01-2026"/>
      <sheetName val="ARQUEO RESUMIDO"/>
    </sheetNames>
    <sheetDataSet>
      <sheetData sheetId="0">
        <row r="37">
          <cell r="M3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AFCC-7780-44DF-98C3-DA587D1397BF}">
  <sheetPr codeName="Hoja1"/>
  <dimension ref="A1:M99"/>
  <sheetViews>
    <sheetView topLeftCell="A22" workbookViewId="0">
      <selection activeCell="B16" sqref="B16"/>
    </sheetView>
  </sheetViews>
  <sheetFormatPr baseColWidth="10" defaultRowHeight="15" x14ac:dyDescent="0.25"/>
  <cols>
    <col min="1" max="1" width="32.140625" bestFit="1" customWidth="1"/>
    <col min="2" max="2" width="15.42578125" bestFit="1" customWidth="1"/>
  </cols>
  <sheetData>
    <row r="1" spans="1:10" ht="21" x14ac:dyDescent="0.35">
      <c r="A1" s="553" t="s">
        <v>38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/>
      <c r="B4" s="6"/>
      <c r="C4" s="7"/>
      <c r="D4" s="8"/>
      <c r="E4" s="8"/>
      <c r="F4" s="8"/>
      <c r="G4" s="8"/>
      <c r="H4" s="8"/>
      <c r="I4" s="8"/>
      <c r="J4" s="5">
        <f>SUM(D4:I4)</f>
        <v>0</v>
      </c>
    </row>
    <row r="5" spans="1:10" ht="15.75" thickBot="1" x14ac:dyDescent="0.3">
      <c r="A5" s="6"/>
      <c r="B5" s="6"/>
      <c r="C5" s="7"/>
      <c r="D5" s="8"/>
      <c r="E5" s="8"/>
      <c r="F5" s="8"/>
      <c r="G5" s="8"/>
      <c r="H5" s="8"/>
      <c r="I5" s="8"/>
      <c r="J5" s="5">
        <f t="shared" ref="J5:J21" si="0">SUM(D5:I5)</f>
        <v>0</v>
      </c>
    </row>
    <row r="6" spans="1:10" ht="15.75" thickBot="1" x14ac:dyDescent="0.3">
      <c r="A6" s="6"/>
      <c r="B6" s="6"/>
      <c r="C6" s="7"/>
      <c r="D6" s="8"/>
      <c r="E6" s="8"/>
      <c r="F6" s="8"/>
      <c r="G6" s="8"/>
      <c r="H6" s="8"/>
      <c r="I6" s="8"/>
      <c r="J6" s="5">
        <f t="shared" si="0"/>
        <v>0</v>
      </c>
    </row>
    <row r="7" spans="1:10" ht="15.75" thickBot="1" x14ac:dyDescent="0.3">
      <c r="A7" s="6"/>
      <c r="B7" s="6"/>
      <c r="C7" s="7"/>
      <c r="D7" s="8"/>
      <c r="E7" s="8"/>
      <c r="F7" s="8"/>
      <c r="G7" s="8"/>
      <c r="H7" s="8"/>
      <c r="I7" s="8"/>
      <c r="J7" s="5">
        <f t="shared" si="0"/>
        <v>0</v>
      </c>
    </row>
    <row r="8" spans="1:10" ht="15.75" thickBot="1" x14ac:dyDescent="0.3">
      <c r="A8" s="6"/>
      <c r="B8" s="6"/>
      <c r="C8" s="7"/>
      <c r="D8" s="8"/>
      <c r="E8" s="8"/>
      <c r="F8" s="8"/>
      <c r="G8" s="8"/>
      <c r="H8" s="8"/>
      <c r="I8" s="8"/>
      <c r="J8" s="5">
        <f t="shared" si="0"/>
        <v>0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9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9"/>
      <c r="B12" s="10"/>
      <c r="C12" s="7"/>
      <c r="D12" s="8"/>
      <c r="E12" s="8"/>
      <c r="F12" s="8"/>
      <c r="G12" s="8"/>
      <c r="H12" s="8"/>
      <c r="I12" s="11"/>
      <c r="J12" s="12">
        <f t="shared" si="0"/>
        <v>0</v>
      </c>
    </row>
    <row r="13" spans="1:10" ht="15.75" thickBot="1" x14ac:dyDescent="0.3">
      <c r="A13" s="6"/>
      <c r="B13" s="6"/>
      <c r="C13" s="7"/>
      <c r="D13" s="8"/>
      <c r="E13" s="8"/>
      <c r="F13" s="8"/>
      <c r="G13" s="8"/>
      <c r="H13" s="8"/>
      <c r="I13" s="8"/>
      <c r="J13" s="5">
        <f t="shared" si="0"/>
        <v>0</v>
      </c>
    </row>
    <row r="14" spans="1:10" ht="15.75" thickBot="1" x14ac:dyDescent="0.3">
      <c r="A14" s="13"/>
      <c r="B14" s="14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5"/>
      <c r="B15" s="13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16"/>
      <c r="B16" s="16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17"/>
      <c r="B17" s="16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16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8"/>
      <c r="B19" s="16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19"/>
      <c r="B20" s="19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16"/>
      <c r="B21" s="20"/>
      <c r="C21" s="21"/>
      <c r="D21" s="22"/>
      <c r="E21" s="22"/>
      <c r="F21" s="22"/>
      <c r="G21" s="22"/>
      <c r="H21" s="22"/>
      <c r="I21" s="22"/>
      <c r="J21" s="5">
        <f t="shared" si="0"/>
        <v>0</v>
      </c>
    </row>
    <row r="22" spans="1:13" ht="19.5" thickBot="1" x14ac:dyDescent="0.35">
      <c r="A22" s="23" t="s">
        <v>9</v>
      </c>
      <c r="B22" s="4"/>
      <c r="C22" s="24"/>
      <c r="D22" s="25">
        <f t="shared" ref="D22:J22" si="1">SUM(D4:D21)</f>
        <v>0</v>
      </c>
      <c r="E22" s="25">
        <f t="shared" si="1"/>
        <v>0</v>
      </c>
      <c r="F22" s="25">
        <f t="shared" si="1"/>
        <v>0</v>
      </c>
      <c r="G22" s="25">
        <f t="shared" si="1"/>
        <v>0</v>
      </c>
      <c r="H22" s="25">
        <f t="shared" si="1"/>
        <v>0</v>
      </c>
      <c r="I22" s="25">
        <f t="shared" si="1"/>
        <v>0</v>
      </c>
      <c r="J22" s="26">
        <f t="shared" si="1"/>
        <v>0</v>
      </c>
    </row>
    <row r="23" spans="1:13" ht="19.5" thickBot="1" x14ac:dyDescent="0.35">
      <c r="A23" s="27"/>
      <c r="B23" s="28"/>
      <c r="C23" s="29"/>
      <c r="D23" s="30"/>
      <c r="E23" s="30"/>
      <c r="F23" s="30"/>
      <c r="G23" s="30"/>
      <c r="H23" s="30"/>
      <c r="I23" s="30"/>
      <c r="J23" s="30"/>
    </row>
    <row r="24" spans="1:13" ht="24" thickBot="1" x14ac:dyDescent="0.4">
      <c r="A24" s="31" t="s">
        <v>12</v>
      </c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15.75" thickBot="1" x14ac:dyDescent="0.3">
      <c r="A25" s="32" t="s">
        <v>13</v>
      </c>
      <c r="B25" s="4" t="s">
        <v>1</v>
      </c>
      <c r="C25" s="33" t="s">
        <v>14</v>
      </c>
      <c r="D25" s="33" t="s">
        <v>3</v>
      </c>
      <c r="E25" s="33" t="s">
        <v>4</v>
      </c>
      <c r="F25" s="4" t="s">
        <v>5</v>
      </c>
      <c r="G25" s="4" t="s">
        <v>6</v>
      </c>
      <c r="H25" s="4" t="s">
        <v>15</v>
      </c>
      <c r="I25" s="4" t="s">
        <v>8</v>
      </c>
      <c r="J25" s="34" t="s">
        <v>9</v>
      </c>
    </row>
    <row r="26" spans="1:13" ht="15.75" thickBot="1" x14ac:dyDescent="0.3">
      <c r="A26" s="19"/>
      <c r="B26" s="21"/>
      <c r="C26" s="21"/>
      <c r="D26" s="35"/>
      <c r="E26" s="36"/>
      <c r="F26" s="35"/>
      <c r="G26" s="35"/>
      <c r="H26" s="37"/>
      <c r="I26" s="37"/>
      <c r="J26" s="38">
        <f>SUM(D26:I26)</f>
        <v>0</v>
      </c>
    </row>
    <row r="27" spans="1:13" ht="15.75" thickBot="1" x14ac:dyDescent="0.3">
      <c r="A27" s="19"/>
      <c r="B27" s="21"/>
      <c r="C27" s="21"/>
      <c r="D27" s="35"/>
      <c r="E27" s="35"/>
      <c r="F27" s="35"/>
      <c r="G27" s="35"/>
      <c r="H27" s="37"/>
      <c r="I27" s="37"/>
      <c r="J27" s="38">
        <f t="shared" ref="J27:J29" si="2">SUM(D27:I27)</f>
        <v>0</v>
      </c>
    </row>
    <row r="28" spans="1:13" ht="15.75" thickBot="1" x14ac:dyDescent="0.3">
      <c r="A28" s="19"/>
      <c r="B28" s="16"/>
      <c r="C28" s="7"/>
      <c r="D28" s="39"/>
      <c r="E28" s="39"/>
      <c r="F28" s="39"/>
      <c r="G28" s="39"/>
      <c r="H28" s="8"/>
      <c r="I28" s="8"/>
      <c r="J28" s="38">
        <f t="shared" si="2"/>
        <v>0</v>
      </c>
    </row>
    <row r="29" spans="1:13" ht="15.75" thickBot="1" x14ac:dyDescent="0.3">
      <c r="A29" s="4"/>
      <c r="B29" s="40"/>
      <c r="C29" s="7"/>
      <c r="D29" s="39"/>
      <c r="E29" s="39"/>
      <c r="F29" s="39"/>
      <c r="G29" s="39"/>
      <c r="H29" s="8"/>
      <c r="I29" s="8"/>
      <c r="J29" s="38">
        <f t="shared" si="2"/>
        <v>0</v>
      </c>
      <c r="L29" s="41" t="s">
        <v>16</v>
      </c>
      <c r="M29" s="42">
        <f>J30+J38</f>
        <v>0</v>
      </c>
    </row>
    <row r="30" spans="1:13" ht="15.75" thickBot="1" x14ac:dyDescent="0.3">
      <c r="A30" s="4" t="s">
        <v>9</v>
      </c>
      <c r="B30" s="43"/>
      <c r="C30" s="44"/>
      <c r="D30" s="45"/>
      <c r="E30" s="45"/>
      <c r="F30" s="45"/>
      <c r="G30" s="45"/>
      <c r="H30" s="45"/>
      <c r="I30" s="45"/>
      <c r="J30" s="12">
        <f>SUM(J26:J29)</f>
        <v>0</v>
      </c>
    </row>
    <row r="31" spans="1:13" ht="15.75" thickBot="1" x14ac:dyDescent="0.3">
      <c r="A31" s="28"/>
      <c r="B31" s="46"/>
      <c r="C31" s="47"/>
      <c r="D31" s="48"/>
      <c r="E31" s="48"/>
      <c r="F31" s="48"/>
      <c r="G31" s="48"/>
      <c r="H31" s="48"/>
      <c r="I31" s="48"/>
      <c r="J31" s="49"/>
    </row>
    <row r="32" spans="1:13" ht="24" thickBot="1" x14ac:dyDescent="0.4">
      <c r="A32" s="31" t="s">
        <v>12</v>
      </c>
      <c r="B32" s="28"/>
      <c r="C32" s="29"/>
      <c r="D32" s="30"/>
      <c r="E32" s="30"/>
      <c r="F32" s="30"/>
      <c r="G32" s="30"/>
      <c r="H32" s="30"/>
      <c r="I32" s="30"/>
      <c r="J32" s="30"/>
    </row>
    <row r="33" spans="1:13" ht="45.75" thickBot="1" x14ac:dyDescent="0.3">
      <c r="A33" s="50" t="s">
        <v>17</v>
      </c>
      <c r="B33" s="4" t="s">
        <v>18</v>
      </c>
      <c r="C33" s="33" t="s">
        <v>14</v>
      </c>
      <c r="D33" s="33" t="s">
        <v>3</v>
      </c>
      <c r="E33" s="33" t="s">
        <v>4</v>
      </c>
      <c r="F33" s="33" t="s">
        <v>19</v>
      </c>
      <c r="G33" s="33" t="s">
        <v>20</v>
      </c>
      <c r="H33" s="33" t="s">
        <v>15</v>
      </c>
      <c r="I33" s="51" t="s">
        <v>21</v>
      </c>
      <c r="J33" s="34" t="s">
        <v>9</v>
      </c>
    </row>
    <row r="34" spans="1:13" ht="15.75" thickBot="1" x14ac:dyDescent="0.3">
      <c r="A34" s="52"/>
      <c r="B34" s="17"/>
      <c r="C34" s="7"/>
      <c r="D34" s="8"/>
      <c r="E34" s="8"/>
      <c r="F34" s="8"/>
      <c r="G34" s="8"/>
      <c r="H34" s="8"/>
      <c r="I34" s="8"/>
      <c r="J34" s="5">
        <f t="shared" ref="J34:J37" si="3">SUM(D34:I34)</f>
        <v>0</v>
      </c>
    </row>
    <row r="35" spans="1:13" ht="15.75" thickBot="1" x14ac:dyDescent="0.3">
      <c r="A35" s="13"/>
      <c r="B35" s="21"/>
      <c r="C35" s="7"/>
      <c r="D35" s="35"/>
      <c r="E35" s="35"/>
      <c r="F35" s="35"/>
      <c r="G35" s="35"/>
      <c r="H35" s="37"/>
      <c r="I35" s="37"/>
      <c r="J35" s="38">
        <f t="shared" si="3"/>
        <v>0</v>
      </c>
    </row>
    <row r="36" spans="1:13" ht="15.75" thickBot="1" x14ac:dyDescent="0.3">
      <c r="A36" s="19"/>
      <c r="B36" s="16"/>
      <c r="C36" s="7"/>
      <c r="D36" s="39"/>
      <c r="E36" s="39"/>
      <c r="F36" s="39"/>
      <c r="G36" s="39"/>
      <c r="H36" s="8"/>
      <c r="I36" s="8"/>
      <c r="J36" s="38">
        <f t="shared" si="3"/>
        <v>0</v>
      </c>
    </row>
    <row r="37" spans="1:13" ht="15.75" thickBot="1" x14ac:dyDescent="0.3">
      <c r="A37" s="4"/>
      <c r="B37" s="40"/>
      <c r="C37" s="7"/>
      <c r="D37" s="39"/>
      <c r="E37" s="39"/>
      <c r="F37" s="39"/>
      <c r="G37" s="39"/>
      <c r="H37" s="8"/>
      <c r="I37" s="8"/>
      <c r="J37" s="38">
        <f t="shared" si="3"/>
        <v>0</v>
      </c>
      <c r="L37" s="53"/>
      <c r="M37" s="54"/>
    </row>
    <row r="38" spans="1:13" ht="15.75" thickBot="1" x14ac:dyDescent="0.3">
      <c r="A38" s="4" t="s">
        <v>9</v>
      </c>
      <c r="B38" s="43"/>
      <c r="C38" s="44"/>
      <c r="D38" s="45"/>
      <c r="E38" s="45"/>
      <c r="F38" s="45"/>
      <c r="G38" s="45"/>
      <c r="H38" s="45"/>
      <c r="I38" s="45"/>
      <c r="J38" s="12">
        <f>SUM(J34:J37)</f>
        <v>0</v>
      </c>
    </row>
    <row r="39" spans="1:13" x14ac:dyDescent="0.25">
      <c r="A39" s="28"/>
      <c r="B39" s="46"/>
      <c r="C39" s="47"/>
      <c r="D39" s="48"/>
      <c r="E39" s="48"/>
      <c r="F39" s="48"/>
      <c r="G39" s="48"/>
      <c r="H39" s="48"/>
      <c r="I39" s="48"/>
      <c r="J39" s="49"/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ht="15.75" thickBot="1" x14ac:dyDescent="0.3">
      <c r="A41" s="2"/>
      <c r="B41" s="2"/>
      <c r="C41" s="2"/>
      <c r="J41" s="3"/>
    </row>
    <row r="42" spans="1:13" ht="45.75" thickBot="1" x14ac:dyDescent="0.3">
      <c r="A42" s="33" t="s">
        <v>22</v>
      </c>
      <c r="B42" s="4" t="s">
        <v>18</v>
      </c>
      <c r="C42" s="33" t="s">
        <v>14</v>
      </c>
      <c r="D42" s="33" t="s">
        <v>3</v>
      </c>
      <c r="E42" s="33" t="s">
        <v>4</v>
      </c>
      <c r="F42" s="33" t="s">
        <v>19</v>
      </c>
      <c r="G42" s="33" t="s">
        <v>20</v>
      </c>
      <c r="H42" s="4" t="s">
        <v>21</v>
      </c>
      <c r="I42" s="51" t="s">
        <v>15</v>
      </c>
      <c r="J42" s="34" t="s">
        <v>9</v>
      </c>
    </row>
    <row r="43" spans="1:13" ht="15.75" thickBot="1" x14ac:dyDescent="0.3">
      <c r="A43" s="40"/>
      <c r="B43" s="21"/>
      <c r="C43" s="21"/>
      <c r="D43" s="37"/>
      <c r="E43" s="55"/>
      <c r="F43" s="37"/>
      <c r="G43" s="37"/>
      <c r="H43" s="37"/>
      <c r="I43" s="37"/>
      <c r="J43" s="38">
        <f>SUM(D43:I43)</f>
        <v>0</v>
      </c>
    </row>
    <row r="44" spans="1:13" ht="15.75" thickBot="1" x14ac:dyDescent="0.3">
      <c r="A44" s="40"/>
      <c r="B44" s="21"/>
      <c r="C44" s="21"/>
      <c r="D44" s="37"/>
      <c r="E44" s="37"/>
      <c r="F44" s="37"/>
      <c r="G44" s="37"/>
      <c r="H44" s="37"/>
      <c r="I44" s="37"/>
      <c r="J44" s="38">
        <f t="shared" ref="J44:J56" si="4">SUM(D44:I44)</f>
        <v>0</v>
      </c>
    </row>
    <row r="45" spans="1:13" ht="15.75" thickBot="1" x14ac:dyDescent="0.3">
      <c r="A45" s="16"/>
      <c r="B45" s="21"/>
      <c r="C45" s="21"/>
      <c r="D45" s="37"/>
      <c r="E45" s="37"/>
      <c r="F45" s="37"/>
      <c r="G45" s="37"/>
      <c r="H45" s="37"/>
      <c r="I45" s="37"/>
      <c r="J45" s="38">
        <f t="shared" si="4"/>
        <v>0</v>
      </c>
    </row>
    <row r="46" spans="1:13" ht="15.75" thickBot="1" x14ac:dyDescent="0.3">
      <c r="A46" s="40"/>
      <c r="B46" s="21"/>
      <c r="C46" s="21"/>
      <c r="D46" s="37"/>
      <c r="E46" s="37"/>
      <c r="F46" s="37"/>
      <c r="G46" s="37"/>
      <c r="H46" s="37"/>
      <c r="I46" s="37"/>
      <c r="J46" s="38">
        <f t="shared" si="4"/>
        <v>0</v>
      </c>
    </row>
    <row r="47" spans="1:13" ht="15.75" thickBot="1" x14ac:dyDescent="0.3">
      <c r="A47" s="40"/>
      <c r="B47" s="21"/>
      <c r="C47" s="21"/>
      <c r="D47" s="37"/>
      <c r="E47" s="37"/>
      <c r="F47" s="37"/>
      <c r="G47" s="37"/>
      <c r="H47" s="37"/>
      <c r="I47" s="37"/>
      <c r="J47" s="38">
        <f t="shared" si="4"/>
        <v>0</v>
      </c>
    </row>
    <row r="48" spans="1:13" ht="15.75" thickBot="1" x14ac:dyDescent="0.3">
      <c r="A48" s="16"/>
      <c r="B48" s="21"/>
      <c r="C48" s="21"/>
      <c r="D48" s="37"/>
      <c r="E48" s="37"/>
      <c r="F48" s="37"/>
      <c r="G48" s="37"/>
      <c r="H48" s="37"/>
      <c r="I48" s="37"/>
      <c r="J48" s="38">
        <f t="shared" si="4"/>
        <v>0</v>
      </c>
    </row>
    <row r="49" spans="1:10" ht="15.75" thickBot="1" x14ac:dyDescent="0.3">
      <c r="A49" s="16"/>
      <c r="B49" s="21"/>
      <c r="C49" s="21"/>
      <c r="D49" s="37"/>
      <c r="E49" s="37"/>
      <c r="F49" s="37"/>
      <c r="G49" s="37"/>
      <c r="H49" s="37"/>
      <c r="I49" s="37"/>
      <c r="J49" s="38">
        <f t="shared" si="4"/>
        <v>0</v>
      </c>
    </row>
    <row r="50" spans="1:10" ht="15.75" thickBot="1" x14ac:dyDescent="0.3">
      <c r="A50" s="16"/>
      <c r="B50" s="21"/>
      <c r="C50" s="21"/>
      <c r="D50" s="37"/>
      <c r="E50" s="37"/>
      <c r="F50" s="37"/>
      <c r="G50" s="37"/>
      <c r="H50" s="37"/>
      <c r="I50" s="37"/>
      <c r="J50" s="38">
        <f t="shared" si="4"/>
        <v>0</v>
      </c>
    </row>
    <row r="51" spans="1:10" ht="15.75" thickBot="1" x14ac:dyDescent="0.3">
      <c r="A51" s="16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16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56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40"/>
      <c r="B54" s="21"/>
      <c r="C54" s="21"/>
      <c r="D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E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57"/>
      <c r="E56" s="57"/>
      <c r="F56" s="57"/>
      <c r="G56" s="57"/>
      <c r="H56" s="57"/>
      <c r="I56" s="57"/>
      <c r="J56" s="38">
        <f t="shared" si="4"/>
        <v>0</v>
      </c>
    </row>
    <row r="57" spans="1:10" ht="19.5" thickBot="1" x14ac:dyDescent="0.35">
      <c r="A57" s="23" t="s">
        <v>9</v>
      </c>
      <c r="B57" s="4"/>
      <c r="C57" s="24"/>
      <c r="D57" s="25">
        <f t="shared" ref="D57:J57" si="5">SUM(D43:D56)</f>
        <v>0</v>
      </c>
      <c r="E57" s="25">
        <f t="shared" si="5"/>
        <v>0</v>
      </c>
      <c r="F57" s="25">
        <f t="shared" si="5"/>
        <v>0</v>
      </c>
      <c r="G57" s="25">
        <f t="shared" si="5"/>
        <v>0</v>
      </c>
      <c r="H57" s="25">
        <f t="shared" si="5"/>
        <v>0</v>
      </c>
      <c r="I57" s="25">
        <f t="shared" si="5"/>
        <v>0</v>
      </c>
      <c r="J57" s="25">
        <f t="shared" si="5"/>
        <v>0</v>
      </c>
    </row>
    <row r="58" spans="1:10" ht="15.75" x14ac:dyDescent="0.25">
      <c r="A58" s="58"/>
      <c r="B58" s="58"/>
      <c r="C58" s="59"/>
      <c r="D58" s="60"/>
      <c r="E58" s="60"/>
      <c r="F58" s="60"/>
      <c r="G58" s="60"/>
      <c r="H58" s="60"/>
      <c r="I58" s="60"/>
      <c r="J58" s="60"/>
    </row>
    <row r="59" spans="1:10" ht="16.5" thickBot="1" x14ac:dyDescent="0.3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9.5" thickBot="1" x14ac:dyDescent="0.35">
      <c r="A60" s="554" t="s">
        <v>23</v>
      </c>
      <c r="B60" s="555"/>
      <c r="C60" s="61"/>
      <c r="D60" s="62"/>
      <c r="E60" s="62"/>
      <c r="F60" s="62"/>
      <c r="G60" s="62"/>
      <c r="H60" s="62"/>
      <c r="I60" s="62"/>
      <c r="J60" s="26">
        <f>+J22+J57</f>
        <v>0</v>
      </c>
    </row>
    <row r="61" spans="1:10" x14ac:dyDescent="0.25">
      <c r="A61" s="2"/>
      <c r="B61" s="2"/>
      <c r="C61" s="63"/>
      <c r="D61" s="3"/>
      <c r="E61" s="3"/>
      <c r="F61" s="3"/>
      <c r="G61" s="3"/>
      <c r="H61" s="3"/>
      <c r="I61" s="3"/>
      <c r="J61" s="3"/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ht="16.5" thickBot="1" x14ac:dyDescent="0.3">
      <c r="A63" s="64" t="s">
        <v>24</v>
      </c>
      <c r="B63" s="2"/>
      <c r="C63" s="63"/>
      <c r="D63" s="3"/>
      <c r="E63" s="3"/>
      <c r="F63" s="3"/>
      <c r="G63" s="3"/>
      <c r="H63" s="3"/>
      <c r="I63" s="3"/>
      <c r="J63" s="3"/>
    </row>
    <row r="64" spans="1:10" ht="19.5" thickBot="1" x14ac:dyDescent="0.35">
      <c r="A64" s="65" t="s">
        <v>25</v>
      </c>
      <c r="B64" s="66"/>
      <c r="C64" s="67"/>
      <c r="D64" s="68"/>
      <c r="E64" s="68"/>
      <c r="F64" s="68"/>
      <c r="G64" s="68"/>
      <c r="H64" s="68"/>
      <c r="I64" s="68"/>
      <c r="J64" s="26"/>
    </row>
    <row r="65" spans="1:10" ht="19.5" thickBot="1" x14ac:dyDescent="0.35">
      <c r="A65" s="65" t="s">
        <v>26</v>
      </c>
      <c r="B65" s="66"/>
      <c r="C65" s="69"/>
      <c r="D65" s="68"/>
      <c r="E65" s="68"/>
      <c r="F65" s="68"/>
      <c r="G65" s="68"/>
      <c r="H65" s="68"/>
      <c r="I65" s="68"/>
      <c r="J65" s="26"/>
    </row>
    <row r="66" spans="1:10" ht="18.75" x14ac:dyDescent="0.3">
      <c r="A66" s="70"/>
      <c r="B66" s="70"/>
      <c r="C66" s="71"/>
      <c r="D66" s="72"/>
      <c r="E66" s="72"/>
      <c r="F66" s="72"/>
      <c r="G66" s="72"/>
      <c r="H66" s="72"/>
      <c r="I66" s="72"/>
      <c r="J66" s="30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6.5" thickBot="1" x14ac:dyDescent="0.3">
      <c r="A68" s="73" t="s">
        <v>27</v>
      </c>
      <c r="B68" s="74"/>
      <c r="C68" s="63"/>
      <c r="D68" s="3"/>
      <c r="E68" s="3"/>
      <c r="F68" s="3"/>
      <c r="G68" s="3"/>
      <c r="H68" s="3"/>
      <c r="I68" s="3"/>
      <c r="J68" s="3"/>
    </row>
    <row r="69" spans="1:10" ht="19.5" thickBot="1" x14ac:dyDescent="0.35">
      <c r="A69" s="75" t="s">
        <v>28</v>
      </c>
      <c r="B69" s="76"/>
      <c r="C69" s="77"/>
      <c r="D69" s="78"/>
      <c r="E69" s="78"/>
      <c r="F69" s="78"/>
      <c r="G69" s="78"/>
      <c r="H69" s="78"/>
      <c r="I69" s="78"/>
      <c r="J69" s="79">
        <v>444</v>
      </c>
    </row>
    <row r="70" spans="1:10" x14ac:dyDescent="0.25">
      <c r="A70" s="80"/>
      <c r="B70" s="2"/>
      <c r="C70" s="63"/>
      <c r="D70" s="3"/>
      <c r="E70" s="3"/>
      <c r="F70" s="3"/>
      <c r="G70" s="3"/>
      <c r="H70" s="3"/>
      <c r="I70" s="3"/>
      <c r="J70" s="3"/>
    </row>
    <row r="71" spans="1:10" ht="16.5" thickBot="1" x14ac:dyDescent="0.3">
      <c r="A71" s="73"/>
      <c r="B71" s="74"/>
      <c r="C71" s="63"/>
      <c r="D71" s="3"/>
      <c r="E71" s="3"/>
      <c r="F71" s="3"/>
      <c r="G71" s="3"/>
      <c r="H71" s="3"/>
      <c r="I71" s="3"/>
      <c r="J71" s="3"/>
    </row>
    <row r="72" spans="1:10" ht="19.5" thickBot="1" x14ac:dyDescent="0.35">
      <c r="A72" s="75" t="s">
        <v>29</v>
      </c>
      <c r="B72" s="76"/>
      <c r="C72" s="81"/>
      <c r="D72" s="78"/>
      <c r="E72" s="78"/>
      <c r="F72" s="78"/>
      <c r="G72" s="78"/>
      <c r="H72" s="78"/>
      <c r="I72" s="78"/>
      <c r="J72" s="82"/>
    </row>
    <row r="73" spans="1:10" ht="15.75" thickBot="1" x14ac:dyDescent="0.3">
      <c r="A73" s="80"/>
      <c r="B73" s="2"/>
      <c r="C73" s="63"/>
      <c r="D73" s="3"/>
      <c r="E73" s="3"/>
      <c r="F73" s="3"/>
      <c r="G73" s="3"/>
      <c r="H73" s="3"/>
      <c r="I73" s="3"/>
      <c r="J73" s="3"/>
    </row>
    <row r="74" spans="1:10" ht="21.75" thickBot="1" x14ac:dyDescent="0.4">
      <c r="A74" s="556" t="s">
        <v>30</v>
      </c>
      <c r="B74" s="557"/>
      <c r="C74" s="83"/>
      <c r="D74" s="84"/>
      <c r="E74" s="84"/>
      <c r="F74" s="84"/>
      <c r="G74" s="84"/>
      <c r="H74" s="84"/>
      <c r="I74" s="84"/>
      <c r="J74" s="85">
        <f>SUM(J60:J73)</f>
        <v>444</v>
      </c>
    </row>
    <row r="75" spans="1:10" x14ac:dyDescent="0.25">
      <c r="A75" s="2"/>
      <c r="B75" s="2"/>
      <c r="C75" s="63"/>
      <c r="D75" s="3"/>
      <c r="E75" s="3"/>
      <c r="F75" s="3"/>
      <c r="G75" s="3"/>
      <c r="H75" s="3"/>
      <c r="I75" s="3"/>
      <c r="J75" s="3"/>
    </row>
    <row r="76" spans="1:10" ht="21" x14ac:dyDescent="0.35">
      <c r="A76" s="553" t="s">
        <v>66</v>
      </c>
      <c r="B76" s="553"/>
      <c r="C76" s="553"/>
      <c r="D76" s="553"/>
      <c r="E76" s="553"/>
      <c r="F76" s="553"/>
      <c r="G76" s="553"/>
      <c r="H76" s="553"/>
      <c r="I76" s="553"/>
      <c r="J76" s="553"/>
    </row>
    <row r="77" spans="1:10" ht="21.75" thickBot="1" x14ac:dyDescent="0.4">
      <c r="A77" s="86" t="s">
        <v>31</v>
      </c>
      <c r="B77" s="86"/>
      <c r="C77" s="86"/>
      <c r="D77" s="86"/>
      <c r="E77" s="86"/>
      <c r="F77" s="86"/>
      <c r="G77" s="86"/>
      <c r="H77" s="86"/>
      <c r="I77" s="86"/>
      <c r="J77" s="87"/>
    </row>
    <row r="78" spans="1:10" ht="15.75" thickBot="1" x14ac:dyDescent="0.3">
      <c r="A78" s="88" t="s">
        <v>32</v>
      </c>
      <c r="B78" s="89" t="s">
        <v>33</v>
      </c>
      <c r="C78" s="558" t="s">
        <v>2</v>
      </c>
      <c r="D78" s="559"/>
      <c r="E78" s="559"/>
      <c r="F78" s="559"/>
      <c r="G78" s="559"/>
      <c r="H78" s="559"/>
      <c r="I78" s="560"/>
      <c r="J78" s="90" t="s">
        <v>9</v>
      </c>
    </row>
    <row r="79" spans="1:10" ht="15.75" thickBot="1" x14ac:dyDescent="0.3">
      <c r="A79" s="91"/>
      <c r="B79" s="92"/>
      <c r="C79" s="550"/>
      <c r="D79" s="551"/>
      <c r="E79" s="551"/>
      <c r="F79" s="551"/>
      <c r="G79" s="551"/>
      <c r="H79" s="551"/>
      <c r="I79" s="551"/>
      <c r="J79" s="22"/>
    </row>
    <row r="80" spans="1:10" ht="15.75" thickBot="1" x14ac:dyDescent="0.3">
      <c r="A80" s="40"/>
      <c r="B80" s="92"/>
      <c r="C80" s="550"/>
      <c r="D80" s="551"/>
      <c r="E80" s="551"/>
      <c r="F80" s="551"/>
      <c r="G80" s="551"/>
      <c r="H80" s="552"/>
      <c r="I80" s="552"/>
      <c r="J80" s="22"/>
    </row>
    <row r="81" spans="1:10" ht="15.75" thickBot="1" x14ac:dyDescent="0.3">
      <c r="A81" s="40"/>
      <c r="B81" s="92"/>
      <c r="C81" s="561"/>
      <c r="D81" s="562"/>
      <c r="E81" s="562"/>
      <c r="F81" s="562"/>
      <c r="G81" s="562"/>
      <c r="H81" s="562"/>
      <c r="I81" s="562"/>
      <c r="J81" s="93"/>
    </row>
    <row r="82" spans="1:10" ht="15.75" thickBot="1" x14ac:dyDescent="0.3">
      <c r="A82" s="40"/>
      <c r="B82" s="92"/>
      <c r="C82" s="550"/>
      <c r="D82" s="551"/>
      <c r="E82" s="551"/>
      <c r="F82" s="551"/>
      <c r="G82" s="551"/>
      <c r="H82" s="552"/>
      <c r="I82" s="552"/>
      <c r="J82" s="22"/>
    </row>
    <row r="83" spans="1:10" ht="15.75" thickBot="1" x14ac:dyDescent="0.3">
      <c r="A83" s="40"/>
      <c r="B83" s="92"/>
      <c r="C83" s="550"/>
      <c r="D83" s="551"/>
      <c r="E83" s="551"/>
      <c r="F83" s="551"/>
      <c r="G83" s="551"/>
      <c r="H83" s="552"/>
      <c r="I83" s="552"/>
      <c r="J83" s="22"/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22"/>
    </row>
    <row r="85" spans="1:10" ht="15.75" thickBot="1" x14ac:dyDescent="0.3">
      <c r="A85" s="40"/>
      <c r="B85" s="92"/>
      <c r="C85" s="550"/>
      <c r="D85" s="551"/>
      <c r="E85" s="551"/>
      <c r="F85" s="551"/>
      <c r="G85" s="551"/>
      <c r="H85" s="552"/>
      <c r="I85" s="552"/>
      <c r="J85" s="22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22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37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9.5" thickBot="1" x14ac:dyDescent="0.35">
      <c r="A92" s="94" t="s">
        <v>34</v>
      </c>
      <c r="B92" s="554"/>
      <c r="C92" s="563"/>
      <c r="D92" s="563"/>
      <c r="E92" s="563"/>
      <c r="F92" s="563"/>
      <c r="G92" s="563"/>
      <c r="H92" s="563"/>
      <c r="I92" s="563"/>
      <c r="J92" s="95">
        <f>SUM(J79:J91)</f>
        <v>0</v>
      </c>
    </row>
    <row r="93" spans="1:10" ht="18.75" x14ac:dyDescent="0.3">
      <c r="A93" s="27"/>
      <c r="B93" s="27"/>
      <c r="C93" s="96"/>
      <c r="D93" s="96"/>
      <c r="E93" s="96"/>
      <c r="F93" s="97"/>
      <c r="G93" s="96"/>
      <c r="H93" s="96"/>
      <c r="I93" s="96"/>
      <c r="J93" s="30"/>
    </row>
    <row r="94" spans="1:10" ht="18.75" x14ac:dyDescent="0.3">
      <c r="A94" s="27"/>
      <c r="B94" s="27"/>
      <c r="C94" s="96"/>
      <c r="D94" s="96"/>
      <c r="E94" s="96"/>
      <c r="F94" s="97"/>
      <c r="G94" s="96"/>
      <c r="H94" s="96"/>
      <c r="I94" s="96"/>
      <c r="J94" s="30"/>
    </row>
    <row r="95" spans="1:10" ht="18.75" x14ac:dyDescent="0.3">
      <c r="A95" s="58" t="s">
        <v>35</v>
      </c>
      <c r="B95" s="27"/>
      <c r="C95" s="2"/>
      <c r="D95" s="3"/>
      <c r="F95" s="3"/>
      <c r="J95" s="3"/>
    </row>
    <row r="96" spans="1:10" x14ac:dyDescent="0.25">
      <c r="A96" s="2" t="s">
        <v>36</v>
      </c>
      <c r="B96" s="63">
        <f>+J74</f>
        <v>444</v>
      </c>
      <c r="C96" s="98"/>
      <c r="D96" s="3"/>
      <c r="F96" s="3"/>
      <c r="J96" s="3"/>
    </row>
    <row r="97" spans="1:10" ht="15.75" thickBot="1" x14ac:dyDescent="0.3">
      <c r="A97" s="2" t="s">
        <v>34</v>
      </c>
      <c r="B97" s="99">
        <f>+J92</f>
        <v>0</v>
      </c>
      <c r="C97" s="100"/>
      <c r="D97" s="3"/>
      <c r="F97" s="3"/>
      <c r="G97" s="101"/>
      <c r="H97" s="101"/>
      <c r="I97" s="102"/>
      <c r="J97" s="102"/>
    </row>
    <row r="98" spans="1:10" ht="17.25" thickTop="1" thickBot="1" x14ac:dyDescent="0.3">
      <c r="A98" s="58" t="s">
        <v>37</v>
      </c>
      <c r="B98" s="103">
        <f>++B96-B97</f>
        <v>444</v>
      </c>
      <c r="C98" s="104"/>
      <c r="D98" s="105"/>
      <c r="E98" s="106"/>
      <c r="F98" s="105"/>
      <c r="G98" s="107"/>
      <c r="H98" s="107"/>
      <c r="I98" s="3"/>
    </row>
    <row r="99" spans="1:10" ht="15.75" thickTop="1" x14ac:dyDescent="0.25"/>
  </sheetData>
  <mergeCells count="19">
    <mergeCell ref="B92:I92"/>
    <mergeCell ref="C86:I86"/>
    <mergeCell ref="C87:I87"/>
    <mergeCell ref="C88:I88"/>
    <mergeCell ref="C89:I89"/>
    <mergeCell ref="C90:I90"/>
    <mergeCell ref="C91:I91"/>
    <mergeCell ref="C85:I85"/>
    <mergeCell ref="A1:J1"/>
    <mergeCell ref="A60:B60"/>
    <mergeCell ref="A74:B74"/>
    <mergeCell ref="A76:J76"/>
    <mergeCell ref="C78:I78"/>
    <mergeCell ref="C79:I79"/>
    <mergeCell ref="C80:I80"/>
    <mergeCell ref="C81:I81"/>
    <mergeCell ref="C82:I82"/>
    <mergeCell ref="C83:I83"/>
    <mergeCell ref="C84:I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26CE-42E5-43AE-89F6-FBD63159D5AF}">
  <sheetPr codeName="Hoja2"/>
  <dimension ref="A1:M113"/>
  <sheetViews>
    <sheetView topLeftCell="A82" workbookViewId="0">
      <selection activeCell="C90" sqref="C90:I90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6" max="7" width="13" bestFit="1" customWidth="1"/>
    <col min="10" max="10" width="14.42578125" bestFit="1" customWidth="1"/>
  </cols>
  <sheetData>
    <row r="1" spans="1:10" ht="21" x14ac:dyDescent="0.35">
      <c r="A1" s="553" t="s">
        <v>67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30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83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71</v>
      </c>
      <c r="B4" s="6" t="s">
        <v>72</v>
      </c>
      <c r="C4" s="7">
        <v>46054</v>
      </c>
      <c r="D4" s="8"/>
      <c r="E4" s="8"/>
      <c r="F4" s="8"/>
      <c r="G4" s="8"/>
      <c r="H4" s="8"/>
      <c r="I4" s="8">
        <v>6</v>
      </c>
      <c r="J4" s="5">
        <f>SUM(D4:I4)</f>
        <v>6</v>
      </c>
    </row>
    <row r="5" spans="1:10" ht="15.75" thickBot="1" x14ac:dyDescent="0.3">
      <c r="A5" s="6" t="s">
        <v>75</v>
      </c>
      <c r="B5" s="6" t="s">
        <v>76</v>
      </c>
      <c r="C5" s="7">
        <v>46054</v>
      </c>
      <c r="D5" s="8"/>
      <c r="E5" s="8"/>
      <c r="F5" s="8"/>
      <c r="G5" s="8"/>
      <c r="H5" s="8"/>
      <c r="I5" s="8">
        <v>6</v>
      </c>
      <c r="J5" s="5">
        <f t="shared" ref="J5:J27" si="0">SUM(D5:I5)</f>
        <v>6</v>
      </c>
    </row>
    <row r="6" spans="1:10" ht="15.75" thickBot="1" x14ac:dyDescent="0.3">
      <c r="A6" s="6" t="s">
        <v>10</v>
      </c>
      <c r="B6" s="6" t="s">
        <v>77</v>
      </c>
      <c r="C6" s="7">
        <v>46054</v>
      </c>
      <c r="D6" s="8"/>
      <c r="E6" s="8"/>
      <c r="F6" s="8"/>
      <c r="G6" s="8"/>
      <c r="H6" s="8"/>
      <c r="I6" s="8">
        <v>10</v>
      </c>
      <c r="J6" s="5">
        <f t="shared" si="0"/>
        <v>10</v>
      </c>
    </row>
    <row r="7" spans="1:10" ht="15.75" thickBot="1" x14ac:dyDescent="0.3">
      <c r="A7" s="6" t="s">
        <v>10</v>
      </c>
      <c r="B7" s="6" t="s">
        <v>78</v>
      </c>
      <c r="C7" s="7">
        <v>46054</v>
      </c>
      <c r="D7" s="8"/>
      <c r="E7" s="8"/>
      <c r="F7" s="8"/>
      <c r="G7" s="8"/>
      <c r="H7" s="8"/>
      <c r="I7" s="8">
        <v>10</v>
      </c>
      <c r="J7" s="5">
        <f t="shared" si="0"/>
        <v>10</v>
      </c>
    </row>
    <row r="8" spans="1:10" ht="15.75" thickBot="1" x14ac:dyDescent="0.3">
      <c r="A8" s="6" t="s">
        <v>11</v>
      </c>
      <c r="B8" s="6" t="s">
        <v>79</v>
      </c>
      <c r="C8" s="7">
        <v>46054</v>
      </c>
      <c r="D8" s="8"/>
      <c r="E8" s="8"/>
      <c r="F8" s="8"/>
      <c r="G8" s="8"/>
      <c r="H8" s="8"/>
      <c r="I8" s="8">
        <v>10</v>
      </c>
      <c r="J8" s="5">
        <f t="shared" si="0"/>
        <v>10</v>
      </c>
    </row>
    <row r="9" spans="1:10" ht="15.75" thickBot="1" x14ac:dyDescent="0.3">
      <c r="A9" s="6" t="s">
        <v>145</v>
      </c>
      <c r="B9" s="6" t="s">
        <v>80</v>
      </c>
      <c r="C9" s="7">
        <v>46054</v>
      </c>
      <c r="D9" s="8"/>
      <c r="E9" s="8"/>
      <c r="F9" s="8"/>
      <c r="G9" s="8"/>
      <c r="H9" s="8"/>
      <c r="I9" s="8">
        <v>6</v>
      </c>
      <c r="J9" s="5">
        <f t="shared" si="0"/>
        <v>6</v>
      </c>
    </row>
    <row r="10" spans="1:10" ht="30.75" thickBot="1" x14ac:dyDescent="0.3">
      <c r="A10" s="186" t="s">
        <v>81</v>
      </c>
      <c r="B10" s="6" t="s">
        <v>82</v>
      </c>
      <c r="C10" s="7">
        <v>46054</v>
      </c>
      <c r="D10" s="8"/>
      <c r="E10" s="8"/>
      <c r="F10" s="8"/>
      <c r="G10" s="8">
        <v>550</v>
      </c>
      <c r="H10" s="8"/>
      <c r="I10" s="8"/>
      <c r="J10" s="5">
        <f t="shared" si="0"/>
        <v>550</v>
      </c>
    </row>
    <row r="11" spans="1:10" ht="15.75" thickBot="1" x14ac:dyDescent="0.3">
      <c r="A11" s="6" t="s">
        <v>84</v>
      </c>
      <c r="B11" s="6" t="s">
        <v>85</v>
      </c>
      <c r="C11" s="7">
        <v>46023</v>
      </c>
      <c r="D11" s="8"/>
      <c r="E11" s="8"/>
      <c r="F11" s="8">
        <v>800</v>
      </c>
      <c r="G11" s="8"/>
      <c r="H11" s="8"/>
      <c r="I11" s="8"/>
      <c r="J11" s="5">
        <f t="shared" si="0"/>
        <v>800</v>
      </c>
    </row>
    <row r="12" spans="1:10" ht="15.75" thickBot="1" x14ac:dyDescent="0.3">
      <c r="A12" s="6" t="s">
        <v>86</v>
      </c>
      <c r="B12" s="6" t="s">
        <v>87</v>
      </c>
      <c r="C12" s="7">
        <v>46113</v>
      </c>
      <c r="D12" s="8"/>
      <c r="E12" s="8"/>
      <c r="F12" s="8"/>
      <c r="G12" s="8">
        <v>100</v>
      </c>
      <c r="H12" s="8"/>
      <c r="I12" s="8"/>
      <c r="J12" s="5">
        <f t="shared" si="0"/>
        <v>100</v>
      </c>
    </row>
    <row r="13" spans="1:10" ht="15.75" thickBot="1" x14ac:dyDescent="0.3">
      <c r="A13" s="6" t="s">
        <v>103</v>
      </c>
      <c r="B13" s="6" t="s">
        <v>98</v>
      </c>
      <c r="C13" s="7">
        <v>46023</v>
      </c>
      <c r="D13" s="8"/>
      <c r="E13" s="8"/>
      <c r="F13" s="8">
        <v>350</v>
      </c>
      <c r="G13" s="8"/>
      <c r="H13" s="8"/>
      <c r="I13" s="8"/>
      <c r="J13" s="5">
        <f t="shared" si="0"/>
        <v>350</v>
      </c>
    </row>
    <row r="14" spans="1:10" ht="15.75" thickBot="1" x14ac:dyDescent="0.3">
      <c r="A14" s="6" t="s">
        <v>102</v>
      </c>
      <c r="B14" s="6" t="s">
        <v>100</v>
      </c>
      <c r="C14" s="7">
        <v>46023</v>
      </c>
      <c r="D14" s="8"/>
      <c r="E14" s="8"/>
      <c r="F14" s="8">
        <v>80</v>
      </c>
      <c r="G14" s="8"/>
      <c r="H14" s="8"/>
      <c r="I14" s="8"/>
      <c r="J14" s="5">
        <f t="shared" si="0"/>
        <v>80</v>
      </c>
    </row>
    <row r="15" spans="1:10" ht="15.75" thickBot="1" x14ac:dyDescent="0.3">
      <c r="A15" s="6" t="s">
        <v>99</v>
      </c>
      <c r="B15" s="6" t="s">
        <v>101</v>
      </c>
      <c r="C15" s="7">
        <v>46023</v>
      </c>
      <c r="D15" s="8"/>
      <c r="E15" s="8"/>
      <c r="F15" s="8">
        <v>350</v>
      </c>
      <c r="G15" s="8"/>
      <c r="H15" s="8"/>
      <c r="I15" s="8"/>
      <c r="J15" s="5">
        <f t="shared" si="0"/>
        <v>350</v>
      </c>
    </row>
    <row r="16" spans="1:10" ht="15.75" thickBot="1" x14ac:dyDescent="0.3">
      <c r="A16" s="9" t="s">
        <v>131</v>
      </c>
      <c r="B16" s="6" t="s">
        <v>132</v>
      </c>
      <c r="C16" s="7">
        <v>46054</v>
      </c>
      <c r="D16" s="8"/>
      <c r="E16" s="8"/>
      <c r="F16" s="8">
        <v>1000</v>
      </c>
      <c r="G16" s="8"/>
      <c r="H16" s="8"/>
      <c r="I16" s="11"/>
      <c r="J16" s="5">
        <f t="shared" si="0"/>
        <v>1000</v>
      </c>
    </row>
    <row r="17" spans="1:10" ht="15.75" thickBot="1" x14ac:dyDescent="0.3">
      <c r="A17" s="6" t="s">
        <v>134</v>
      </c>
      <c r="B17" s="6" t="s">
        <v>133</v>
      </c>
      <c r="C17" s="7">
        <v>45962</v>
      </c>
      <c r="D17" s="8"/>
      <c r="E17" s="8"/>
      <c r="F17" s="8">
        <v>50</v>
      </c>
      <c r="G17" s="8"/>
      <c r="H17" s="8"/>
      <c r="I17" s="8"/>
      <c r="J17" s="5">
        <f t="shared" si="0"/>
        <v>50</v>
      </c>
    </row>
    <row r="18" spans="1:10" ht="15.75" thickBot="1" x14ac:dyDescent="0.3">
      <c r="A18" s="14" t="s">
        <v>7</v>
      </c>
      <c r="B18" s="6" t="s">
        <v>136</v>
      </c>
      <c r="C18" s="7">
        <v>46054</v>
      </c>
      <c r="D18" s="8"/>
      <c r="E18" s="8"/>
      <c r="F18" s="8"/>
      <c r="G18" s="8"/>
      <c r="H18" s="8">
        <v>56</v>
      </c>
      <c r="I18" s="8"/>
      <c r="J18" s="5">
        <f t="shared" si="0"/>
        <v>56</v>
      </c>
    </row>
    <row r="19" spans="1:10" ht="15.75" thickBot="1" x14ac:dyDescent="0.3">
      <c r="A19" s="14" t="s">
        <v>143</v>
      </c>
      <c r="B19" s="6" t="s">
        <v>144</v>
      </c>
      <c r="C19" s="7">
        <v>46023</v>
      </c>
      <c r="D19" s="8"/>
      <c r="E19" s="8"/>
      <c r="F19" s="8">
        <v>500</v>
      </c>
      <c r="G19" s="8"/>
      <c r="H19" s="8"/>
      <c r="I19" s="8"/>
      <c r="J19" s="5">
        <f t="shared" si="0"/>
        <v>500</v>
      </c>
    </row>
    <row r="20" spans="1:10" ht="15.75" thickBot="1" x14ac:dyDescent="0.3">
      <c r="A20" s="14" t="s">
        <v>7</v>
      </c>
      <c r="B20" s="6" t="s">
        <v>146</v>
      </c>
      <c r="C20" s="7">
        <v>46054</v>
      </c>
      <c r="D20" s="8"/>
      <c r="E20" s="8"/>
      <c r="F20" s="8"/>
      <c r="G20" s="8"/>
      <c r="H20" s="8">
        <v>55.9</v>
      </c>
      <c r="I20" s="8"/>
      <c r="J20" s="5">
        <f t="shared" si="0"/>
        <v>55.9</v>
      </c>
    </row>
    <row r="21" spans="1:10" ht="15.75" thickBot="1" x14ac:dyDescent="0.3">
      <c r="A21" s="187" t="s">
        <v>99</v>
      </c>
      <c r="B21" s="6" t="s">
        <v>104</v>
      </c>
      <c r="C21" s="7">
        <v>45992</v>
      </c>
      <c r="D21" s="8">
        <v>7.7</v>
      </c>
      <c r="E21" s="8">
        <v>5</v>
      </c>
      <c r="F21" s="8"/>
      <c r="G21" s="8"/>
      <c r="H21" s="8"/>
      <c r="I21" s="8"/>
      <c r="J21" s="5">
        <f t="shared" si="0"/>
        <v>12.7</v>
      </c>
    </row>
    <row r="22" spans="1:10" ht="15.75" thickBot="1" x14ac:dyDescent="0.3">
      <c r="A22" s="16" t="s">
        <v>131</v>
      </c>
      <c r="B22" s="6" t="s">
        <v>135</v>
      </c>
      <c r="C22" s="7">
        <v>45992</v>
      </c>
      <c r="D22" s="8">
        <v>30.9</v>
      </c>
      <c r="E22" s="8">
        <v>5</v>
      </c>
      <c r="F22" s="8"/>
      <c r="G22" s="8"/>
      <c r="H22" s="8"/>
      <c r="I22" s="8"/>
      <c r="J22" s="5">
        <f t="shared" si="0"/>
        <v>35.9</v>
      </c>
    </row>
    <row r="23" spans="1:10" ht="15.75" thickBot="1" x14ac:dyDescent="0.3">
      <c r="A23" s="17"/>
      <c r="B23" s="6"/>
      <c r="C23" s="7"/>
      <c r="D23" s="8"/>
      <c r="E23" s="8"/>
      <c r="F23" s="8"/>
      <c r="G23" s="8"/>
      <c r="H23" s="8"/>
      <c r="I23" s="8"/>
      <c r="J23" s="5">
        <f t="shared" si="0"/>
        <v>0</v>
      </c>
    </row>
    <row r="24" spans="1:10" ht="15.75" thickBot="1" x14ac:dyDescent="0.3">
      <c r="A24" s="17"/>
      <c r="B24" s="6"/>
      <c r="C24" s="7"/>
      <c r="D24" s="8"/>
      <c r="E24" s="8"/>
      <c r="F24" s="8"/>
      <c r="G24" s="8"/>
      <c r="H24" s="8"/>
      <c r="I24" s="8"/>
      <c r="J24" s="5">
        <f t="shared" si="0"/>
        <v>0</v>
      </c>
    </row>
    <row r="25" spans="1:10" ht="15.75" thickBot="1" x14ac:dyDescent="0.3">
      <c r="A25" s="18"/>
      <c r="B25" s="6"/>
      <c r="C25" s="7"/>
      <c r="D25" s="8"/>
      <c r="E25" s="8"/>
      <c r="F25" s="8"/>
      <c r="G25" s="8"/>
      <c r="H25" s="8"/>
      <c r="I25" s="8"/>
      <c r="J25" s="5">
        <f t="shared" si="0"/>
        <v>0</v>
      </c>
    </row>
    <row r="26" spans="1:10" ht="15.75" thickBot="1" x14ac:dyDescent="0.3">
      <c r="A26" s="19"/>
      <c r="B26" s="6"/>
      <c r="C26" s="7"/>
      <c r="D26" s="8"/>
      <c r="E26" s="8"/>
      <c r="F26" s="8"/>
      <c r="G26" s="8"/>
      <c r="H26" s="8"/>
      <c r="I26" s="8"/>
      <c r="J26" s="5">
        <f t="shared" si="0"/>
        <v>0</v>
      </c>
    </row>
    <row r="27" spans="1:10" ht="15.75" thickBot="1" x14ac:dyDescent="0.3">
      <c r="A27" s="16"/>
      <c r="B27" s="6"/>
      <c r="C27" s="21"/>
      <c r="D27" s="22"/>
      <c r="E27" s="22"/>
      <c r="F27" s="22"/>
      <c r="G27" s="22"/>
      <c r="H27" s="22"/>
      <c r="I27" s="22"/>
      <c r="J27" s="5">
        <f t="shared" si="0"/>
        <v>0</v>
      </c>
    </row>
    <row r="28" spans="1:10" ht="19.5" thickBot="1" x14ac:dyDescent="0.35">
      <c r="A28" s="23" t="s">
        <v>9</v>
      </c>
      <c r="B28" s="4"/>
      <c r="C28" s="24"/>
      <c r="D28" s="25">
        <f t="shared" ref="D28:I28" si="1">SUM(D4:D27)</f>
        <v>38.6</v>
      </c>
      <c r="E28" s="25">
        <f t="shared" si="1"/>
        <v>10</v>
      </c>
      <c r="F28" s="25">
        <f t="shared" si="1"/>
        <v>3130</v>
      </c>
      <c r="G28" s="25">
        <f t="shared" si="1"/>
        <v>650</v>
      </c>
      <c r="H28" s="25">
        <f t="shared" si="1"/>
        <v>111.9</v>
      </c>
      <c r="I28" s="25">
        <f t="shared" si="1"/>
        <v>48</v>
      </c>
      <c r="J28" s="26">
        <f>SUM(J4:J27)</f>
        <v>3988.5</v>
      </c>
    </row>
    <row r="29" spans="1:10" ht="19.5" thickBot="1" x14ac:dyDescent="0.35">
      <c r="A29" s="27"/>
      <c r="B29" s="28"/>
      <c r="C29" s="29"/>
      <c r="D29" s="30"/>
      <c r="E29" s="30"/>
      <c r="F29" s="30"/>
      <c r="G29" s="30"/>
      <c r="H29" s="30"/>
      <c r="I29" s="30"/>
      <c r="J29" s="30"/>
    </row>
    <row r="30" spans="1:10" ht="24" thickBot="1" x14ac:dyDescent="0.4">
      <c r="A30" s="31" t="s">
        <v>12</v>
      </c>
      <c r="B30" s="28"/>
      <c r="C30" s="29"/>
      <c r="D30" s="30"/>
      <c r="E30" s="30"/>
      <c r="F30" s="30"/>
      <c r="G30" s="30"/>
      <c r="H30" s="30"/>
      <c r="I30" s="30"/>
      <c r="J30" s="30"/>
    </row>
    <row r="31" spans="1:10" ht="15.75" thickBot="1" x14ac:dyDescent="0.3">
      <c r="A31" s="32" t="s">
        <v>13</v>
      </c>
      <c r="B31" s="4" t="s">
        <v>1</v>
      </c>
      <c r="C31" s="33" t="s">
        <v>14</v>
      </c>
      <c r="D31" s="33" t="s">
        <v>3</v>
      </c>
      <c r="E31" s="33" t="s">
        <v>4</v>
      </c>
      <c r="F31" s="4" t="s">
        <v>5</v>
      </c>
      <c r="G31" s="4" t="s">
        <v>6</v>
      </c>
      <c r="H31" s="4" t="s">
        <v>15</v>
      </c>
      <c r="I31" s="4" t="s">
        <v>8</v>
      </c>
      <c r="J31" s="34" t="s">
        <v>9</v>
      </c>
    </row>
    <row r="32" spans="1:10" ht="30.75" thickBot="1" x14ac:dyDescent="0.3">
      <c r="A32" s="19" t="s">
        <v>73</v>
      </c>
      <c r="B32" s="21" t="s">
        <v>74</v>
      </c>
      <c r="C32" s="21">
        <v>46054</v>
      </c>
      <c r="D32" s="35"/>
      <c r="E32" s="36"/>
      <c r="F32" s="35"/>
      <c r="G32" s="35">
        <v>30</v>
      </c>
      <c r="H32" s="37"/>
      <c r="I32" s="37"/>
      <c r="J32" s="38">
        <f>SUM(D32:I32)</f>
        <v>30</v>
      </c>
    </row>
    <row r="33" spans="1:13" ht="15.75" thickBot="1" x14ac:dyDescent="0.3">
      <c r="A33" s="19"/>
      <c r="B33" s="21"/>
      <c r="C33" s="21"/>
      <c r="D33" s="35"/>
      <c r="E33" s="35"/>
      <c r="F33" s="35"/>
      <c r="G33" s="35"/>
      <c r="H33" s="37"/>
      <c r="I33" s="37"/>
      <c r="J33" s="38">
        <f t="shared" ref="J33:J35" si="2">SUM(D33:I33)</f>
        <v>0</v>
      </c>
    </row>
    <row r="34" spans="1:13" ht="15.75" thickBot="1" x14ac:dyDescent="0.3">
      <c r="A34" s="19"/>
      <c r="B34" s="16"/>
      <c r="C34" s="7"/>
      <c r="D34" s="39"/>
      <c r="E34" s="39"/>
      <c r="F34" s="39"/>
      <c r="G34" s="39"/>
      <c r="H34" s="8"/>
      <c r="I34" s="8"/>
      <c r="J34" s="38">
        <f t="shared" si="2"/>
        <v>0</v>
      </c>
    </row>
    <row r="35" spans="1:13" ht="15.75" thickBot="1" x14ac:dyDescent="0.3">
      <c r="A35" s="4"/>
      <c r="B35" s="40"/>
      <c r="C35" s="7"/>
      <c r="D35" s="39"/>
      <c r="E35" s="39"/>
      <c r="F35" s="39"/>
      <c r="G35" s="39"/>
      <c r="H35" s="8"/>
      <c r="I35" s="8"/>
      <c r="J35" s="38">
        <f t="shared" si="2"/>
        <v>0</v>
      </c>
      <c r="L35" s="41" t="s">
        <v>16</v>
      </c>
      <c r="M35" s="42">
        <f>J36+J44</f>
        <v>1197.5999999999999</v>
      </c>
    </row>
    <row r="36" spans="1:13" ht="15.75" thickBot="1" x14ac:dyDescent="0.3">
      <c r="A36" s="4" t="s">
        <v>9</v>
      </c>
      <c r="B36" s="43"/>
      <c r="C36" s="44"/>
      <c r="D36" s="45"/>
      <c r="E36" s="45"/>
      <c r="F36" s="45"/>
      <c r="G36" s="45"/>
      <c r="H36" s="45"/>
      <c r="I36" s="45"/>
      <c r="J36" s="12">
        <f>SUM(J32:J35)</f>
        <v>30</v>
      </c>
    </row>
    <row r="37" spans="1:13" ht="15.75" thickBot="1" x14ac:dyDescent="0.3">
      <c r="A37" s="28"/>
      <c r="B37" s="46"/>
      <c r="C37" s="47"/>
      <c r="D37" s="48"/>
      <c r="E37" s="48"/>
      <c r="F37" s="48"/>
      <c r="G37" s="48"/>
      <c r="H37" s="48"/>
      <c r="I37" s="48"/>
      <c r="J37" s="49"/>
    </row>
    <row r="38" spans="1:13" ht="24" thickBot="1" x14ac:dyDescent="0.4">
      <c r="A38" s="31" t="s">
        <v>12</v>
      </c>
      <c r="B38" s="28"/>
      <c r="C38" s="29"/>
      <c r="D38" s="30"/>
      <c r="E38" s="30"/>
      <c r="F38" s="30"/>
      <c r="G38" s="30"/>
      <c r="H38" s="30"/>
      <c r="I38" s="30"/>
      <c r="J38" s="30"/>
    </row>
    <row r="39" spans="1:13" ht="45.75" thickBot="1" x14ac:dyDescent="0.3">
      <c r="A39" s="50" t="s">
        <v>17</v>
      </c>
      <c r="B39" s="4" t="s">
        <v>18</v>
      </c>
      <c r="C39" s="33" t="s">
        <v>14</v>
      </c>
      <c r="D39" s="33" t="s">
        <v>3</v>
      </c>
      <c r="E39" s="33" t="s">
        <v>4</v>
      </c>
      <c r="F39" s="33" t="s">
        <v>19</v>
      </c>
      <c r="G39" s="33" t="s">
        <v>20</v>
      </c>
      <c r="H39" s="33" t="s">
        <v>15</v>
      </c>
      <c r="I39" s="51" t="s">
        <v>21</v>
      </c>
      <c r="J39" s="34" t="s">
        <v>9</v>
      </c>
    </row>
    <row r="40" spans="1:13" ht="15.75" thickBot="1" x14ac:dyDescent="0.3">
      <c r="A40" s="40" t="s">
        <v>88</v>
      </c>
      <c r="B40" s="21" t="s">
        <v>89</v>
      </c>
      <c r="C40" s="21">
        <v>45992</v>
      </c>
      <c r="D40" s="37">
        <v>618.6</v>
      </c>
      <c r="E40" s="55">
        <v>14</v>
      </c>
      <c r="F40" s="8"/>
      <c r="G40" s="8"/>
      <c r="H40" s="8"/>
      <c r="I40" s="8"/>
      <c r="J40" s="5">
        <f t="shared" ref="J40:J43" si="3">SUM(D40:I40)</f>
        <v>632.6</v>
      </c>
    </row>
    <row r="41" spans="1:13" ht="15.75" thickBot="1" x14ac:dyDescent="0.3">
      <c r="A41" s="14" t="s">
        <v>90</v>
      </c>
      <c r="B41" s="21" t="s">
        <v>91</v>
      </c>
      <c r="C41" s="21">
        <v>45992</v>
      </c>
      <c r="D41" s="35">
        <v>391.4</v>
      </c>
      <c r="E41" s="35">
        <v>78.599999999999994</v>
      </c>
      <c r="F41" s="35">
        <v>60</v>
      </c>
      <c r="G41" s="35">
        <v>5</v>
      </c>
      <c r="H41" s="37"/>
      <c r="I41" s="37"/>
      <c r="J41" s="38">
        <f t="shared" si="3"/>
        <v>535</v>
      </c>
    </row>
    <row r="42" spans="1:13" ht="15.75" thickBot="1" x14ac:dyDescent="0.3">
      <c r="A42" s="19"/>
      <c r="B42" s="16"/>
      <c r="C42" s="7"/>
      <c r="D42" s="39"/>
      <c r="E42" s="39"/>
      <c r="F42" s="39"/>
      <c r="G42" s="39"/>
      <c r="H42" s="8"/>
      <c r="I42" s="8"/>
      <c r="J42" s="38">
        <f t="shared" si="3"/>
        <v>0</v>
      </c>
    </row>
    <row r="43" spans="1:13" ht="15.75" thickBot="1" x14ac:dyDescent="0.3">
      <c r="A43" s="4"/>
      <c r="B43" s="40"/>
      <c r="C43" s="7"/>
      <c r="D43" s="39"/>
      <c r="E43" s="39"/>
      <c r="F43" s="39"/>
      <c r="G43" s="39"/>
      <c r="H43" s="8"/>
      <c r="I43" s="8"/>
      <c r="J43" s="38">
        <f t="shared" si="3"/>
        <v>0</v>
      </c>
      <c r="L43" s="53"/>
      <c r="M43" s="54"/>
    </row>
    <row r="44" spans="1:13" ht="15.75" thickBot="1" x14ac:dyDescent="0.3">
      <c r="A44" s="4" t="s">
        <v>9</v>
      </c>
      <c r="B44" s="43"/>
      <c r="C44" s="44"/>
      <c r="D44" s="45"/>
      <c r="E44" s="45"/>
      <c r="F44" s="45"/>
      <c r="G44" s="45"/>
      <c r="H44" s="45"/>
      <c r="I44" s="45"/>
      <c r="J44" s="12">
        <f>SUM(J40:J43)</f>
        <v>1167.5999999999999</v>
      </c>
    </row>
    <row r="45" spans="1:13" x14ac:dyDescent="0.25">
      <c r="A45" s="28"/>
      <c r="B45" s="46"/>
      <c r="C45" s="47"/>
      <c r="D45" s="48"/>
      <c r="E45" s="48"/>
      <c r="F45" s="48"/>
      <c r="G45" s="48"/>
      <c r="H45" s="48"/>
      <c r="I45" s="48"/>
      <c r="J45" s="49"/>
    </row>
    <row r="46" spans="1:13" x14ac:dyDescent="0.25">
      <c r="A46" s="28"/>
      <c r="B46" s="46"/>
      <c r="C46" s="47"/>
      <c r="D46" s="48"/>
      <c r="E46" s="48"/>
      <c r="F46" s="48"/>
      <c r="G46" s="48"/>
      <c r="H46" s="48"/>
      <c r="I46" s="48"/>
      <c r="J46" s="49"/>
    </row>
    <row r="47" spans="1:13" ht="15.75" thickBot="1" x14ac:dyDescent="0.3">
      <c r="A47" s="2"/>
      <c r="B47" s="2"/>
      <c r="C47" s="2"/>
      <c r="J47" s="3"/>
    </row>
    <row r="48" spans="1:13" ht="45.75" thickBot="1" x14ac:dyDescent="0.3">
      <c r="A48" s="33" t="s">
        <v>22</v>
      </c>
      <c r="B48" s="4" t="s">
        <v>18</v>
      </c>
      <c r="C48" s="33" t="s">
        <v>14</v>
      </c>
      <c r="D48" s="33" t="s">
        <v>3</v>
      </c>
      <c r="E48" s="33" t="s">
        <v>4</v>
      </c>
      <c r="F48" s="33" t="s">
        <v>19</v>
      </c>
      <c r="G48" s="33" t="s">
        <v>20</v>
      </c>
      <c r="H48" s="4" t="s">
        <v>21</v>
      </c>
      <c r="I48" s="51" t="s">
        <v>15</v>
      </c>
      <c r="J48" s="34" t="s">
        <v>9</v>
      </c>
    </row>
    <row r="49" spans="1:10" ht="15.75" thickBot="1" x14ac:dyDescent="0.3">
      <c r="A49" s="564" t="s">
        <v>114</v>
      </c>
      <c r="B49" s="566" t="s">
        <v>115</v>
      </c>
      <c r="C49" s="21">
        <v>45962</v>
      </c>
      <c r="D49" s="37">
        <v>50.5</v>
      </c>
      <c r="E49" s="55">
        <v>6</v>
      </c>
      <c r="F49" s="37"/>
      <c r="G49" s="37"/>
      <c r="H49" s="37"/>
      <c r="I49" s="37"/>
      <c r="J49" s="38">
        <f>SUM(D49:I49)</f>
        <v>56.5</v>
      </c>
    </row>
    <row r="50" spans="1:10" ht="15.75" thickBot="1" x14ac:dyDescent="0.3">
      <c r="A50" s="565"/>
      <c r="B50" s="567"/>
      <c r="C50" s="21">
        <v>45992</v>
      </c>
      <c r="D50" s="37">
        <v>51.2</v>
      </c>
      <c r="E50" s="37">
        <v>6</v>
      </c>
      <c r="F50" s="37"/>
      <c r="G50" s="37"/>
      <c r="H50" s="37"/>
      <c r="I50" s="37"/>
      <c r="J50" s="38">
        <f t="shared" ref="J50:J62" si="4">SUM(D50:I50)</f>
        <v>57.2</v>
      </c>
    </row>
    <row r="51" spans="1:10" ht="15.75" thickBot="1" x14ac:dyDescent="0.3">
      <c r="A51" s="564" t="s">
        <v>116</v>
      </c>
      <c r="B51" s="566" t="s">
        <v>117</v>
      </c>
      <c r="C51" s="21">
        <v>45962</v>
      </c>
      <c r="D51" s="37">
        <v>32.299999999999997</v>
      </c>
      <c r="E51" s="37">
        <v>6</v>
      </c>
      <c r="F51" s="37"/>
      <c r="G51" s="37"/>
      <c r="H51" s="37"/>
      <c r="I51" s="37"/>
      <c r="J51" s="38">
        <f t="shared" si="4"/>
        <v>38.299999999999997</v>
      </c>
    </row>
    <row r="52" spans="1:10" ht="15.75" thickBot="1" x14ac:dyDescent="0.3">
      <c r="A52" s="565"/>
      <c r="B52" s="567"/>
      <c r="C52" s="21">
        <v>45992</v>
      </c>
      <c r="D52" s="37">
        <v>29.5</v>
      </c>
      <c r="E52" s="37">
        <v>6</v>
      </c>
      <c r="F52" s="37"/>
      <c r="G52" s="37"/>
      <c r="H52" s="37"/>
      <c r="I52" s="37"/>
      <c r="J52" s="38">
        <f t="shared" si="4"/>
        <v>35.5</v>
      </c>
    </row>
    <row r="53" spans="1:10" ht="15.75" thickBot="1" x14ac:dyDescent="0.3">
      <c r="A53" s="40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16"/>
      <c r="B54" s="21"/>
      <c r="C54" s="21"/>
      <c r="D54" s="37"/>
      <c r="E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16"/>
      <c r="B55" s="21"/>
      <c r="C55" s="21"/>
      <c r="D55" s="37"/>
      <c r="E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16"/>
      <c r="B56" s="21"/>
      <c r="C56" s="21"/>
      <c r="D56" s="37"/>
      <c r="E56" s="37"/>
      <c r="F56" s="37"/>
      <c r="G56" s="37"/>
      <c r="H56" s="37"/>
      <c r="I56" s="37"/>
      <c r="J56" s="38">
        <f t="shared" si="4"/>
        <v>0</v>
      </c>
    </row>
    <row r="57" spans="1:10" ht="15.75" thickBot="1" x14ac:dyDescent="0.3">
      <c r="A57" s="16"/>
      <c r="B57" s="21"/>
      <c r="C57" s="21"/>
      <c r="D57" s="37"/>
      <c r="E57" s="37"/>
      <c r="F57" s="37"/>
      <c r="G57" s="37"/>
      <c r="H57" s="37"/>
      <c r="I57" s="37"/>
      <c r="J57" s="38">
        <f t="shared" si="4"/>
        <v>0</v>
      </c>
    </row>
    <row r="58" spans="1:10" ht="15.75" thickBot="1" x14ac:dyDescent="0.3">
      <c r="A58" s="16"/>
      <c r="B58" s="21"/>
      <c r="C58" s="21"/>
      <c r="D58" s="37"/>
      <c r="E58" s="37"/>
      <c r="F58" s="37"/>
      <c r="G58" s="37"/>
      <c r="H58" s="37"/>
      <c r="I58" s="37"/>
      <c r="J58" s="38">
        <f t="shared" si="4"/>
        <v>0</v>
      </c>
    </row>
    <row r="59" spans="1:10" ht="15.75" thickBot="1" x14ac:dyDescent="0.3">
      <c r="A59" s="56"/>
      <c r="B59" s="21"/>
      <c r="C59" s="21"/>
      <c r="D59" s="37"/>
      <c r="E59" s="37"/>
      <c r="F59" s="37"/>
      <c r="G59" s="37"/>
      <c r="H59" s="37"/>
      <c r="I59" s="37"/>
      <c r="J59" s="38">
        <f t="shared" si="4"/>
        <v>0</v>
      </c>
    </row>
    <row r="60" spans="1:10" ht="15.75" thickBot="1" x14ac:dyDescent="0.3">
      <c r="A60" s="40"/>
      <c r="B60" s="21"/>
      <c r="C60" s="21"/>
      <c r="D60" s="37"/>
      <c r="F60" s="37"/>
      <c r="G60" s="37"/>
      <c r="H60" s="37"/>
      <c r="I60" s="37"/>
      <c r="J60" s="38">
        <f t="shared" si="4"/>
        <v>0</v>
      </c>
    </row>
    <row r="61" spans="1:10" ht="15.75" thickBot="1" x14ac:dyDescent="0.3">
      <c r="A61" s="40"/>
      <c r="B61" s="21"/>
      <c r="C61" s="21"/>
      <c r="D61" s="37"/>
      <c r="E61" s="37"/>
      <c r="F61" s="37"/>
      <c r="G61" s="37"/>
      <c r="H61" s="37"/>
      <c r="I61" s="37"/>
      <c r="J61" s="38">
        <f t="shared" si="4"/>
        <v>0</v>
      </c>
    </row>
    <row r="62" spans="1:10" ht="15.75" thickBot="1" x14ac:dyDescent="0.3">
      <c r="A62" s="40"/>
      <c r="B62" s="21"/>
      <c r="C62" s="21"/>
      <c r="D62" s="57"/>
      <c r="E62" s="57"/>
      <c r="F62" s="57"/>
      <c r="G62" s="57"/>
      <c r="H62" s="57"/>
      <c r="I62" s="57"/>
      <c r="J62" s="38">
        <f t="shared" si="4"/>
        <v>0</v>
      </c>
    </row>
    <row r="63" spans="1:10" ht="19.5" thickBot="1" x14ac:dyDescent="0.35">
      <c r="A63" s="23" t="s">
        <v>9</v>
      </c>
      <c r="B63" s="4"/>
      <c r="C63" s="24"/>
      <c r="D63" s="25">
        <f t="shared" ref="D63:J63" si="5">SUM(D49:D62)</f>
        <v>163.5</v>
      </c>
      <c r="E63" s="25">
        <f t="shared" si="5"/>
        <v>24</v>
      </c>
      <c r="F63" s="25">
        <f t="shared" si="5"/>
        <v>0</v>
      </c>
      <c r="G63" s="25">
        <f t="shared" si="5"/>
        <v>0</v>
      </c>
      <c r="H63" s="25">
        <f t="shared" si="5"/>
        <v>0</v>
      </c>
      <c r="I63" s="25">
        <f t="shared" si="5"/>
        <v>0</v>
      </c>
      <c r="J63" s="25">
        <f t="shared" si="5"/>
        <v>187.5</v>
      </c>
    </row>
    <row r="64" spans="1:10" ht="15.75" x14ac:dyDescent="0.25">
      <c r="A64" s="58"/>
      <c r="B64" s="58"/>
      <c r="C64" s="59"/>
      <c r="D64" s="60"/>
      <c r="E64" s="60"/>
      <c r="F64" s="60"/>
      <c r="G64" s="60"/>
      <c r="H64" s="60"/>
      <c r="I64" s="60"/>
      <c r="J64" s="60"/>
    </row>
    <row r="65" spans="1:10" ht="16.5" thickBot="1" x14ac:dyDescent="0.3">
      <c r="A65" s="58"/>
      <c r="B65" s="58"/>
      <c r="C65" s="59"/>
      <c r="D65" s="60"/>
      <c r="E65" s="60"/>
      <c r="F65" s="60"/>
      <c r="G65" s="60"/>
      <c r="H65" s="60"/>
      <c r="I65" s="60"/>
      <c r="J65" s="60"/>
    </row>
    <row r="66" spans="1:10" ht="19.5" thickBot="1" x14ac:dyDescent="0.35">
      <c r="A66" s="554" t="s">
        <v>23</v>
      </c>
      <c r="B66" s="555"/>
      <c r="C66" s="61"/>
      <c r="D66" s="62"/>
      <c r="E66" s="62"/>
      <c r="F66" s="62"/>
      <c r="G66" s="62"/>
      <c r="H66" s="62"/>
      <c r="I66" s="62"/>
      <c r="J66" s="26">
        <f>+J28+J63</f>
        <v>4176</v>
      </c>
    </row>
    <row r="67" spans="1:10" x14ac:dyDescent="0.25">
      <c r="A67" s="2"/>
      <c r="B67" s="2"/>
      <c r="C67" s="63"/>
      <c r="D67" s="3"/>
      <c r="E67" s="3"/>
      <c r="F67" s="3"/>
      <c r="G67" s="3"/>
      <c r="H67" s="3"/>
      <c r="I67" s="3"/>
      <c r="J67" s="3"/>
    </row>
    <row r="68" spans="1:10" x14ac:dyDescent="0.25">
      <c r="A68" s="2"/>
      <c r="B68" s="2"/>
      <c r="C68" s="63"/>
      <c r="D68" s="3"/>
      <c r="E68" s="3"/>
      <c r="F68" s="3"/>
      <c r="G68" s="3"/>
      <c r="H68" s="3"/>
      <c r="I68" s="3"/>
      <c r="J68" s="3"/>
    </row>
    <row r="69" spans="1:10" ht="16.5" thickBot="1" x14ac:dyDescent="0.3">
      <c r="A69" s="64" t="s">
        <v>24</v>
      </c>
      <c r="B69" s="2"/>
      <c r="C69" s="63"/>
      <c r="D69" s="3"/>
      <c r="E69" s="3"/>
      <c r="F69" s="3"/>
      <c r="G69" s="3"/>
      <c r="H69" s="3"/>
      <c r="I69" s="3"/>
      <c r="J69" s="3"/>
    </row>
    <row r="70" spans="1:10" ht="19.5" thickBot="1" x14ac:dyDescent="0.35">
      <c r="A70" s="65" t="s">
        <v>25</v>
      </c>
      <c r="B70" s="66"/>
      <c r="C70" s="67"/>
      <c r="D70" s="68"/>
      <c r="E70" s="68"/>
      <c r="F70" s="68"/>
      <c r="G70" s="68"/>
      <c r="H70" s="68"/>
      <c r="I70" s="68"/>
      <c r="J70" s="26"/>
    </row>
    <row r="71" spans="1:10" ht="19.5" thickBot="1" x14ac:dyDescent="0.35">
      <c r="A71" s="65" t="s">
        <v>26</v>
      </c>
      <c r="B71" s="66"/>
      <c r="C71" s="69"/>
      <c r="D71" s="68"/>
      <c r="E71" s="68"/>
      <c r="F71" s="68"/>
      <c r="G71" s="68"/>
      <c r="H71" s="68"/>
      <c r="I71" s="68"/>
      <c r="J71" s="26"/>
    </row>
    <row r="72" spans="1:10" ht="18.75" x14ac:dyDescent="0.3">
      <c r="A72" s="70"/>
      <c r="B72" s="70"/>
      <c r="C72" s="71"/>
      <c r="D72" s="72"/>
      <c r="E72" s="72"/>
      <c r="F72" s="72"/>
      <c r="G72" s="72"/>
      <c r="H72" s="72"/>
      <c r="I72" s="72"/>
      <c r="J72" s="30"/>
    </row>
    <row r="73" spans="1:10" ht="18.75" x14ac:dyDescent="0.3">
      <c r="A73" s="70"/>
      <c r="B73" s="70"/>
      <c r="C73" s="71"/>
      <c r="D73" s="72"/>
      <c r="E73" s="72"/>
      <c r="F73" s="72"/>
      <c r="G73" s="72"/>
      <c r="H73" s="72"/>
      <c r="I73" s="72"/>
      <c r="J73" s="30"/>
    </row>
    <row r="74" spans="1:10" ht="16.5" thickBot="1" x14ac:dyDescent="0.3">
      <c r="A74" s="73" t="s">
        <v>27</v>
      </c>
      <c r="B74" s="74"/>
      <c r="C74" s="63"/>
      <c r="D74" s="3"/>
      <c r="E74" s="3"/>
      <c r="F74" s="3"/>
      <c r="G74" s="3"/>
      <c r="H74" s="3"/>
      <c r="I74" s="3"/>
      <c r="J74" s="3"/>
    </row>
    <row r="75" spans="1:10" ht="19.5" thickBot="1" x14ac:dyDescent="0.35">
      <c r="A75" s="75" t="s">
        <v>28</v>
      </c>
      <c r="B75" s="76"/>
      <c r="C75" s="77"/>
      <c r="D75" s="78"/>
      <c r="E75" s="78"/>
      <c r="F75" s="78"/>
      <c r="G75" s="78"/>
      <c r="H75" s="78"/>
      <c r="I75" s="78"/>
      <c r="J75" s="79">
        <v>450</v>
      </c>
    </row>
    <row r="76" spans="1:10" x14ac:dyDescent="0.25">
      <c r="A76" s="80"/>
      <c r="B76" s="2"/>
      <c r="C76" s="63"/>
      <c r="D76" s="3"/>
      <c r="E76" s="3"/>
      <c r="F76" s="3"/>
      <c r="G76" s="3"/>
      <c r="H76" s="3"/>
      <c r="I76" s="3"/>
      <c r="J76" s="3"/>
    </row>
    <row r="77" spans="1:10" ht="16.5" thickBot="1" x14ac:dyDescent="0.3">
      <c r="A77" s="73"/>
      <c r="B77" s="74"/>
      <c r="C77" s="63"/>
      <c r="D77" s="3"/>
      <c r="E77" s="3"/>
      <c r="F77" s="3"/>
      <c r="G77" s="3"/>
      <c r="H77" s="3"/>
      <c r="I77" s="3"/>
      <c r="J77" s="3"/>
    </row>
    <row r="78" spans="1:10" ht="19.5" thickBot="1" x14ac:dyDescent="0.35">
      <c r="A78" s="75" t="s">
        <v>29</v>
      </c>
      <c r="B78" s="76"/>
      <c r="C78" s="81"/>
      <c r="D78" s="78"/>
      <c r="E78" s="78"/>
      <c r="F78" s="78"/>
      <c r="G78" s="78"/>
      <c r="H78" s="78"/>
      <c r="I78" s="78"/>
      <c r="J78" s="82"/>
    </row>
    <row r="79" spans="1:10" ht="15.75" thickBot="1" x14ac:dyDescent="0.3">
      <c r="A79" s="80"/>
      <c r="B79" s="2"/>
      <c r="C79" s="63"/>
      <c r="D79" s="3"/>
      <c r="E79" s="3"/>
      <c r="F79" s="3"/>
      <c r="G79" s="3"/>
      <c r="H79" s="3"/>
      <c r="I79" s="3"/>
      <c r="J79" s="3"/>
    </row>
    <row r="80" spans="1:10" ht="21.75" thickBot="1" x14ac:dyDescent="0.4">
      <c r="A80" s="556" t="s">
        <v>30</v>
      </c>
      <c r="B80" s="557"/>
      <c r="C80" s="83"/>
      <c r="D80" s="84"/>
      <c r="E80" s="84"/>
      <c r="F80" s="84"/>
      <c r="G80" s="84"/>
      <c r="H80" s="84"/>
      <c r="I80" s="84"/>
      <c r="J80" s="85">
        <f>SUM(J66:J79)</f>
        <v>4626</v>
      </c>
    </row>
    <row r="81" spans="1:10" x14ac:dyDescent="0.25">
      <c r="A81" s="2"/>
      <c r="B81" s="2"/>
      <c r="C81" s="63"/>
      <c r="D81" s="3"/>
      <c r="E81" s="3"/>
      <c r="F81" s="3"/>
      <c r="G81" s="3"/>
      <c r="H81" s="3"/>
      <c r="I81" s="3"/>
      <c r="J81" s="3"/>
    </row>
    <row r="82" spans="1:10" ht="21" x14ac:dyDescent="0.35">
      <c r="A82" s="553" t="s">
        <v>68</v>
      </c>
      <c r="B82" s="553"/>
      <c r="C82" s="553"/>
      <c r="D82" s="553"/>
      <c r="E82" s="553"/>
      <c r="F82" s="553"/>
      <c r="G82" s="553"/>
      <c r="H82" s="553"/>
      <c r="I82" s="553"/>
      <c r="J82" s="553"/>
    </row>
    <row r="83" spans="1:10" ht="21.75" thickBot="1" x14ac:dyDescent="0.4">
      <c r="A83" s="86" t="s">
        <v>31</v>
      </c>
      <c r="B83" s="86"/>
      <c r="C83" s="86"/>
      <c r="D83" s="86"/>
      <c r="E83" s="86"/>
      <c r="F83" s="86"/>
      <c r="G83" s="86"/>
      <c r="H83" s="86"/>
      <c r="I83" s="86"/>
      <c r="J83" s="87"/>
    </row>
    <row r="84" spans="1:10" ht="15.75" thickBot="1" x14ac:dyDescent="0.3">
      <c r="A84" s="88" t="s">
        <v>32</v>
      </c>
      <c r="B84" s="89" t="s">
        <v>33</v>
      </c>
      <c r="C84" s="558" t="s">
        <v>2</v>
      </c>
      <c r="D84" s="559"/>
      <c r="E84" s="559"/>
      <c r="F84" s="559"/>
      <c r="G84" s="559"/>
      <c r="H84" s="559"/>
      <c r="I84" s="560"/>
      <c r="J84" s="90" t="s">
        <v>9</v>
      </c>
    </row>
    <row r="85" spans="1:10" ht="15.75" thickBot="1" x14ac:dyDescent="0.3">
      <c r="A85" s="40" t="s">
        <v>92</v>
      </c>
      <c r="B85" s="92" t="s">
        <v>93</v>
      </c>
      <c r="C85" s="550" t="s">
        <v>94</v>
      </c>
      <c r="D85" s="551"/>
      <c r="E85" s="551"/>
      <c r="F85" s="551"/>
      <c r="G85" s="551"/>
      <c r="H85" s="551"/>
      <c r="I85" s="551"/>
      <c r="J85" s="22">
        <v>80</v>
      </c>
    </row>
    <row r="86" spans="1:10" ht="15.75" thickBot="1" x14ac:dyDescent="0.3">
      <c r="A86" s="188" t="s">
        <v>106</v>
      </c>
      <c r="B86" s="92" t="s">
        <v>105</v>
      </c>
      <c r="C86" s="561" t="s">
        <v>107</v>
      </c>
      <c r="D86" s="562"/>
      <c r="E86" s="562"/>
      <c r="F86" s="562"/>
      <c r="G86" s="562"/>
      <c r="H86" s="562"/>
      <c r="I86" s="562"/>
      <c r="J86" s="22">
        <v>70</v>
      </c>
    </row>
    <row r="87" spans="1:10" ht="15.75" thickBot="1" x14ac:dyDescent="0.3">
      <c r="A87" s="40" t="s">
        <v>108</v>
      </c>
      <c r="B87" s="92" t="s">
        <v>109</v>
      </c>
      <c r="C87" s="561" t="s">
        <v>110</v>
      </c>
      <c r="D87" s="562"/>
      <c r="E87" s="562"/>
      <c r="F87" s="562"/>
      <c r="G87" s="562"/>
      <c r="H87" s="562"/>
      <c r="I87" s="562"/>
      <c r="J87" s="22">
        <v>10</v>
      </c>
    </row>
    <row r="88" spans="1:10" ht="15.75" thickBot="1" x14ac:dyDescent="0.3">
      <c r="A88" s="40" t="s">
        <v>112</v>
      </c>
      <c r="B88" s="92" t="s">
        <v>111</v>
      </c>
      <c r="C88" s="561" t="s">
        <v>113</v>
      </c>
      <c r="D88" s="562"/>
      <c r="E88" s="562"/>
      <c r="F88" s="562"/>
      <c r="G88" s="562"/>
      <c r="H88" s="562"/>
      <c r="I88" s="562"/>
      <c r="J88" s="22">
        <v>9</v>
      </c>
    </row>
    <row r="89" spans="1:10" ht="36" customHeight="1" thickBot="1" x14ac:dyDescent="0.3">
      <c r="A89" s="40" t="s">
        <v>95</v>
      </c>
      <c r="B89" s="92" t="s">
        <v>96</v>
      </c>
      <c r="C89" s="550" t="s">
        <v>97</v>
      </c>
      <c r="D89" s="551"/>
      <c r="E89" s="551"/>
      <c r="F89" s="551"/>
      <c r="G89" s="551"/>
      <c r="H89" s="552"/>
      <c r="I89" s="552"/>
      <c r="J89" s="22">
        <v>1000</v>
      </c>
    </row>
    <row r="90" spans="1:10" ht="15.75" thickBot="1" x14ac:dyDescent="0.3">
      <c r="A90" s="40" t="s">
        <v>118</v>
      </c>
      <c r="B90" s="92">
        <v>516505</v>
      </c>
      <c r="C90" s="550" t="s">
        <v>127</v>
      </c>
      <c r="D90" s="551"/>
      <c r="E90" s="551"/>
      <c r="F90" s="551"/>
      <c r="G90" s="551"/>
      <c r="H90" s="551"/>
      <c r="I90" s="551"/>
      <c r="J90" s="93">
        <v>1638.4</v>
      </c>
    </row>
    <row r="91" spans="1:10" ht="15.75" thickBot="1" x14ac:dyDescent="0.3">
      <c r="A91" s="40" t="s">
        <v>119</v>
      </c>
      <c r="B91" s="92">
        <v>517485</v>
      </c>
      <c r="C91" s="550" t="s">
        <v>127</v>
      </c>
      <c r="D91" s="551"/>
      <c r="E91" s="551"/>
      <c r="F91" s="551"/>
      <c r="G91" s="551"/>
      <c r="H91" s="551"/>
      <c r="I91" s="551"/>
      <c r="J91" s="93">
        <v>1001.9</v>
      </c>
    </row>
    <row r="92" spans="1:10" ht="15.75" thickBot="1" x14ac:dyDescent="0.3">
      <c r="A92" s="40" t="s">
        <v>120</v>
      </c>
      <c r="B92" s="92">
        <v>518252</v>
      </c>
      <c r="C92" s="550" t="s">
        <v>127</v>
      </c>
      <c r="D92" s="551"/>
      <c r="E92" s="551"/>
      <c r="F92" s="551"/>
      <c r="G92" s="551"/>
      <c r="H92" s="551"/>
      <c r="I92" s="551"/>
      <c r="J92" s="93">
        <v>1607.6</v>
      </c>
    </row>
    <row r="93" spans="1:10" ht="15.75" thickBot="1" x14ac:dyDescent="0.3">
      <c r="A93" s="40" t="s">
        <v>121</v>
      </c>
      <c r="B93" s="92">
        <v>519564</v>
      </c>
      <c r="C93" s="550" t="s">
        <v>127</v>
      </c>
      <c r="D93" s="551"/>
      <c r="E93" s="551"/>
      <c r="F93" s="551"/>
      <c r="G93" s="551"/>
      <c r="H93" s="551"/>
      <c r="I93" s="551"/>
      <c r="J93" s="22">
        <v>1441.1</v>
      </c>
    </row>
    <row r="94" spans="1:10" ht="15.75" thickBot="1" x14ac:dyDescent="0.3">
      <c r="A94" s="40" t="s">
        <v>122</v>
      </c>
      <c r="B94" s="92">
        <v>520306</v>
      </c>
      <c r="C94" s="550" t="s">
        <v>127</v>
      </c>
      <c r="D94" s="551"/>
      <c r="E94" s="551"/>
      <c r="F94" s="551"/>
      <c r="G94" s="551"/>
      <c r="H94" s="551"/>
      <c r="I94" s="551"/>
      <c r="J94" s="22">
        <v>989.6</v>
      </c>
    </row>
    <row r="95" spans="1:10" ht="15.75" thickBot="1" x14ac:dyDescent="0.3">
      <c r="A95" s="40" t="s">
        <v>123</v>
      </c>
      <c r="B95" s="92">
        <v>521071</v>
      </c>
      <c r="C95" s="550" t="s">
        <v>127</v>
      </c>
      <c r="D95" s="551"/>
      <c r="E95" s="551"/>
      <c r="F95" s="551"/>
      <c r="G95" s="551"/>
      <c r="H95" s="551"/>
      <c r="I95" s="551"/>
      <c r="J95" s="22">
        <v>1256.3</v>
      </c>
    </row>
    <row r="96" spans="1:10" ht="15.75" thickBot="1" x14ac:dyDescent="0.3">
      <c r="A96" s="40" t="s">
        <v>124</v>
      </c>
      <c r="B96" s="92">
        <v>521881</v>
      </c>
      <c r="C96" s="550" t="s">
        <v>127</v>
      </c>
      <c r="D96" s="551"/>
      <c r="E96" s="551"/>
      <c r="F96" s="551"/>
      <c r="G96" s="551"/>
      <c r="H96" s="551"/>
      <c r="I96" s="551"/>
      <c r="J96" s="22">
        <v>1120.7</v>
      </c>
    </row>
    <row r="97" spans="1:10" ht="15.75" thickBot="1" x14ac:dyDescent="0.3">
      <c r="A97" s="40" t="s">
        <v>125</v>
      </c>
      <c r="B97" s="92">
        <v>522741</v>
      </c>
      <c r="C97" s="550" t="s">
        <v>127</v>
      </c>
      <c r="D97" s="551"/>
      <c r="E97" s="551"/>
      <c r="F97" s="551"/>
      <c r="G97" s="551"/>
      <c r="H97" s="551"/>
      <c r="I97" s="551"/>
      <c r="J97" s="22">
        <v>604.70000000000005</v>
      </c>
    </row>
    <row r="98" spans="1:10" ht="15.75" thickBot="1" x14ac:dyDescent="0.3">
      <c r="A98" s="40" t="s">
        <v>128</v>
      </c>
      <c r="B98" s="92">
        <v>523978</v>
      </c>
      <c r="C98" s="550" t="s">
        <v>127</v>
      </c>
      <c r="D98" s="551"/>
      <c r="E98" s="551"/>
      <c r="F98" s="551"/>
      <c r="G98" s="551"/>
      <c r="H98" s="551"/>
      <c r="I98" s="551"/>
      <c r="J98" s="37">
        <v>506.5</v>
      </c>
    </row>
    <row r="99" spans="1:10" ht="15.75" thickBot="1" x14ac:dyDescent="0.3">
      <c r="A99" s="40" t="s">
        <v>126</v>
      </c>
      <c r="B99" s="92">
        <v>523491</v>
      </c>
      <c r="C99" s="550" t="s">
        <v>127</v>
      </c>
      <c r="D99" s="551"/>
      <c r="E99" s="551"/>
      <c r="F99" s="551"/>
      <c r="G99" s="551"/>
      <c r="H99" s="551"/>
      <c r="I99" s="551"/>
      <c r="J99" s="37">
        <v>934.1</v>
      </c>
    </row>
    <row r="100" spans="1:10" ht="15.75" thickBot="1" x14ac:dyDescent="0.3">
      <c r="A100" s="40" t="s">
        <v>129</v>
      </c>
      <c r="B100" s="92">
        <v>974</v>
      </c>
      <c r="C100" s="550" t="s">
        <v>130</v>
      </c>
      <c r="D100" s="551"/>
      <c r="E100" s="551"/>
      <c r="F100" s="551"/>
      <c r="G100" s="551"/>
      <c r="H100" s="551"/>
      <c r="I100" s="551"/>
      <c r="J100" s="37">
        <v>5</v>
      </c>
    </row>
    <row r="101" spans="1:10" ht="15.75" thickBot="1" x14ac:dyDescent="0.3">
      <c r="A101" s="40" t="s">
        <v>137</v>
      </c>
      <c r="B101" s="92" t="s">
        <v>138</v>
      </c>
      <c r="C101" s="550" t="s">
        <v>285</v>
      </c>
      <c r="D101" s="551"/>
      <c r="E101" s="551"/>
      <c r="F101" s="551"/>
      <c r="G101" s="551"/>
      <c r="H101" s="552"/>
      <c r="I101" s="552"/>
      <c r="J101" s="37">
        <v>200</v>
      </c>
    </row>
    <row r="102" spans="1:10" ht="15.75" thickBot="1" x14ac:dyDescent="0.3">
      <c r="A102" s="40" t="s">
        <v>139</v>
      </c>
      <c r="B102" s="92" t="s">
        <v>140</v>
      </c>
      <c r="C102" s="550" t="s">
        <v>286</v>
      </c>
      <c r="D102" s="551"/>
      <c r="E102" s="551"/>
      <c r="F102" s="551"/>
      <c r="G102" s="551"/>
      <c r="H102" s="552"/>
      <c r="I102" s="552"/>
      <c r="J102" s="37">
        <v>150</v>
      </c>
    </row>
    <row r="103" spans="1:10" ht="15.75" thickBot="1" x14ac:dyDescent="0.3">
      <c r="A103" s="40" t="s">
        <v>142</v>
      </c>
      <c r="B103" s="92" t="s">
        <v>141</v>
      </c>
      <c r="C103" s="550" t="s">
        <v>287</v>
      </c>
      <c r="D103" s="551"/>
      <c r="E103" s="551"/>
      <c r="F103" s="551"/>
      <c r="G103" s="551"/>
      <c r="H103" s="552"/>
      <c r="I103" s="552"/>
      <c r="J103" s="37">
        <v>450</v>
      </c>
    </row>
    <row r="104" spans="1:10" ht="15.75" thickBot="1" x14ac:dyDescent="0.3">
      <c r="A104" s="40"/>
      <c r="B104" s="92"/>
      <c r="C104" s="550"/>
      <c r="D104" s="551"/>
      <c r="E104" s="551"/>
      <c r="F104" s="551"/>
      <c r="G104" s="551"/>
      <c r="H104" s="552"/>
      <c r="I104" s="552"/>
      <c r="J104" s="37"/>
    </row>
    <row r="105" spans="1:10" ht="15.75" thickBot="1" x14ac:dyDescent="0.3">
      <c r="A105" s="40"/>
      <c r="B105" s="92"/>
      <c r="C105" s="550"/>
      <c r="D105" s="551"/>
      <c r="E105" s="551"/>
      <c r="F105" s="551"/>
      <c r="G105" s="551"/>
      <c r="H105" s="552"/>
      <c r="I105" s="552"/>
      <c r="J105" s="37"/>
    </row>
    <row r="106" spans="1:10" ht="19.5" thickBot="1" x14ac:dyDescent="0.35">
      <c r="A106" s="94" t="s">
        <v>34</v>
      </c>
      <c r="B106" s="554"/>
      <c r="C106" s="563"/>
      <c r="D106" s="563"/>
      <c r="E106" s="563"/>
      <c r="F106" s="563"/>
      <c r="G106" s="563"/>
      <c r="H106" s="563"/>
      <c r="I106" s="563"/>
      <c r="J106" s="95">
        <f>SUM(J85:J105)</f>
        <v>13074.900000000001</v>
      </c>
    </row>
    <row r="107" spans="1:10" ht="18.75" x14ac:dyDescent="0.3">
      <c r="A107" s="27"/>
      <c r="B107" s="27"/>
      <c r="C107" s="96"/>
      <c r="D107" s="96"/>
      <c r="E107" s="96"/>
      <c r="F107" s="97"/>
      <c r="G107" s="96"/>
      <c r="H107" s="96"/>
      <c r="I107" s="96"/>
      <c r="J107" s="30"/>
    </row>
    <row r="108" spans="1:10" ht="18.75" x14ac:dyDescent="0.3">
      <c r="A108" s="27"/>
      <c r="B108" s="27"/>
      <c r="C108" s="96"/>
      <c r="D108" s="96"/>
      <c r="E108" s="96"/>
      <c r="F108" s="97"/>
      <c r="G108" s="96"/>
      <c r="H108" s="96"/>
      <c r="I108" s="96"/>
      <c r="J108" s="30"/>
    </row>
    <row r="109" spans="1:10" ht="19.5" thickBot="1" x14ac:dyDescent="0.35">
      <c r="A109" s="58" t="s">
        <v>35</v>
      </c>
      <c r="B109" s="27"/>
      <c r="C109" s="2"/>
      <c r="D109" s="3"/>
      <c r="F109" s="3"/>
      <c r="J109" s="3"/>
    </row>
    <row r="110" spans="1:10" x14ac:dyDescent="0.25">
      <c r="A110" s="2" t="s">
        <v>36</v>
      </c>
      <c r="B110" s="63">
        <f>+J80</f>
        <v>4626</v>
      </c>
      <c r="C110" s="98"/>
      <c r="D110" s="3"/>
      <c r="F110" s="3"/>
      <c r="J110" s="3"/>
    </row>
    <row r="111" spans="1:10" ht="15.75" thickBot="1" x14ac:dyDescent="0.3">
      <c r="A111" s="2" t="s">
        <v>34</v>
      </c>
      <c r="B111" s="99">
        <f>+J106</f>
        <v>13074.900000000001</v>
      </c>
      <c r="C111" s="100"/>
      <c r="D111" s="3"/>
      <c r="F111" s="3"/>
      <c r="G111" s="101"/>
      <c r="H111" s="101"/>
      <c r="I111" s="102"/>
      <c r="J111" s="102"/>
    </row>
    <row r="112" spans="1:10" ht="17.25" thickTop="1" thickBot="1" x14ac:dyDescent="0.3">
      <c r="A112" s="58" t="s">
        <v>37</v>
      </c>
      <c r="B112" s="103">
        <f>++B110-B111</f>
        <v>-8448.9000000000015</v>
      </c>
      <c r="C112" s="104"/>
      <c r="D112" s="105"/>
      <c r="E112" s="106"/>
      <c r="F112" s="105"/>
      <c r="G112" s="107"/>
      <c r="H112" s="107"/>
      <c r="I112" s="3"/>
    </row>
    <row r="113" ht="15.75" thickTop="1" x14ac:dyDescent="0.25"/>
  </sheetData>
  <mergeCells count="31">
    <mergeCell ref="B106:I106"/>
    <mergeCell ref="C86:I86"/>
    <mergeCell ref="C87:I87"/>
    <mergeCell ref="C88:I88"/>
    <mergeCell ref="B49:B50"/>
    <mergeCell ref="B51:B52"/>
    <mergeCell ref="C92:I92"/>
    <mergeCell ref="C91:I91"/>
    <mergeCell ref="C102:I102"/>
    <mergeCell ref="C97:I97"/>
    <mergeCell ref="C98:I98"/>
    <mergeCell ref="C99:I99"/>
    <mergeCell ref="C100:I100"/>
    <mergeCell ref="C101:I101"/>
    <mergeCell ref="C105:I105"/>
    <mergeCell ref="C103:I103"/>
    <mergeCell ref="C104:I104"/>
    <mergeCell ref="C89:I89"/>
    <mergeCell ref="C90:I90"/>
    <mergeCell ref="C93:I93"/>
    <mergeCell ref="C94:I94"/>
    <mergeCell ref="C95:I95"/>
    <mergeCell ref="C96:I96"/>
    <mergeCell ref="C85:I85"/>
    <mergeCell ref="A49:A50"/>
    <mergeCell ref="A51:A52"/>
    <mergeCell ref="A1:J1"/>
    <mergeCell ref="A66:B66"/>
    <mergeCell ref="A80:B80"/>
    <mergeCell ref="A82:J82"/>
    <mergeCell ref="C84:I84"/>
  </mergeCells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D4DE-BEEB-4E3B-9AC4-E456A88F57E5}">
  <sheetPr codeName="Hoja3">
    <pageSetUpPr fitToPage="1"/>
  </sheetPr>
  <dimension ref="A1:M100"/>
  <sheetViews>
    <sheetView topLeftCell="A70" workbookViewId="0">
      <selection activeCell="C81" sqref="C81:I81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0" max="10" width="14" bestFit="1" customWidth="1"/>
  </cols>
  <sheetData>
    <row r="1" spans="1:13" ht="21" x14ac:dyDescent="0.35">
      <c r="A1" s="568" t="s">
        <v>69</v>
      </c>
      <c r="B1" s="568"/>
      <c r="C1" s="568"/>
      <c r="D1" s="568"/>
      <c r="E1" s="568"/>
      <c r="F1" s="568"/>
      <c r="G1" s="568"/>
      <c r="H1" s="568"/>
      <c r="I1" s="568"/>
      <c r="J1" s="568"/>
      <c r="K1" s="194"/>
      <c r="L1" s="194"/>
      <c r="M1" s="194"/>
    </row>
    <row r="2" spans="1:13" ht="15.75" thickBot="1" x14ac:dyDescent="0.3">
      <c r="A2" s="195"/>
      <c r="B2" s="196"/>
      <c r="C2" s="196"/>
      <c r="D2" s="194"/>
      <c r="E2" s="194"/>
      <c r="F2" s="194"/>
      <c r="G2" s="194"/>
      <c r="H2" s="194"/>
      <c r="I2" s="194"/>
      <c r="J2" s="197"/>
      <c r="K2" s="194"/>
      <c r="L2" s="194"/>
      <c r="M2" s="194"/>
    </row>
    <row r="3" spans="1:13" ht="15.75" thickBot="1" x14ac:dyDescent="0.3">
      <c r="A3" s="198" t="s">
        <v>0</v>
      </c>
      <c r="B3" s="198" t="s">
        <v>1</v>
      </c>
      <c r="C3" s="198" t="s">
        <v>2</v>
      </c>
      <c r="D3" s="198" t="s">
        <v>3</v>
      </c>
      <c r="E3" s="198" t="s">
        <v>4</v>
      </c>
      <c r="F3" s="198" t="s">
        <v>5</v>
      </c>
      <c r="G3" s="198" t="s">
        <v>6</v>
      </c>
      <c r="H3" s="198" t="s">
        <v>7</v>
      </c>
      <c r="I3" s="198" t="s">
        <v>8</v>
      </c>
      <c r="J3" s="199" t="s">
        <v>9</v>
      </c>
      <c r="K3" s="194"/>
      <c r="L3" s="194"/>
      <c r="M3" s="194"/>
    </row>
    <row r="4" spans="1:13" ht="15.75" thickBot="1" x14ac:dyDescent="0.3">
      <c r="A4" s="200" t="s">
        <v>10</v>
      </c>
      <c r="B4" s="200" t="s">
        <v>147</v>
      </c>
      <c r="C4" s="201">
        <v>46054</v>
      </c>
      <c r="D4" s="202"/>
      <c r="E4" s="202"/>
      <c r="F4" s="202"/>
      <c r="G4" s="202"/>
      <c r="H4" s="202"/>
      <c r="I4" s="202">
        <v>10</v>
      </c>
      <c r="J4" s="199">
        <f>SUM(D4:I4)</f>
        <v>10</v>
      </c>
      <c r="K4" s="194"/>
      <c r="L4" s="194"/>
      <c r="M4" s="194"/>
    </row>
    <row r="5" spans="1:13" ht="15.75" thickBot="1" x14ac:dyDescent="0.3">
      <c r="A5" s="200" t="s">
        <v>148</v>
      </c>
      <c r="B5" s="200" t="s">
        <v>149</v>
      </c>
      <c r="C5" s="201">
        <v>46054</v>
      </c>
      <c r="D5" s="202"/>
      <c r="E5" s="202"/>
      <c r="F5" s="202"/>
      <c r="G5" s="202">
        <v>200</v>
      </c>
      <c r="H5" s="202"/>
      <c r="I5" s="202"/>
      <c r="J5" s="199">
        <f t="shared" ref="J5:J21" si="0">SUM(D5:I5)</f>
        <v>200</v>
      </c>
      <c r="K5" s="194"/>
      <c r="L5" s="194"/>
      <c r="M5" s="194"/>
    </row>
    <row r="6" spans="1:13" ht="15.75" thickBot="1" x14ac:dyDescent="0.3">
      <c r="A6" s="200" t="s">
        <v>158</v>
      </c>
      <c r="B6" s="203" t="s">
        <v>159</v>
      </c>
      <c r="C6" s="203">
        <v>46023</v>
      </c>
      <c r="D6" s="202"/>
      <c r="E6" s="202"/>
      <c r="F6" s="202">
        <v>350</v>
      </c>
      <c r="G6" s="202"/>
      <c r="H6" s="202"/>
      <c r="I6" s="202"/>
      <c r="J6" s="199">
        <f t="shared" si="0"/>
        <v>350</v>
      </c>
      <c r="K6" s="194"/>
      <c r="L6" s="194"/>
      <c r="M6" s="194"/>
    </row>
    <row r="7" spans="1:13" ht="15.75" thickBot="1" x14ac:dyDescent="0.3">
      <c r="A7" s="581" t="s">
        <v>163</v>
      </c>
      <c r="B7" s="203" t="s">
        <v>164</v>
      </c>
      <c r="C7" s="201">
        <v>45992</v>
      </c>
      <c r="D7" s="202"/>
      <c r="E7" s="202"/>
      <c r="F7" s="202">
        <v>10</v>
      </c>
      <c r="G7" s="202"/>
      <c r="H7" s="202"/>
      <c r="I7" s="202"/>
      <c r="J7" s="199">
        <f t="shared" si="0"/>
        <v>10</v>
      </c>
      <c r="K7" s="194"/>
      <c r="L7" s="194"/>
      <c r="M7" s="194"/>
    </row>
    <row r="8" spans="1:13" ht="15.75" thickBot="1" x14ac:dyDescent="0.3">
      <c r="A8" s="582"/>
      <c r="B8" s="203" t="s">
        <v>165</v>
      </c>
      <c r="C8" s="203">
        <v>46023</v>
      </c>
      <c r="D8" s="202"/>
      <c r="E8" s="202"/>
      <c r="F8" s="202">
        <v>70</v>
      </c>
      <c r="G8" s="202"/>
      <c r="H8" s="202"/>
      <c r="I8" s="202"/>
      <c r="J8" s="199">
        <f t="shared" si="0"/>
        <v>70</v>
      </c>
      <c r="K8" s="194"/>
      <c r="L8" s="194"/>
      <c r="M8" s="194"/>
    </row>
    <row r="9" spans="1:13" ht="15.75" thickBot="1" x14ac:dyDescent="0.3">
      <c r="A9" s="200" t="s">
        <v>7</v>
      </c>
      <c r="B9" s="203" t="s">
        <v>175</v>
      </c>
      <c r="C9" s="201">
        <v>46054</v>
      </c>
      <c r="D9" s="202"/>
      <c r="E9" s="202"/>
      <c r="F9" s="202"/>
      <c r="G9" s="202"/>
      <c r="H9" s="202">
        <v>61</v>
      </c>
      <c r="I9" s="202"/>
      <c r="J9" s="199">
        <f t="shared" si="0"/>
        <v>61</v>
      </c>
      <c r="K9" s="194"/>
      <c r="L9" s="194"/>
      <c r="M9" s="194"/>
    </row>
    <row r="10" spans="1:13" ht="15.75" thickBot="1" x14ac:dyDescent="0.3">
      <c r="A10" s="200"/>
      <c r="B10" s="200"/>
      <c r="C10" s="201"/>
      <c r="D10" s="202"/>
      <c r="E10" s="202"/>
      <c r="F10" s="202"/>
      <c r="G10" s="202"/>
      <c r="H10" s="202"/>
      <c r="I10" s="202"/>
      <c r="J10" s="199">
        <f t="shared" si="0"/>
        <v>0</v>
      </c>
      <c r="K10" s="194"/>
      <c r="L10" s="194"/>
      <c r="M10" s="194"/>
    </row>
    <row r="11" spans="1:13" ht="15.75" thickBot="1" x14ac:dyDescent="0.3">
      <c r="A11" s="204"/>
      <c r="B11" s="200"/>
      <c r="C11" s="201"/>
      <c r="D11" s="202"/>
      <c r="E11" s="202"/>
      <c r="F11" s="202"/>
      <c r="G11" s="202"/>
      <c r="H11" s="202"/>
      <c r="I11" s="202"/>
      <c r="J11" s="199">
        <f t="shared" si="0"/>
        <v>0</v>
      </c>
      <c r="K11" s="194"/>
      <c r="L11" s="194"/>
      <c r="M11" s="194"/>
    </row>
    <row r="12" spans="1:13" ht="15.75" thickBot="1" x14ac:dyDescent="0.3">
      <c r="A12" s="204" t="s">
        <v>158</v>
      </c>
      <c r="B12" s="205" t="s">
        <v>160</v>
      </c>
      <c r="C12" s="203">
        <v>45992</v>
      </c>
      <c r="D12" s="202">
        <v>44</v>
      </c>
      <c r="E12" s="202">
        <v>5</v>
      </c>
      <c r="F12" s="202"/>
      <c r="G12" s="202"/>
      <c r="H12" s="202"/>
      <c r="I12" s="196"/>
      <c r="J12" s="206">
        <f t="shared" si="0"/>
        <v>49</v>
      </c>
      <c r="K12" s="194"/>
      <c r="L12" s="194"/>
      <c r="M12" s="194"/>
    </row>
    <row r="13" spans="1:13" ht="15.75" thickBot="1" x14ac:dyDescent="0.3">
      <c r="A13" s="200" t="s">
        <v>163</v>
      </c>
      <c r="B13" s="205" t="s">
        <v>169</v>
      </c>
      <c r="C13" s="203">
        <v>45992</v>
      </c>
      <c r="D13" s="202">
        <v>10</v>
      </c>
      <c r="E13" s="202">
        <v>5</v>
      </c>
      <c r="F13" s="202"/>
      <c r="G13" s="202"/>
      <c r="H13" s="202"/>
      <c r="I13" s="202"/>
      <c r="J13" s="199">
        <f t="shared" si="0"/>
        <v>15</v>
      </c>
      <c r="K13" s="194"/>
      <c r="L13" s="194"/>
      <c r="M13" s="194"/>
    </row>
    <row r="14" spans="1:13" ht="15.75" thickBot="1" x14ac:dyDescent="0.3">
      <c r="A14" s="207"/>
      <c r="B14" s="200"/>
      <c r="C14" s="201"/>
      <c r="D14" s="202"/>
      <c r="E14" s="202"/>
      <c r="F14" s="202"/>
      <c r="G14" s="202"/>
      <c r="H14" s="202"/>
      <c r="I14" s="202"/>
      <c r="J14" s="199">
        <f t="shared" si="0"/>
        <v>0</v>
      </c>
      <c r="K14" s="194"/>
      <c r="L14" s="194"/>
      <c r="M14" s="194"/>
    </row>
    <row r="15" spans="1:13" ht="15.75" thickBot="1" x14ac:dyDescent="0.3">
      <c r="A15" s="208"/>
      <c r="B15" s="207"/>
      <c r="C15" s="201"/>
      <c r="D15" s="202"/>
      <c r="E15" s="202"/>
      <c r="F15" s="202"/>
      <c r="G15" s="202"/>
      <c r="H15" s="202"/>
      <c r="I15" s="202"/>
      <c r="J15" s="199">
        <f t="shared" si="0"/>
        <v>0</v>
      </c>
      <c r="K15" s="194"/>
      <c r="L15" s="194"/>
      <c r="M15" s="194"/>
    </row>
    <row r="16" spans="1:13" ht="15.75" thickBot="1" x14ac:dyDescent="0.3">
      <c r="A16" s="209"/>
      <c r="B16" s="209"/>
      <c r="C16" s="201"/>
      <c r="D16" s="202"/>
      <c r="E16" s="202"/>
      <c r="F16" s="202"/>
      <c r="G16" s="202"/>
      <c r="H16" s="202"/>
      <c r="I16" s="202"/>
      <c r="J16" s="199">
        <f t="shared" si="0"/>
        <v>0</v>
      </c>
      <c r="K16" s="194"/>
      <c r="L16" s="194"/>
      <c r="M16" s="194"/>
    </row>
    <row r="17" spans="1:13" ht="15.75" thickBot="1" x14ac:dyDescent="0.3">
      <c r="A17" s="210"/>
      <c r="B17" s="209"/>
      <c r="C17" s="201"/>
      <c r="D17" s="202"/>
      <c r="E17" s="202"/>
      <c r="F17" s="202"/>
      <c r="G17" s="202"/>
      <c r="H17" s="202"/>
      <c r="I17" s="202"/>
      <c r="J17" s="199">
        <f t="shared" si="0"/>
        <v>0</v>
      </c>
      <c r="K17" s="194"/>
      <c r="L17" s="194"/>
      <c r="M17" s="194"/>
    </row>
    <row r="18" spans="1:13" ht="15.75" thickBot="1" x14ac:dyDescent="0.3">
      <c r="A18" s="210"/>
      <c r="B18" s="209"/>
      <c r="C18" s="201"/>
      <c r="D18" s="202"/>
      <c r="E18" s="202"/>
      <c r="F18" s="202"/>
      <c r="G18" s="202"/>
      <c r="H18" s="202"/>
      <c r="I18" s="202"/>
      <c r="J18" s="199">
        <f t="shared" si="0"/>
        <v>0</v>
      </c>
      <c r="K18" s="194"/>
      <c r="L18" s="194"/>
      <c r="M18" s="194"/>
    </row>
    <row r="19" spans="1:13" ht="15.75" thickBot="1" x14ac:dyDescent="0.3">
      <c r="A19" s="211"/>
      <c r="B19" s="209"/>
      <c r="C19" s="201"/>
      <c r="D19" s="202"/>
      <c r="E19" s="202"/>
      <c r="F19" s="202"/>
      <c r="G19" s="202"/>
      <c r="H19" s="202"/>
      <c r="I19" s="202"/>
      <c r="J19" s="199">
        <f t="shared" si="0"/>
        <v>0</v>
      </c>
      <c r="K19" s="194"/>
      <c r="L19" s="194"/>
      <c r="M19" s="194"/>
    </row>
    <row r="20" spans="1:13" ht="15.75" thickBot="1" x14ac:dyDescent="0.3">
      <c r="A20" s="212"/>
      <c r="B20" s="212"/>
      <c r="C20" s="201"/>
      <c r="D20" s="202"/>
      <c r="E20" s="202"/>
      <c r="F20" s="202"/>
      <c r="G20" s="202"/>
      <c r="H20" s="202"/>
      <c r="I20" s="202"/>
      <c r="J20" s="199">
        <f t="shared" si="0"/>
        <v>0</v>
      </c>
      <c r="K20" s="194"/>
      <c r="L20" s="194"/>
      <c r="M20" s="194"/>
    </row>
    <row r="21" spans="1:13" ht="15.75" thickBot="1" x14ac:dyDescent="0.3">
      <c r="A21" s="209"/>
      <c r="B21" s="213"/>
      <c r="C21" s="203"/>
      <c r="D21" s="214"/>
      <c r="E21" s="214"/>
      <c r="F21" s="214"/>
      <c r="G21" s="214"/>
      <c r="H21" s="214"/>
      <c r="I21" s="214"/>
      <c r="J21" s="199">
        <f t="shared" si="0"/>
        <v>0</v>
      </c>
      <c r="K21" s="194"/>
      <c r="L21" s="194"/>
      <c r="M21" s="194"/>
    </row>
    <row r="22" spans="1:13" ht="19.5" thickBot="1" x14ac:dyDescent="0.35">
      <c r="A22" s="215" t="s">
        <v>9</v>
      </c>
      <c r="B22" s="198"/>
      <c r="C22" s="216"/>
      <c r="D22" s="217">
        <f t="shared" ref="D22:J22" si="1">SUM(D4:D21)</f>
        <v>54</v>
      </c>
      <c r="E22" s="217">
        <f t="shared" si="1"/>
        <v>10</v>
      </c>
      <c r="F22" s="217">
        <f t="shared" si="1"/>
        <v>430</v>
      </c>
      <c r="G22" s="217">
        <f t="shared" si="1"/>
        <v>200</v>
      </c>
      <c r="H22" s="217">
        <f t="shared" si="1"/>
        <v>61</v>
      </c>
      <c r="I22" s="217">
        <f t="shared" si="1"/>
        <v>10</v>
      </c>
      <c r="J22" s="218">
        <f t="shared" si="1"/>
        <v>765</v>
      </c>
      <c r="K22" s="194"/>
      <c r="L22" s="194"/>
      <c r="M22" s="194"/>
    </row>
    <row r="23" spans="1:13" ht="19.5" thickBot="1" x14ac:dyDescent="0.35">
      <c r="A23" s="219"/>
      <c r="B23" s="220"/>
      <c r="C23" s="221"/>
      <c r="D23" s="222"/>
      <c r="E23" s="222"/>
      <c r="F23" s="222"/>
      <c r="G23" s="222"/>
      <c r="H23" s="222"/>
      <c r="I23" s="222"/>
      <c r="J23" s="222"/>
      <c r="K23" s="194"/>
      <c r="L23" s="194"/>
      <c r="M23" s="194"/>
    </row>
    <row r="24" spans="1:13" ht="24" thickBot="1" x14ac:dyDescent="0.4">
      <c r="A24" s="223" t="s">
        <v>12</v>
      </c>
      <c r="B24" s="220"/>
      <c r="C24" s="221"/>
      <c r="D24" s="222"/>
      <c r="E24" s="222"/>
      <c r="F24" s="222"/>
      <c r="G24" s="222"/>
      <c r="H24" s="222"/>
      <c r="I24" s="222"/>
      <c r="J24" s="222"/>
      <c r="K24" s="194"/>
      <c r="L24" s="194"/>
      <c r="M24" s="194"/>
    </row>
    <row r="25" spans="1:13" ht="15.75" thickBot="1" x14ac:dyDescent="0.3">
      <c r="A25" s="224" t="s">
        <v>13</v>
      </c>
      <c r="B25" s="198" t="s">
        <v>1</v>
      </c>
      <c r="C25" s="225" t="s">
        <v>14</v>
      </c>
      <c r="D25" s="225" t="s">
        <v>3</v>
      </c>
      <c r="E25" s="225" t="s">
        <v>4</v>
      </c>
      <c r="F25" s="198" t="s">
        <v>5</v>
      </c>
      <c r="G25" s="198" t="s">
        <v>6</v>
      </c>
      <c r="H25" s="198" t="s">
        <v>15</v>
      </c>
      <c r="I25" s="198" t="s">
        <v>8</v>
      </c>
      <c r="J25" s="226" t="s">
        <v>9</v>
      </c>
      <c r="K25" s="194"/>
      <c r="L25" s="194"/>
      <c r="M25" s="194"/>
    </row>
    <row r="26" spans="1:13" ht="15.75" thickBot="1" x14ac:dyDescent="0.3">
      <c r="A26" s="587" t="s">
        <v>155</v>
      </c>
      <c r="B26" s="203" t="s">
        <v>156</v>
      </c>
      <c r="C26" s="203">
        <v>46023</v>
      </c>
      <c r="D26" s="227"/>
      <c r="E26" s="228"/>
      <c r="F26" s="227">
        <v>600</v>
      </c>
      <c r="G26" s="227"/>
      <c r="H26" s="229"/>
      <c r="I26" s="229"/>
      <c r="J26" s="230">
        <f>SUM(D26:I26)</f>
        <v>600</v>
      </c>
      <c r="K26" s="194"/>
      <c r="L26" s="194"/>
      <c r="M26" s="194"/>
    </row>
    <row r="27" spans="1:13" ht="15.75" thickBot="1" x14ac:dyDescent="0.3">
      <c r="A27" s="588"/>
      <c r="B27" s="583" t="s">
        <v>157</v>
      </c>
      <c r="C27" s="203">
        <v>45992</v>
      </c>
      <c r="D27" s="227">
        <v>31.4</v>
      </c>
      <c r="E27" s="227">
        <v>5.3</v>
      </c>
      <c r="F27" s="227"/>
      <c r="G27" s="227"/>
      <c r="H27" s="229"/>
      <c r="I27" s="229"/>
      <c r="J27" s="230">
        <f t="shared" ref="J27:J30" si="2">SUM(D27:I27)</f>
        <v>36.699999999999996</v>
      </c>
      <c r="K27" s="194"/>
      <c r="L27" s="194"/>
      <c r="M27" s="194"/>
    </row>
    <row r="28" spans="1:13" ht="15.75" thickBot="1" x14ac:dyDescent="0.3">
      <c r="A28" s="589"/>
      <c r="B28" s="584"/>
      <c r="C28" s="203">
        <v>46023</v>
      </c>
      <c r="D28" s="231">
        <v>1.3</v>
      </c>
      <c r="E28" s="232"/>
      <c r="F28" s="232"/>
      <c r="G28" s="231"/>
      <c r="H28" s="202"/>
      <c r="I28" s="202"/>
      <c r="J28" s="230">
        <f t="shared" si="2"/>
        <v>1.3</v>
      </c>
      <c r="K28" s="194"/>
      <c r="L28" s="194"/>
      <c r="M28" s="194"/>
    </row>
    <row r="29" spans="1:13" ht="15.75" thickBot="1" x14ac:dyDescent="0.3">
      <c r="A29" s="233" t="s">
        <v>161</v>
      </c>
      <c r="B29" s="234" t="s">
        <v>162</v>
      </c>
      <c r="C29" s="203">
        <v>46054</v>
      </c>
      <c r="D29" s="231"/>
      <c r="E29" s="232"/>
      <c r="F29" s="232"/>
      <c r="G29" s="231">
        <v>30</v>
      </c>
      <c r="H29" s="202"/>
      <c r="I29" s="202"/>
      <c r="J29" s="230">
        <f t="shared" si="2"/>
        <v>30</v>
      </c>
      <c r="K29" s="194"/>
      <c r="L29" s="194"/>
      <c r="M29" s="194"/>
    </row>
    <row r="30" spans="1:13" ht="15.75" thickBot="1" x14ac:dyDescent="0.3">
      <c r="A30" s="198"/>
      <c r="B30" s="235"/>
      <c r="C30" s="201"/>
      <c r="D30" s="231"/>
      <c r="E30" s="232"/>
      <c r="F30" s="232"/>
      <c r="G30" s="232"/>
      <c r="H30" s="202"/>
      <c r="I30" s="202"/>
      <c r="J30" s="230">
        <f t="shared" si="2"/>
        <v>0</v>
      </c>
      <c r="K30" s="194"/>
      <c r="L30" s="236" t="s">
        <v>16</v>
      </c>
      <c r="M30" s="237">
        <f>J31+J39</f>
        <v>668</v>
      </c>
    </row>
    <row r="31" spans="1:13" ht="15.75" thickBot="1" x14ac:dyDescent="0.3">
      <c r="A31" s="198" t="s">
        <v>9</v>
      </c>
      <c r="B31" s="238"/>
      <c r="C31" s="239"/>
      <c r="D31" s="240"/>
      <c r="E31" s="240"/>
      <c r="F31" s="240"/>
      <c r="G31" s="240"/>
      <c r="H31" s="240"/>
      <c r="I31" s="240"/>
      <c r="J31" s="206">
        <f>SUM(J26:J30)</f>
        <v>668</v>
      </c>
      <c r="K31" s="194"/>
      <c r="L31" s="194"/>
      <c r="M31" s="194"/>
    </row>
    <row r="32" spans="1:13" ht="15.75" thickBot="1" x14ac:dyDescent="0.3">
      <c r="A32" s="220"/>
      <c r="B32" s="241"/>
      <c r="C32" s="242"/>
      <c r="D32" s="243"/>
      <c r="E32" s="243"/>
      <c r="F32" s="243"/>
      <c r="G32" s="243"/>
      <c r="H32" s="243"/>
      <c r="I32" s="243"/>
      <c r="J32" s="244"/>
      <c r="K32" s="194"/>
      <c r="L32" s="194"/>
      <c r="M32" s="194"/>
    </row>
    <row r="33" spans="1:13" ht="24" thickBot="1" x14ac:dyDescent="0.4">
      <c r="A33" s="223" t="s">
        <v>12</v>
      </c>
      <c r="B33" s="220"/>
      <c r="C33" s="221"/>
      <c r="D33" s="222"/>
      <c r="E33" s="222"/>
      <c r="F33" s="222"/>
      <c r="G33" s="222"/>
      <c r="H33" s="222"/>
      <c r="I33" s="222"/>
      <c r="J33" s="222"/>
      <c r="K33" s="194"/>
      <c r="L33" s="194"/>
      <c r="M33" s="194"/>
    </row>
    <row r="34" spans="1:13" ht="45.75" thickBot="1" x14ac:dyDescent="0.3">
      <c r="A34" s="245" t="s">
        <v>17</v>
      </c>
      <c r="B34" s="198" t="s">
        <v>18</v>
      </c>
      <c r="C34" s="225" t="s">
        <v>14</v>
      </c>
      <c r="D34" s="225" t="s">
        <v>3</v>
      </c>
      <c r="E34" s="225" t="s">
        <v>4</v>
      </c>
      <c r="F34" s="225" t="s">
        <v>19</v>
      </c>
      <c r="G34" s="225" t="s">
        <v>20</v>
      </c>
      <c r="H34" s="225" t="s">
        <v>15</v>
      </c>
      <c r="I34" s="246" t="s">
        <v>21</v>
      </c>
      <c r="J34" s="226" t="s">
        <v>9</v>
      </c>
      <c r="K34" s="194"/>
      <c r="L34" s="194"/>
      <c r="M34" s="194"/>
    </row>
    <row r="35" spans="1:13" ht="15.75" thickBot="1" x14ac:dyDescent="0.3">
      <c r="A35" s="247"/>
      <c r="B35" s="210"/>
      <c r="C35" s="201"/>
      <c r="D35" s="202"/>
      <c r="E35" s="202"/>
      <c r="F35" s="202"/>
      <c r="G35" s="202"/>
      <c r="H35" s="202"/>
      <c r="I35" s="202"/>
      <c r="J35" s="199">
        <f t="shared" ref="J35:J38" si="3">SUM(D35:I35)</f>
        <v>0</v>
      </c>
      <c r="K35" s="194"/>
      <c r="L35" s="194"/>
      <c r="M35" s="194"/>
    </row>
    <row r="36" spans="1:13" ht="15.75" thickBot="1" x14ac:dyDescent="0.3">
      <c r="A36" s="207"/>
      <c r="B36" s="203"/>
      <c r="C36" s="201"/>
      <c r="D36" s="227"/>
      <c r="E36" s="227"/>
      <c r="F36" s="227"/>
      <c r="G36" s="227"/>
      <c r="H36" s="229"/>
      <c r="I36" s="229"/>
      <c r="J36" s="230">
        <f t="shared" si="3"/>
        <v>0</v>
      </c>
      <c r="K36" s="194"/>
      <c r="L36" s="194"/>
      <c r="M36" s="194"/>
    </row>
    <row r="37" spans="1:13" ht="15.75" thickBot="1" x14ac:dyDescent="0.3">
      <c r="A37" s="212"/>
      <c r="B37" s="209"/>
      <c r="C37" s="201"/>
      <c r="D37" s="232"/>
      <c r="E37" s="232"/>
      <c r="F37" s="232"/>
      <c r="G37" s="232"/>
      <c r="H37" s="202"/>
      <c r="I37" s="202"/>
      <c r="J37" s="230">
        <f t="shared" si="3"/>
        <v>0</v>
      </c>
      <c r="K37" s="194"/>
      <c r="L37" s="194"/>
      <c r="M37" s="194"/>
    </row>
    <row r="38" spans="1:13" ht="15.75" thickBot="1" x14ac:dyDescent="0.3">
      <c r="A38" s="198"/>
      <c r="B38" s="235"/>
      <c r="C38" s="201"/>
      <c r="D38" s="232"/>
      <c r="E38" s="232"/>
      <c r="F38" s="232"/>
      <c r="G38" s="232"/>
      <c r="H38" s="202"/>
      <c r="I38" s="202"/>
      <c r="J38" s="230">
        <f t="shared" si="3"/>
        <v>0</v>
      </c>
      <c r="K38" s="194"/>
      <c r="L38" s="248"/>
      <c r="M38" s="249"/>
    </row>
    <row r="39" spans="1:13" ht="15.75" thickBot="1" x14ac:dyDescent="0.3">
      <c r="A39" s="198" t="s">
        <v>9</v>
      </c>
      <c r="B39" s="238"/>
      <c r="C39" s="239"/>
      <c r="D39" s="240"/>
      <c r="E39" s="240"/>
      <c r="F39" s="240"/>
      <c r="G39" s="240"/>
      <c r="H39" s="240"/>
      <c r="I39" s="240"/>
      <c r="J39" s="206">
        <f>SUM(J35:J38)</f>
        <v>0</v>
      </c>
      <c r="K39" s="194"/>
      <c r="L39" s="194"/>
      <c r="M39" s="194"/>
    </row>
    <row r="40" spans="1:13" x14ac:dyDescent="0.25">
      <c r="A40" s="220"/>
      <c r="B40" s="241"/>
      <c r="C40" s="242"/>
      <c r="D40" s="243"/>
      <c r="E40" s="243"/>
      <c r="F40" s="243"/>
      <c r="G40" s="243"/>
      <c r="H40" s="243"/>
      <c r="I40" s="243"/>
      <c r="J40" s="244"/>
      <c r="K40" s="194"/>
      <c r="L40" s="194"/>
      <c r="M40" s="194"/>
    </row>
    <row r="41" spans="1:13" x14ac:dyDescent="0.25">
      <c r="A41" s="220"/>
      <c r="B41" s="241"/>
      <c r="C41" s="242"/>
      <c r="D41" s="243"/>
      <c r="E41" s="243"/>
      <c r="F41" s="243"/>
      <c r="G41" s="243"/>
      <c r="H41" s="243"/>
      <c r="I41" s="243"/>
      <c r="J41" s="244"/>
      <c r="K41" s="194"/>
      <c r="L41" s="194"/>
      <c r="M41" s="194"/>
    </row>
    <row r="42" spans="1:13" ht="15.75" thickBot="1" x14ac:dyDescent="0.3">
      <c r="A42" s="196"/>
      <c r="B42" s="196"/>
      <c r="C42" s="196"/>
      <c r="D42" s="194"/>
      <c r="E42" s="194"/>
      <c r="F42" s="194"/>
      <c r="G42" s="194"/>
      <c r="H42" s="194"/>
      <c r="I42" s="194"/>
      <c r="J42" s="197"/>
      <c r="K42" s="194"/>
      <c r="L42" s="194"/>
      <c r="M42" s="194"/>
    </row>
    <row r="43" spans="1:13" ht="45.75" thickBot="1" x14ac:dyDescent="0.3">
      <c r="A43" s="225" t="s">
        <v>22</v>
      </c>
      <c r="B43" s="198" t="s">
        <v>18</v>
      </c>
      <c r="C43" s="225" t="s">
        <v>14</v>
      </c>
      <c r="D43" s="225" t="s">
        <v>3</v>
      </c>
      <c r="E43" s="225" t="s">
        <v>4</v>
      </c>
      <c r="F43" s="225" t="s">
        <v>19</v>
      </c>
      <c r="G43" s="225" t="s">
        <v>20</v>
      </c>
      <c r="H43" s="198" t="s">
        <v>21</v>
      </c>
      <c r="I43" s="246" t="s">
        <v>15</v>
      </c>
      <c r="J43" s="226" t="s">
        <v>9</v>
      </c>
      <c r="K43" s="194"/>
      <c r="L43" s="194"/>
      <c r="M43" s="194"/>
    </row>
    <row r="44" spans="1:13" ht="15.75" thickBot="1" x14ac:dyDescent="0.3">
      <c r="A44" s="585" t="s">
        <v>153</v>
      </c>
      <c r="B44" s="583" t="s">
        <v>154</v>
      </c>
      <c r="C44" s="203">
        <v>45992</v>
      </c>
      <c r="D44" s="229"/>
      <c r="E44" s="250"/>
      <c r="F44" s="229">
        <v>60</v>
      </c>
      <c r="G44" s="229">
        <v>5</v>
      </c>
      <c r="H44" s="229"/>
      <c r="I44" s="229"/>
      <c r="J44" s="230">
        <f>SUM(D44:I44)</f>
        <v>65</v>
      </c>
      <c r="K44" s="194"/>
      <c r="L44" s="194"/>
      <c r="M44" s="194"/>
    </row>
    <row r="45" spans="1:13" ht="15.75" thickBot="1" x14ac:dyDescent="0.3">
      <c r="A45" s="586"/>
      <c r="B45" s="584"/>
      <c r="C45" s="203">
        <v>46023</v>
      </c>
      <c r="D45" s="229"/>
      <c r="E45" s="229"/>
      <c r="F45" s="229">
        <v>60</v>
      </c>
      <c r="G45" s="229">
        <v>5</v>
      </c>
      <c r="H45" s="229">
        <v>10</v>
      </c>
      <c r="I45" s="229"/>
      <c r="J45" s="230">
        <f t="shared" ref="J45:J57" si="4">SUM(D45:I45)</f>
        <v>75</v>
      </c>
      <c r="K45" s="194"/>
      <c r="L45" s="194"/>
      <c r="M45" s="194"/>
    </row>
    <row r="46" spans="1:13" ht="15.75" thickBot="1" x14ac:dyDescent="0.3">
      <c r="A46" s="209" t="s">
        <v>170</v>
      </c>
      <c r="B46" s="203" t="s">
        <v>171</v>
      </c>
      <c r="C46" s="203">
        <v>45992</v>
      </c>
      <c r="D46" s="229">
        <v>621.9</v>
      </c>
      <c r="E46" s="229">
        <v>24.6</v>
      </c>
      <c r="F46" s="229"/>
      <c r="G46" s="229"/>
      <c r="H46" s="229"/>
      <c r="I46" s="229"/>
      <c r="J46" s="230">
        <f t="shared" si="4"/>
        <v>646.5</v>
      </c>
      <c r="K46" s="194"/>
      <c r="L46" s="194"/>
      <c r="M46" s="194"/>
    </row>
    <row r="47" spans="1:13" ht="15.75" thickBot="1" x14ac:dyDescent="0.3">
      <c r="A47" s="235"/>
      <c r="B47" s="203"/>
      <c r="C47" s="203"/>
      <c r="D47" s="229"/>
      <c r="E47" s="229"/>
      <c r="F47" s="229"/>
      <c r="G47" s="229"/>
      <c r="H47" s="229"/>
      <c r="I47" s="229"/>
      <c r="J47" s="230">
        <f t="shared" si="4"/>
        <v>0</v>
      </c>
      <c r="K47" s="194"/>
      <c r="L47" s="194"/>
      <c r="M47" s="194"/>
    </row>
    <row r="48" spans="1:13" ht="15.75" thickBot="1" x14ac:dyDescent="0.3">
      <c r="A48" s="235"/>
      <c r="B48" s="203"/>
      <c r="C48" s="203"/>
      <c r="D48" s="229"/>
      <c r="E48" s="229"/>
      <c r="F48" s="229"/>
      <c r="G48" s="229"/>
      <c r="H48" s="229"/>
      <c r="I48" s="229"/>
      <c r="J48" s="230">
        <f t="shared" si="4"/>
        <v>0</v>
      </c>
      <c r="K48" s="194"/>
      <c r="L48" s="194"/>
      <c r="M48" s="194"/>
    </row>
    <row r="49" spans="1:13" ht="15.75" thickBot="1" x14ac:dyDescent="0.3">
      <c r="A49" s="209"/>
      <c r="B49" s="203"/>
      <c r="C49" s="203"/>
      <c r="D49" s="229"/>
      <c r="E49" s="229"/>
      <c r="F49" s="229"/>
      <c r="G49" s="229"/>
      <c r="H49" s="229"/>
      <c r="I49" s="229"/>
      <c r="J49" s="230">
        <f t="shared" si="4"/>
        <v>0</v>
      </c>
      <c r="K49" s="194"/>
      <c r="L49" s="194"/>
      <c r="M49" s="194"/>
    </row>
    <row r="50" spans="1:13" ht="15.75" thickBot="1" x14ac:dyDescent="0.3">
      <c r="A50" s="209"/>
      <c r="B50" s="203"/>
      <c r="C50" s="203"/>
      <c r="D50" s="229"/>
      <c r="E50" s="229"/>
      <c r="F50" s="229"/>
      <c r="G50" s="229"/>
      <c r="H50" s="229"/>
      <c r="I50" s="229"/>
      <c r="J50" s="230">
        <f t="shared" si="4"/>
        <v>0</v>
      </c>
      <c r="K50" s="194"/>
      <c r="L50" s="194"/>
      <c r="M50" s="194"/>
    </row>
    <row r="51" spans="1:13" ht="15.75" thickBot="1" x14ac:dyDescent="0.3">
      <c r="A51" s="209"/>
      <c r="B51" s="203"/>
      <c r="C51" s="203"/>
      <c r="D51" s="229"/>
      <c r="E51" s="229"/>
      <c r="F51" s="229"/>
      <c r="G51" s="229"/>
      <c r="H51" s="229"/>
      <c r="I51" s="229"/>
      <c r="J51" s="230">
        <f t="shared" si="4"/>
        <v>0</v>
      </c>
      <c r="K51" s="194"/>
      <c r="L51" s="194"/>
      <c r="M51" s="194"/>
    </row>
    <row r="52" spans="1:13" ht="15.75" thickBot="1" x14ac:dyDescent="0.3">
      <c r="A52" s="209"/>
      <c r="B52" s="203"/>
      <c r="C52" s="203"/>
      <c r="D52" s="229"/>
      <c r="E52" s="229"/>
      <c r="F52" s="229"/>
      <c r="G52" s="229"/>
      <c r="H52" s="229"/>
      <c r="I52" s="229"/>
      <c r="J52" s="230">
        <f t="shared" si="4"/>
        <v>0</v>
      </c>
      <c r="K52" s="194"/>
      <c r="L52" s="194"/>
      <c r="M52" s="194"/>
    </row>
    <row r="53" spans="1:13" ht="15.75" thickBot="1" x14ac:dyDescent="0.3">
      <c r="A53" s="209"/>
      <c r="B53" s="203"/>
      <c r="C53" s="203"/>
      <c r="D53" s="229"/>
      <c r="E53" s="229"/>
      <c r="F53" s="229"/>
      <c r="G53" s="229"/>
      <c r="H53" s="229"/>
      <c r="I53" s="229"/>
      <c r="J53" s="230">
        <f t="shared" si="4"/>
        <v>0</v>
      </c>
      <c r="K53" s="194"/>
      <c r="L53" s="194"/>
      <c r="M53" s="194"/>
    </row>
    <row r="54" spans="1:13" ht="15.75" thickBot="1" x14ac:dyDescent="0.3">
      <c r="A54" s="251"/>
      <c r="B54" s="203"/>
      <c r="C54" s="203"/>
      <c r="D54" s="229"/>
      <c r="E54" s="229"/>
      <c r="F54" s="229"/>
      <c r="G54" s="229"/>
      <c r="H54" s="229"/>
      <c r="I54" s="229"/>
      <c r="J54" s="230">
        <f t="shared" si="4"/>
        <v>0</v>
      </c>
      <c r="K54" s="194"/>
      <c r="L54" s="194"/>
      <c r="M54" s="194"/>
    </row>
    <row r="55" spans="1:13" ht="15.75" thickBot="1" x14ac:dyDescent="0.3">
      <c r="A55" s="235"/>
      <c r="B55" s="203"/>
      <c r="C55" s="203"/>
      <c r="D55" s="229"/>
      <c r="E55" s="194"/>
      <c r="F55" s="229"/>
      <c r="G55" s="229"/>
      <c r="H55" s="229"/>
      <c r="I55" s="229"/>
      <c r="J55" s="230">
        <f t="shared" si="4"/>
        <v>0</v>
      </c>
      <c r="K55" s="194"/>
      <c r="L55" s="194"/>
      <c r="M55" s="194"/>
    </row>
    <row r="56" spans="1:13" ht="15.75" thickBot="1" x14ac:dyDescent="0.3">
      <c r="A56" s="235"/>
      <c r="B56" s="203"/>
      <c r="C56" s="203"/>
      <c r="D56" s="229"/>
      <c r="E56" s="229"/>
      <c r="F56" s="229"/>
      <c r="G56" s="229"/>
      <c r="H56" s="229"/>
      <c r="I56" s="229"/>
      <c r="J56" s="230">
        <f t="shared" si="4"/>
        <v>0</v>
      </c>
      <c r="K56" s="194"/>
      <c r="L56" s="194"/>
      <c r="M56" s="194"/>
    </row>
    <row r="57" spans="1:13" ht="15.75" thickBot="1" x14ac:dyDescent="0.3">
      <c r="A57" s="235"/>
      <c r="B57" s="203"/>
      <c r="C57" s="203"/>
      <c r="D57" s="252"/>
      <c r="E57" s="252"/>
      <c r="F57" s="252"/>
      <c r="G57" s="252"/>
      <c r="H57" s="252"/>
      <c r="I57" s="252"/>
      <c r="J57" s="230">
        <f t="shared" si="4"/>
        <v>0</v>
      </c>
      <c r="K57" s="194"/>
      <c r="L57" s="194"/>
      <c r="M57" s="194"/>
    </row>
    <row r="58" spans="1:13" ht="19.5" thickBot="1" x14ac:dyDescent="0.35">
      <c r="A58" s="215" t="s">
        <v>9</v>
      </c>
      <c r="B58" s="198"/>
      <c r="C58" s="216"/>
      <c r="D58" s="217">
        <f t="shared" ref="D58:J58" si="5">SUM(D44:D57)</f>
        <v>621.9</v>
      </c>
      <c r="E58" s="217">
        <f t="shared" si="5"/>
        <v>24.6</v>
      </c>
      <c r="F58" s="217">
        <f t="shared" si="5"/>
        <v>120</v>
      </c>
      <c r="G58" s="217">
        <f t="shared" si="5"/>
        <v>10</v>
      </c>
      <c r="H58" s="217">
        <f t="shared" si="5"/>
        <v>10</v>
      </c>
      <c r="I58" s="217">
        <f t="shared" si="5"/>
        <v>0</v>
      </c>
      <c r="J58" s="217">
        <f t="shared" si="5"/>
        <v>786.5</v>
      </c>
      <c r="K58" s="194"/>
      <c r="L58" s="194"/>
      <c r="M58" s="194"/>
    </row>
    <row r="59" spans="1:13" ht="15.75" x14ac:dyDescent="0.25">
      <c r="A59" s="253"/>
      <c r="B59" s="253"/>
      <c r="C59" s="254"/>
      <c r="D59" s="255"/>
      <c r="E59" s="255"/>
      <c r="F59" s="255"/>
      <c r="G59" s="255"/>
      <c r="H59" s="255"/>
      <c r="I59" s="255"/>
      <c r="J59" s="255"/>
      <c r="K59" s="194"/>
      <c r="L59" s="194"/>
      <c r="M59" s="194"/>
    </row>
    <row r="60" spans="1:13" ht="16.5" thickBot="1" x14ac:dyDescent="0.3">
      <c r="A60" s="253"/>
      <c r="B60" s="253"/>
      <c r="C60" s="254"/>
      <c r="D60" s="255"/>
      <c r="E60" s="255"/>
      <c r="F60" s="255"/>
      <c r="G60" s="255"/>
      <c r="H60" s="255"/>
      <c r="I60" s="255"/>
      <c r="J60" s="255"/>
      <c r="K60" s="194"/>
      <c r="L60" s="194"/>
      <c r="M60" s="194"/>
    </row>
    <row r="61" spans="1:13" ht="19.5" thickBot="1" x14ac:dyDescent="0.35">
      <c r="A61" s="574" t="s">
        <v>23</v>
      </c>
      <c r="B61" s="575"/>
      <c r="C61" s="256"/>
      <c r="D61" s="257"/>
      <c r="E61" s="257"/>
      <c r="F61" s="257"/>
      <c r="G61" s="257"/>
      <c r="H61" s="257"/>
      <c r="I61" s="257"/>
      <c r="J61" s="218">
        <f>+J22+J58</f>
        <v>1551.5</v>
      </c>
      <c r="K61" s="194"/>
      <c r="L61" s="194"/>
      <c r="M61" s="194"/>
    </row>
    <row r="62" spans="1:13" x14ac:dyDescent="0.25">
      <c r="A62" s="196"/>
      <c r="B62" s="196"/>
      <c r="C62" s="258"/>
      <c r="D62" s="197"/>
      <c r="E62" s="197"/>
      <c r="F62" s="197"/>
      <c r="G62" s="197"/>
      <c r="H62" s="197"/>
      <c r="I62" s="197"/>
      <c r="J62" s="197"/>
      <c r="K62" s="194"/>
      <c r="L62" s="194"/>
      <c r="M62" s="194"/>
    </row>
    <row r="63" spans="1:13" x14ac:dyDescent="0.25">
      <c r="A63" s="196"/>
      <c r="B63" s="196"/>
      <c r="C63" s="258"/>
      <c r="D63" s="197"/>
      <c r="E63" s="197"/>
      <c r="F63" s="197"/>
      <c r="G63" s="197"/>
      <c r="H63" s="197"/>
      <c r="I63" s="197"/>
      <c r="J63" s="197"/>
      <c r="K63" s="194"/>
      <c r="L63" s="194"/>
      <c r="M63" s="194"/>
    </row>
    <row r="64" spans="1:13" ht="16.5" thickBot="1" x14ac:dyDescent="0.3">
      <c r="A64" s="259" t="s">
        <v>24</v>
      </c>
      <c r="B64" s="196"/>
      <c r="C64" s="258"/>
      <c r="D64" s="197"/>
      <c r="E64" s="197"/>
      <c r="F64" s="197"/>
      <c r="G64" s="197"/>
      <c r="H64" s="197"/>
      <c r="I64" s="197"/>
      <c r="J64" s="197"/>
      <c r="K64" s="194"/>
      <c r="L64" s="194"/>
      <c r="M64" s="194"/>
    </row>
    <row r="65" spans="1:13" ht="19.5" thickBot="1" x14ac:dyDescent="0.35">
      <c r="A65" s="260" t="s">
        <v>25</v>
      </c>
      <c r="B65" s="261"/>
      <c r="C65" s="262"/>
      <c r="D65" s="263"/>
      <c r="E65" s="263"/>
      <c r="F65" s="263"/>
      <c r="G65" s="263"/>
      <c r="H65" s="263"/>
      <c r="I65" s="263"/>
      <c r="J65" s="218"/>
      <c r="K65" s="194"/>
      <c r="L65" s="194"/>
      <c r="M65" s="194"/>
    </row>
    <row r="66" spans="1:13" ht="19.5" thickBot="1" x14ac:dyDescent="0.35">
      <c r="A66" s="260" t="s">
        <v>26</v>
      </c>
      <c r="B66" s="261"/>
      <c r="C66" s="264"/>
      <c r="D66" s="263"/>
      <c r="E66" s="263"/>
      <c r="F66" s="263"/>
      <c r="G66" s="263"/>
      <c r="H66" s="263"/>
      <c r="I66" s="263"/>
      <c r="J66" s="218"/>
      <c r="K66" s="194"/>
      <c r="L66" s="194"/>
      <c r="M66" s="194"/>
    </row>
    <row r="67" spans="1:13" ht="18.75" x14ac:dyDescent="0.3">
      <c r="A67" s="265"/>
      <c r="B67" s="265"/>
      <c r="C67" s="266"/>
      <c r="D67" s="267"/>
      <c r="E67" s="267"/>
      <c r="F67" s="267"/>
      <c r="G67" s="267"/>
      <c r="H67" s="267"/>
      <c r="I67" s="267"/>
      <c r="J67" s="222"/>
      <c r="K67" s="194"/>
      <c r="L67" s="194"/>
      <c r="M67" s="194"/>
    </row>
    <row r="68" spans="1:13" ht="18.75" x14ac:dyDescent="0.3">
      <c r="A68" s="265"/>
      <c r="B68" s="265"/>
      <c r="C68" s="266"/>
      <c r="D68" s="267"/>
      <c r="E68" s="267"/>
      <c r="F68" s="267"/>
      <c r="G68" s="267"/>
      <c r="H68" s="267"/>
      <c r="I68" s="267"/>
      <c r="J68" s="222"/>
      <c r="K68" s="194"/>
      <c r="L68" s="194"/>
      <c r="M68" s="194"/>
    </row>
    <row r="69" spans="1:13" ht="16.5" thickBot="1" x14ac:dyDescent="0.3">
      <c r="A69" s="268" t="s">
        <v>27</v>
      </c>
      <c r="B69" s="269"/>
      <c r="C69" s="258"/>
      <c r="D69" s="197"/>
      <c r="E69" s="197"/>
      <c r="F69" s="197"/>
      <c r="G69" s="197"/>
      <c r="H69" s="197"/>
      <c r="I69" s="197"/>
      <c r="J69" s="197"/>
      <c r="K69" s="194"/>
      <c r="L69" s="194"/>
      <c r="M69" s="194"/>
    </row>
    <row r="70" spans="1:13" ht="19.5" thickBot="1" x14ac:dyDescent="0.35">
      <c r="A70" s="270" t="s">
        <v>28</v>
      </c>
      <c r="B70" s="271"/>
      <c r="C70" s="272"/>
      <c r="D70" s="273"/>
      <c r="E70" s="273"/>
      <c r="F70" s="273"/>
      <c r="G70" s="273"/>
      <c r="H70" s="273"/>
      <c r="I70" s="273"/>
      <c r="J70" s="274">
        <v>465.5</v>
      </c>
      <c r="K70" s="194"/>
      <c r="L70" s="194"/>
      <c r="M70" s="194"/>
    </row>
    <row r="71" spans="1:13" x14ac:dyDescent="0.25">
      <c r="A71" s="275"/>
      <c r="B71" s="196"/>
      <c r="C71" s="258"/>
      <c r="D71" s="197"/>
      <c r="E71" s="197"/>
      <c r="F71" s="197"/>
      <c r="G71" s="197"/>
      <c r="H71" s="197"/>
      <c r="I71" s="197"/>
      <c r="J71" s="197"/>
      <c r="K71" s="194"/>
      <c r="L71" s="194"/>
      <c r="M71" s="194"/>
    </row>
    <row r="72" spans="1:13" ht="16.5" thickBot="1" x14ac:dyDescent="0.3">
      <c r="A72" s="268"/>
      <c r="B72" s="269"/>
      <c r="C72" s="258"/>
      <c r="D72" s="197"/>
      <c r="E72" s="197"/>
      <c r="F72" s="197"/>
      <c r="G72" s="197"/>
      <c r="H72" s="197"/>
      <c r="I72" s="197"/>
      <c r="J72" s="197"/>
      <c r="K72" s="194"/>
      <c r="L72" s="194"/>
      <c r="M72" s="194"/>
    </row>
    <row r="73" spans="1:13" ht="19.5" thickBot="1" x14ac:dyDescent="0.35">
      <c r="A73" s="270" t="s">
        <v>29</v>
      </c>
      <c r="B73" s="271"/>
      <c r="C73" s="276"/>
      <c r="D73" s="273"/>
      <c r="E73" s="273"/>
      <c r="F73" s="273"/>
      <c r="G73" s="273"/>
      <c r="H73" s="273"/>
      <c r="I73" s="273"/>
      <c r="J73" s="277"/>
      <c r="K73" s="194"/>
      <c r="L73" s="194"/>
      <c r="M73" s="194"/>
    </row>
    <row r="74" spans="1:13" ht="15.75" thickBot="1" x14ac:dyDescent="0.3">
      <c r="A74" s="275"/>
      <c r="B74" s="196"/>
      <c r="C74" s="258"/>
      <c r="D74" s="197"/>
      <c r="E74" s="197"/>
      <c r="F74" s="197"/>
      <c r="G74" s="197"/>
      <c r="H74" s="197"/>
      <c r="I74" s="197"/>
      <c r="J74" s="197"/>
      <c r="K74" s="194"/>
      <c r="L74" s="194"/>
      <c r="M74" s="194"/>
    </row>
    <row r="75" spans="1:13" ht="21.75" thickBot="1" x14ac:dyDescent="0.4">
      <c r="A75" s="576" t="s">
        <v>30</v>
      </c>
      <c r="B75" s="577"/>
      <c r="C75" s="278"/>
      <c r="D75" s="279"/>
      <c r="E75" s="279"/>
      <c r="F75" s="279"/>
      <c r="G75" s="279"/>
      <c r="H75" s="279"/>
      <c r="I75" s="279"/>
      <c r="J75" s="280">
        <f>SUM(J61:J74)</f>
        <v>2017</v>
      </c>
      <c r="K75" s="194"/>
      <c r="L75" s="194"/>
      <c r="M75" s="194"/>
    </row>
    <row r="76" spans="1:13" x14ac:dyDescent="0.25">
      <c r="A76" s="196"/>
      <c r="B76" s="196"/>
      <c r="C76" s="258"/>
      <c r="D76" s="197"/>
      <c r="E76" s="197"/>
      <c r="F76" s="197"/>
      <c r="G76" s="197"/>
      <c r="H76" s="197"/>
      <c r="I76" s="197"/>
      <c r="J76" s="197"/>
      <c r="K76" s="194"/>
      <c r="L76" s="194"/>
      <c r="M76" s="194"/>
    </row>
    <row r="77" spans="1:13" ht="21" x14ac:dyDescent="0.35">
      <c r="A77" s="568" t="s">
        <v>70</v>
      </c>
      <c r="B77" s="568"/>
      <c r="C77" s="568"/>
      <c r="D77" s="568"/>
      <c r="E77" s="568"/>
      <c r="F77" s="568"/>
      <c r="G77" s="568"/>
      <c r="H77" s="568"/>
      <c r="I77" s="568"/>
      <c r="J77" s="568"/>
      <c r="K77" s="194"/>
      <c r="L77" s="194"/>
      <c r="M77" s="194"/>
    </row>
    <row r="78" spans="1:13" ht="21.75" thickBot="1" x14ac:dyDescent="0.4">
      <c r="A78" s="281" t="s">
        <v>31</v>
      </c>
      <c r="B78" s="281"/>
      <c r="C78" s="281"/>
      <c r="D78" s="281"/>
      <c r="E78" s="281"/>
      <c r="F78" s="281"/>
      <c r="G78" s="281"/>
      <c r="H78" s="281"/>
      <c r="I78" s="281"/>
      <c r="J78" s="282"/>
      <c r="K78" s="194"/>
      <c r="L78" s="194"/>
      <c r="M78" s="194"/>
    </row>
    <row r="79" spans="1:13" ht="15.75" thickBot="1" x14ac:dyDescent="0.3">
      <c r="A79" s="283" t="s">
        <v>32</v>
      </c>
      <c r="B79" s="284" t="s">
        <v>33</v>
      </c>
      <c r="C79" s="578" t="s">
        <v>2</v>
      </c>
      <c r="D79" s="579"/>
      <c r="E79" s="579"/>
      <c r="F79" s="579"/>
      <c r="G79" s="579"/>
      <c r="H79" s="579"/>
      <c r="I79" s="580"/>
      <c r="J79" s="285" t="s">
        <v>9</v>
      </c>
      <c r="K79" s="194"/>
      <c r="L79" s="194"/>
      <c r="M79" s="194"/>
    </row>
    <row r="80" spans="1:13" ht="15.75" thickBot="1" x14ac:dyDescent="0.3">
      <c r="A80" s="286" t="s">
        <v>150</v>
      </c>
      <c r="B80" s="200" t="s">
        <v>151</v>
      </c>
      <c r="C80" s="569" t="s">
        <v>152</v>
      </c>
      <c r="D80" s="570"/>
      <c r="E80" s="570"/>
      <c r="F80" s="570"/>
      <c r="G80" s="570"/>
      <c r="H80" s="570"/>
      <c r="I80" s="570"/>
      <c r="J80" s="214">
        <v>300</v>
      </c>
      <c r="K80" s="194"/>
      <c r="L80" s="194"/>
      <c r="M80" s="194"/>
    </row>
    <row r="81" spans="1:13" ht="15.75" thickBot="1" x14ac:dyDescent="0.3">
      <c r="A81" s="235" t="s">
        <v>166</v>
      </c>
      <c r="B81" s="200" t="s">
        <v>167</v>
      </c>
      <c r="C81" s="569" t="s">
        <v>168</v>
      </c>
      <c r="D81" s="570"/>
      <c r="E81" s="570"/>
      <c r="F81" s="570"/>
      <c r="G81" s="570"/>
      <c r="H81" s="571"/>
      <c r="I81" s="571"/>
      <c r="J81" s="214">
        <v>96</v>
      </c>
      <c r="K81" s="194"/>
      <c r="L81" s="194"/>
      <c r="M81" s="194"/>
    </row>
    <row r="82" spans="1:13" ht="15.75" thickBot="1" x14ac:dyDescent="0.3">
      <c r="A82" s="235" t="s">
        <v>172</v>
      </c>
      <c r="B82" s="200" t="s">
        <v>173</v>
      </c>
      <c r="C82" s="572" t="s">
        <v>174</v>
      </c>
      <c r="D82" s="573"/>
      <c r="E82" s="573"/>
      <c r="F82" s="573"/>
      <c r="G82" s="573"/>
      <c r="H82" s="573"/>
      <c r="I82" s="573"/>
      <c r="J82" s="287">
        <v>300</v>
      </c>
      <c r="K82" s="194"/>
      <c r="L82" s="194"/>
      <c r="M82" s="194"/>
    </row>
    <row r="83" spans="1:13" ht="15.75" thickBot="1" x14ac:dyDescent="0.3">
      <c r="A83" s="235"/>
      <c r="B83" s="200"/>
      <c r="C83" s="569"/>
      <c r="D83" s="570"/>
      <c r="E83" s="570"/>
      <c r="F83" s="570"/>
      <c r="G83" s="570"/>
      <c r="H83" s="571"/>
      <c r="I83" s="571"/>
      <c r="J83" s="214"/>
      <c r="K83" s="194"/>
      <c r="L83" s="194"/>
      <c r="M83" s="194"/>
    </row>
    <row r="84" spans="1:13" ht="15.75" thickBot="1" x14ac:dyDescent="0.3">
      <c r="A84" s="235"/>
      <c r="B84" s="200"/>
      <c r="C84" s="569"/>
      <c r="D84" s="570"/>
      <c r="E84" s="570"/>
      <c r="F84" s="570"/>
      <c r="G84" s="570"/>
      <c r="H84" s="571"/>
      <c r="I84" s="571"/>
      <c r="J84" s="214"/>
      <c r="K84" s="194"/>
      <c r="L84" s="194"/>
      <c r="M84" s="194"/>
    </row>
    <row r="85" spans="1:13" ht="15.75" thickBot="1" x14ac:dyDescent="0.3">
      <c r="A85" s="235"/>
      <c r="B85" s="200"/>
      <c r="C85" s="569"/>
      <c r="D85" s="570"/>
      <c r="E85" s="570"/>
      <c r="F85" s="570"/>
      <c r="G85" s="570"/>
      <c r="H85" s="571"/>
      <c r="I85" s="571"/>
      <c r="J85" s="214"/>
      <c r="K85" s="194"/>
      <c r="L85" s="194"/>
      <c r="M85" s="194"/>
    </row>
    <row r="86" spans="1:13" ht="15.75" thickBot="1" x14ac:dyDescent="0.3">
      <c r="A86" s="235"/>
      <c r="B86" s="200"/>
      <c r="C86" s="569"/>
      <c r="D86" s="570"/>
      <c r="E86" s="570"/>
      <c r="F86" s="570"/>
      <c r="G86" s="570"/>
      <c r="H86" s="571"/>
      <c r="I86" s="571"/>
      <c r="J86" s="214"/>
      <c r="K86" s="194"/>
      <c r="L86" s="194"/>
      <c r="M86" s="194"/>
    </row>
    <row r="87" spans="1:13" ht="15.75" thickBot="1" x14ac:dyDescent="0.3">
      <c r="A87" s="235"/>
      <c r="B87" s="200"/>
      <c r="C87" s="569"/>
      <c r="D87" s="570"/>
      <c r="E87" s="570"/>
      <c r="F87" s="570"/>
      <c r="G87" s="570"/>
      <c r="H87" s="571"/>
      <c r="I87" s="571"/>
      <c r="J87" s="214"/>
      <c r="K87" s="194"/>
      <c r="L87" s="194"/>
      <c r="M87" s="194"/>
    </row>
    <row r="88" spans="1:13" ht="15.75" thickBot="1" x14ac:dyDescent="0.3">
      <c r="A88" s="235"/>
      <c r="B88" s="200"/>
      <c r="C88" s="569"/>
      <c r="D88" s="570"/>
      <c r="E88" s="570"/>
      <c r="F88" s="570"/>
      <c r="G88" s="570"/>
      <c r="H88" s="571"/>
      <c r="I88" s="571"/>
      <c r="J88" s="229"/>
      <c r="K88" s="194"/>
      <c r="L88" s="194"/>
      <c r="M88" s="194"/>
    </row>
    <row r="89" spans="1:13" ht="15.75" thickBot="1" x14ac:dyDescent="0.3">
      <c r="A89" s="235"/>
      <c r="B89" s="200"/>
      <c r="C89" s="569"/>
      <c r="D89" s="570"/>
      <c r="E89" s="570"/>
      <c r="F89" s="570"/>
      <c r="G89" s="570"/>
      <c r="H89" s="571"/>
      <c r="I89" s="571"/>
      <c r="J89" s="229"/>
      <c r="K89" s="194"/>
      <c r="L89" s="194"/>
      <c r="M89" s="194"/>
    </row>
    <row r="90" spans="1:13" ht="15.75" thickBot="1" x14ac:dyDescent="0.3">
      <c r="A90" s="235"/>
      <c r="B90" s="200"/>
      <c r="C90" s="569"/>
      <c r="D90" s="570"/>
      <c r="E90" s="570"/>
      <c r="F90" s="570"/>
      <c r="G90" s="570"/>
      <c r="H90" s="571"/>
      <c r="I90" s="571"/>
      <c r="J90" s="229"/>
      <c r="K90" s="194"/>
      <c r="L90" s="194"/>
      <c r="M90" s="194"/>
    </row>
    <row r="91" spans="1:13" ht="15.75" thickBot="1" x14ac:dyDescent="0.3">
      <c r="A91" s="235"/>
      <c r="B91" s="200"/>
      <c r="C91" s="569"/>
      <c r="D91" s="570"/>
      <c r="E91" s="570"/>
      <c r="F91" s="570"/>
      <c r="G91" s="570"/>
      <c r="H91" s="571"/>
      <c r="I91" s="571"/>
      <c r="J91" s="229"/>
      <c r="K91" s="194"/>
      <c r="L91" s="194"/>
      <c r="M91" s="194"/>
    </row>
    <row r="92" spans="1:13" ht="15.75" thickBot="1" x14ac:dyDescent="0.3">
      <c r="A92" s="235"/>
      <c r="B92" s="200"/>
      <c r="C92" s="569"/>
      <c r="D92" s="570"/>
      <c r="E92" s="570"/>
      <c r="F92" s="570"/>
      <c r="G92" s="570"/>
      <c r="H92" s="571"/>
      <c r="I92" s="571"/>
      <c r="J92" s="229"/>
      <c r="K92" s="194"/>
      <c r="L92" s="194"/>
      <c r="M92" s="194"/>
    </row>
    <row r="93" spans="1:13" ht="19.5" thickBot="1" x14ac:dyDescent="0.35">
      <c r="A93" s="288" t="s">
        <v>34</v>
      </c>
      <c r="B93" s="574"/>
      <c r="C93" s="590"/>
      <c r="D93" s="590"/>
      <c r="E93" s="590"/>
      <c r="F93" s="590"/>
      <c r="G93" s="590"/>
      <c r="H93" s="590"/>
      <c r="I93" s="590"/>
      <c r="J93" s="289">
        <f>SUM(J80:J92)</f>
        <v>696</v>
      </c>
      <c r="K93" s="194"/>
      <c r="L93" s="194"/>
      <c r="M93" s="194"/>
    </row>
    <row r="94" spans="1:13" ht="18.75" x14ac:dyDescent="0.3">
      <c r="A94" s="219"/>
      <c r="B94" s="219"/>
      <c r="C94" s="290"/>
      <c r="D94" s="290"/>
      <c r="E94" s="290"/>
      <c r="F94" s="291"/>
      <c r="G94" s="290"/>
      <c r="H94" s="290"/>
      <c r="I94" s="290"/>
      <c r="J94" s="222"/>
      <c r="K94" s="194"/>
      <c r="L94" s="194"/>
      <c r="M94" s="194"/>
    </row>
    <row r="95" spans="1:13" ht="18.75" x14ac:dyDescent="0.3">
      <c r="A95" s="219"/>
      <c r="B95" s="219"/>
      <c r="C95" s="290"/>
      <c r="D95" s="290"/>
      <c r="E95" s="290"/>
      <c r="F95" s="291"/>
      <c r="G95" s="290"/>
      <c r="H95" s="290"/>
      <c r="I95" s="290"/>
      <c r="J95" s="222"/>
      <c r="K95" s="194"/>
      <c r="L95" s="194"/>
      <c r="M95" s="194"/>
    </row>
    <row r="96" spans="1:13" ht="18.75" x14ac:dyDescent="0.3">
      <c r="A96" s="253" t="s">
        <v>35</v>
      </c>
      <c r="B96" s="219"/>
      <c r="C96" s="196"/>
      <c r="D96" s="197"/>
      <c r="E96" s="194"/>
      <c r="F96" s="197"/>
      <c r="G96" s="194"/>
      <c r="H96" s="194"/>
      <c r="I96" s="194"/>
      <c r="J96" s="197"/>
      <c r="K96" s="194"/>
      <c r="L96" s="194"/>
      <c r="M96" s="194"/>
    </row>
    <row r="97" spans="1:13" x14ac:dyDescent="0.25">
      <c r="A97" s="196" t="s">
        <v>36</v>
      </c>
      <c r="B97" s="258">
        <f>+J75</f>
        <v>2017</v>
      </c>
      <c r="C97" s="292"/>
      <c r="D97" s="197"/>
      <c r="E97" s="194"/>
      <c r="F97" s="197"/>
      <c r="G97" s="194"/>
      <c r="H97" s="194"/>
      <c r="I97" s="194"/>
      <c r="J97" s="197"/>
      <c r="K97" s="194"/>
      <c r="L97" s="194"/>
      <c r="M97" s="194"/>
    </row>
    <row r="98" spans="1:13" ht="15.75" thickBot="1" x14ac:dyDescent="0.3">
      <c r="A98" s="196" t="s">
        <v>34</v>
      </c>
      <c r="B98" s="293">
        <f>+J93</f>
        <v>696</v>
      </c>
      <c r="C98" s="196"/>
      <c r="D98" s="197"/>
      <c r="E98" s="194"/>
      <c r="F98" s="197"/>
      <c r="G98" s="294"/>
      <c r="H98" s="294"/>
      <c r="I98" s="295"/>
      <c r="J98" s="295"/>
      <c r="K98" s="194"/>
      <c r="L98" s="194"/>
      <c r="M98" s="194"/>
    </row>
    <row r="99" spans="1:13" ht="17.25" thickTop="1" thickBot="1" x14ac:dyDescent="0.3">
      <c r="A99" s="253" t="s">
        <v>37</v>
      </c>
      <c r="B99" s="296">
        <f>++B97-B98</f>
        <v>1321</v>
      </c>
      <c r="C99" s="297"/>
      <c r="D99" s="197"/>
      <c r="E99" s="298"/>
      <c r="F99" s="197"/>
      <c r="G99" s="299"/>
      <c r="H99" s="299"/>
      <c r="I99" s="197"/>
      <c r="J99" s="194"/>
      <c r="K99" s="194"/>
      <c r="L99" s="194"/>
      <c r="M99" s="194"/>
    </row>
    <row r="100" spans="1:13" ht="15.75" thickTop="1" x14ac:dyDescent="0.25"/>
  </sheetData>
  <mergeCells count="24">
    <mergeCell ref="C85:I85"/>
    <mergeCell ref="B93:I93"/>
    <mergeCell ref="C87:I87"/>
    <mergeCell ref="C88:I88"/>
    <mergeCell ref="C89:I89"/>
    <mergeCell ref="C90:I90"/>
    <mergeCell ref="C91:I91"/>
    <mergeCell ref="C92:I92"/>
    <mergeCell ref="C86:I86"/>
    <mergeCell ref="A1:J1"/>
    <mergeCell ref="C81:I81"/>
    <mergeCell ref="C82:I82"/>
    <mergeCell ref="C83:I83"/>
    <mergeCell ref="C84:I84"/>
    <mergeCell ref="C80:I80"/>
    <mergeCell ref="A61:B61"/>
    <mergeCell ref="A75:B75"/>
    <mergeCell ref="A77:J77"/>
    <mergeCell ref="C79:I79"/>
    <mergeCell ref="A7:A8"/>
    <mergeCell ref="B44:B45"/>
    <mergeCell ref="A44:A45"/>
    <mergeCell ref="B27:B28"/>
    <mergeCell ref="A26:A28"/>
  </mergeCells>
  <phoneticPr fontId="13" type="noConversion"/>
  <pageMargins left="0.12" right="0.12" top="0.12" bottom="0.12" header="0.12" footer="0.12"/>
  <pageSetup paperSize="9"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CCFF-1590-423F-99BC-B5F389DDBA7C}">
  <sheetPr codeName="Hoja4">
    <pageSetUpPr fitToPage="1"/>
  </sheetPr>
  <dimension ref="A1:M131"/>
  <sheetViews>
    <sheetView topLeftCell="A28" workbookViewId="0">
      <selection activeCell="B45" sqref="B45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6" max="6" width="13" bestFit="1" customWidth="1"/>
    <col min="9" max="9" width="11.42578125" style="55"/>
    <col min="10" max="10" width="14" bestFit="1" customWidth="1"/>
  </cols>
  <sheetData>
    <row r="1" spans="1:10" ht="21" x14ac:dyDescent="0.35">
      <c r="A1" s="553" t="s">
        <v>176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8" t="s">
        <v>8</v>
      </c>
      <c r="J3" s="5" t="s">
        <v>9</v>
      </c>
    </row>
    <row r="4" spans="1:10" ht="15.75" thickBot="1" x14ac:dyDescent="0.3">
      <c r="A4" s="316" t="s">
        <v>10</v>
      </c>
      <c r="B4" s="317" t="s">
        <v>189</v>
      </c>
      <c r="C4" s="21">
        <v>46054</v>
      </c>
      <c r="D4" s="4"/>
      <c r="E4" s="4"/>
      <c r="F4" s="4"/>
      <c r="G4" s="4"/>
      <c r="H4" s="4"/>
      <c r="I4" s="8">
        <v>10</v>
      </c>
      <c r="J4" s="5">
        <f t="shared" ref="J4:J26" si="0">SUM(D4:I4)</f>
        <v>10</v>
      </c>
    </row>
    <row r="5" spans="1:10" ht="15.75" thickBot="1" x14ac:dyDescent="0.3">
      <c r="A5" s="6" t="s">
        <v>186</v>
      </c>
      <c r="B5" s="320" t="s">
        <v>187</v>
      </c>
      <c r="C5" s="7">
        <v>46023</v>
      </c>
      <c r="D5" s="8"/>
      <c r="E5" s="8"/>
      <c r="F5" s="8">
        <v>500</v>
      </c>
      <c r="G5" s="8"/>
      <c r="H5" s="8"/>
      <c r="I5" s="8"/>
      <c r="J5" s="5">
        <f t="shared" si="0"/>
        <v>500</v>
      </c>
    </row>
    <row r="6" spans="1:10" ht="15.75" thickBot="1" x14ac:dyDescent="0.3">
      <c r="A6" s="317" t="s">
        <v>134</v>
      </c>
      <c r="B6" s="320" t="s">
        <v>197</v>
      </c>
      <c r="C6" s="318">
        <v>45962</v>
      </c>
      <c r="D6" s="8"/>
      <c r="E6" s="8"/>
      <c r="F6" s="8">
        <v>50</v>
      </c>
      <c r="G6" s="8"/>
      <c r="H6" s="8"/>
      <c r="I6" s="8"/>
      <c r="J6" s="5">
        <f t="shared" si="0"/>
        <v>50</v>
      </c>
    </row>
    <row r="7" spans="1:10" ht="15.75" thickBot="1" x14ac:dyDescent="0.3">
      <c r="A7" s="6" t="s">
        <v>199</v>
      </c>
      <c r="B7" s="320" t="s">
        <v>200</v>
      </c>
      <c r="C7" s="7">
        <v>46023</v>
      </c>
      <c r="D7" s="8"/>
      <c r="E7" s="8"/>
      <c r="F7" s="8">
        <v>200</v>
      </c>
      <c r="G7" s="8"/>
      <c r="H7" s="8"/>
      <c r="I7" s="8"/>
      <c r="J7" s="5">
        <f t="shared" si="0"/>
        <v>200</v>
      </c>
    </row>
    <row r="8" spans="1:10" ht="15.75" thickBot="1" x14ac:dyDescent="0.3">
      <c r="A8" s="6" t="s">
        <v>201</v>
      </c>
      <c r="B8" s="320" t="s">
        <v>203</v>
      </c>
      <c r="C8" s="7">
        <v>46023</v>
      </c>
      <c r="D8" s="8"/>
      <c r="E8" s="8"/>
      <c r="F8" s="8">
        <v>100</v>
      </c>
      <c r="G8" s="8"/>
      <c r="H8" s="8"/>
      <c r="I8" s="8"/>
      <c r="J8" s="5">
        <f t="shared" si="0"/>
        <v>100</v>
      </c>
    </row>
    <row r="9" spans="1:10" ht="15.75" thickBot="1" x14ac:dyDescent="0.3">
      <c r="A9" s="14" t="s">
        <v>237</v>
      </c>
      <c r="B9" s="320" t="s">
        <v>249</v>
      </c>
      <c r="C9" s="7">
        <v>46023</v>
      </c>
      <c r="D9" s="8"/>
      <c r="E9" s="8"/>
      <c r="F9" s="8">
        <v>500</v>
      </c>
      <c r="G9" s="8"/>
      <c r="H9" s="8"/>
      <c r="I9" s="8"/>
      <c r="J9" s="5">
        <f t="shared" si="0"/>
        <v>500</v>
      </c>
    </row>
    <row r="10" spans="1:10" ht="15.75" thickBot="1" x14ac:dyDescent="0.3">
      <c r="A10" s="6" t="s">
        <v>240</v>
      </c>
      <c r="B10" s="320" t="s">
        <v>250</v>
      </c>
      <c r="C10" s="7">
        <v>45992</v>
      </c>
      <c r="D10" s="8"/>
      <c r="E10" s="8"/>
      <c r="F10" s="8">
        <v>200</v>
      </c>
      <c r="G10" s="8"/>
      <c r="H10" s="8"/>
      <c r="I10" s="8"/>
      <c r="J10" s="5">
        <f t="shared" si="0"/>
        <v>200</v>
      </c>
    </row>
    <row r="11" spans="1:10" ht="15.75" thickBot="1" x14ac:dyDescent="0.3">
      <c r="A11" s="6" t="s">
        <v>242</v>
      </c>
      <c r="B11" s="320" t="s">
        <v>255</v>
      </c>
      <c r="C11" s="7">
        <v>45992</v>
      </c>
      <c r="D11" s="8"/>
      <c r="E11" s="8"/>
      <c r="F11" s="8">
        <v>100</v>
      </c>
      <c r="G11" s="8"/>
      <c r="H11" s="8"/>
      <c r="I11" s="8"/>
      <c r="J11" s="5">
        <f t="shared" si="0"/>
        <v>100</v>
      </c>
    </row>
    <row r="12" spans="1:10" ht="15.75" thickBot="1" x14ac:dyDescent="0.3">
      <c r="A12" s="6" t="s">
        <v>7</v>
      </c>
      <c r="B12" s="320" t="s">
        <v>269</v>
      </c>
      <c r="C12" s="21">
        <v>46054</v>
      </c>
      <c r="D12" s="8"/>
      <c r="E12" s="8"/>
      <c r="F12" s="8"/>
      <c r="G12" s="8"/>
      <c r="H12" s="8">
        <v>61.5</v>
      </c>
      <c r="I12" s="8"/>
      <c r="J12" s="5">
        <f t="shared" si="0"/>
        <v>61.5</v>
      </c>
    </row>
    <row r="13" spans="1:10" ht="15.75" thickBot="1" x14ac:dyDescent="0.3">
      <c r="A13" s="6"/>
      <c r="B13" s="320"/>
      <c r="C13" s="7"/>
      <c r="D13" s="8"/>
      <c r="E13" s="8"/>
      <c r="F13" s="8"/>
      <c r="G13" s="8"/>
      <c r="H13" s="8"/>
      <c r="I13" s="8"/>
      <c r="J13" s="5">
        <f t="shared" si="0"/>
        <v>0</v>
      </c>
    </row>
    <row r="14" spans="1:10" ht="15.75" thickBot="1" x14ac:dyDescent="0.3">
      <c r="A14" s="9"/>
      <c r="B14" s="320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6" t="s">
        <v>186</v>
      </c>
      <c r="B15" s="6" t="s">
        <v>188</v>
      </c>
      <c r="C15" s="7">
        <v>45992</v>
      </c>
      <c r="D15" s="8">
        <v>10</v>
      </c>
      <c r="E15" s="8">
        <v>5</v>
      </c>
      <c r="F15" s="8"/>
      <c r="G15" s="8"/>
      <c r="H15" s="8"/>
      <c r="I15" s="301"/>
      <c r="J15" s="12">
        <f t="shared" si="0"/>
        <v>15</v>
      </c>
    </row>
    <row r="16" spans="1:10" ht="15.75" thickBot="1" x14ac:dyDescent="0.3">
      <c r="A16" s="6" t="s">
        <v>190</v>
      </c>
      <c r="B16" s="6" t="s">
        <v>206</v>
      </c>
      <c r="C16" s="7">
        <v>45992</v>
      </c>
      <c r="D16" s="8">
        <v>0.2</v>
      </c>
      <c r="E16" s="8"/>
      <c r="F16" s="8"/>
      <c r="G16" s="8"/>
      <c r="H16" s="8"/>
      <c r="I16" s="8"/>
      <c r="J16" s="5">
        <f t="shared" si="0"/>
        <v>0.2</v>
      </c>
    </row>
    <row r="17" spans="1:10" ht="15.75" thickBot="1" x14ac:dyDescent="0.3">
      <c r="A17" s="14" t="s">
        <v>237</v>
      </c>
      <c r="B17" s="6" t="s">
        <v>236</v>
      </c>
      <c r="C17" s="7">
        <v>45992</v>
      </c>
      <c r="D17" s="8">
        <v>10</v>
      </c>
      <c r="E17" s="8">
        <v>5</v>
      </c>
      <c r="F17" s="8"/>
      <c r="G17" s="8"/>
      <c r="H17" s="8"/>
      <c r="I17" s="8"/>
      <c r="J17" s="5">
        <f t="shared" si="0"/>
        <v>15</v>
      </c>
    </row>
    <row r="18" spans="1:10" ht="15.75" thickBot="1" x14ac:dyDescent="0.3">
      <c r="A18" s="187" t="s">
        <v>238</v>
      </c>
      <c r="B18" s="6" t="s">
        <v>239</v>
      </c>
      <c r="C18" s="7">
        <v>45992</v>
      </c>
      <c r="D18" s="8">
        <v>10</v>
      </c>
      <c r="E18" s="8">
        <v>5</v>
      </c>
      <c r="F18" s="8"/>
      <c r="G18" s="8"/>
      <c r="H18" s="8"/>
      <c r="I18" s="8"/>
      <c r="J18" s="5">
        <f t="shared" si="0"/>
        <v>15</v>
      </c>
    </row>
    <row r="19" spans="1:10" ht="15.75" thickBot="1" x14ac:dyDescent="0.3">
      <c r="A19" s="564" t="s">
        <v>240</v>
      </c>
      <c r="B19" s="591" t="s">
        <v>241</v>
      </c>
      <c r="C19" s="318">
        <v>45962</v>
      </c>
      <c r="D19" s="8">
        <v>8.6</v>
      </c>
      <c r="E19" s="8">
        <v>5</v>
      </c>
      <c r="F19" s="8"/>
      <c r="G19" s="8"/>
      <c r="H19" s="8"/>
      <c r="I19" s="8"/>
      <c r="J19" s="5">
        <f t="shared" si="0"/>
        <v>13.6</v>
      </c>
    </row>
    <row r="20" spans="1:10" ht="15.75" thickBot="1" x14ac:dyDescent="0.3">
      <c r="A20" s="565"/>
      <c r="B20" s="592"/>
      <c r="C20" s="7">
        <v>45992</v>
      </c>
      <c r="D20" s="8">
        <v>8.1999999999999993</v>
      </c>
      <c r="E20" s="8">
        <v>5</v>
      </c>
      <c r="F20" s="8"/>
      <c r="G20" s="8"/>
      <c r="H20" s="8"/>
      <c r="I20" s="8"/>
      <c r="J20" s="5">
        <f t="shared" si="0"/>
        <v>13.2</v>
      </c>
    </row>
    <row r="21" spans="1:10" ht="15.75" thickBot="1" x14ac:dyDescent="0.3">
      <c r="A21" s="191" t="s">
        <v>242</v>
      </c>
      <c r="B21" s="6" t="s">
        <v>243</v>
      </c>
      <c r="C21" s="7">
        <v>45992</v>
      </c>
      <c r="D21" s="8">
        <v>8.6</v>
      </c>
      <c r="E21" s="8">
        <v>5</v>
      </c>
      <c r="F21" s="8"/>
      <c r="G21" s="8"/>
      <c r="H21" s="8"/>
      <c r="I21" s="8"/>
      <c r="J21" s="5">
        <f t="shared" si="0"/>
        <v>13.6</v>
      </c>
    </row>
    <row r="22" spans="1:10" ht="15.75" thickBot="1" x14ac:dyDescent="0.3">
      <c r="A22" s="564" t="s">
        <v>244</v>
      </c>
      <c r="B22" s="591" t="s">
        <v>245</v>
      </c>
      <c r="C22" s="7">
        <v>45931</v>
      </c>
      <c r="D22" s="8">
        <v>7.2</v>
      </c>
      <c r="E22" s="8">
        <v>10</v>
      </c>
      <c r="F22" s="8"/>
      <c r="G22" s="8"/>
      <c r="H22" s="8"/>
      <c r="I22" s="8"/>
      <c r="J22" s="5">
        <f t="shared" si="0"/>
        <v>17.2</v>
      </c>
    </row>
    <row r="23" spans="1:10" ht="15.75" thickBot="1" x14ac:dyDescent="0.3">
      <c r="A23" s="594"/>
      <c r="B23" s="593"/>
      <c r="C23" s="7">
        <v>45962</v>
      </c>
      <c r="D23" s="8">
        <v>7.3</v>
      </c>
      <c r="E23" s="8">
        <v>15</v>
      </c>
      <c r="F23" s="8"/>
      <c r="G23" s="8"/>
      <c r="H23" s="8"/>
      <c r="I23" s="8"/>
      <c r="J23" s="5">
        <f t="shared" si="0"/>
        <v>22.3</v>
      </c>
    </row>
    <row r="24" spans="1:10" ht="15.75" thickBot="1" x14ac:dyDescent="0.3">
      <c r="A24" s="565"/>
      <c r="B24" s="592"/>
      <c r="C24" s="7">
        <v>45992</v>
      </c>
      <c r="D24" s="8">
        <v>7</v>
      </c>
      <c r="E24" s="8">
        <v>3.5</v>
      </c>
      <c r="F24" s="8"/>
      <c r="G24" s="8"/>
      <c r="H24" s="8"/>
      <c r="I24" s="8"/>
      <c r="J24" s="5">
        <f t="shared" si="0"/>
        <v>10.5</v>
      </c>
    </row>
    <row r="25" spans="1:10" ht="15.75" thickBot="1" x14ac:dyDescent="0.3">
      <c r="A25" s="19"/>
      <c r="B25" s="19"/>
      <c r="C25" s="7"/>
      <c r="D25" s="8"/>
      <c r="E25" s="8"/>
      <c r="F25" s="8"/>
      <c r="G25" s="8"/>
      <c r="H25" s="8"/>
      <c r="I25" s="8"/>
      <c r="J25" s="5">
        <f t="shared" si="0"/>
        <v>0</v>
      </c>
    </row>
    <row r="26" spans="1:10" ht="15.75" thickBot="1" x14ac:dyDescent="0.3">
      <c r="A26" s="190"/>
      <c r="B26" s="192"/>
      <c r="C26" s="21"/>
      <c r="D26" s="22"/>
      <c r="E26" s="22"/>
      <c r="F26" s="22"/>
      <c r="G26" s="22"/>
      <c r="H26" s="22"/>
      <c r="I26" s="22"/>
      <c r="J26" s="5">
        <f t="shared" si="0"/>
        <v>0</v>
      </c>
    </row>
    <row r="27" spans="1:10" ht="19.5" thickBot="1" x14ac:dyDescent="0.35">
      <c r="A27" s="23" t="s">
        <v>9</v>
      </c>
      <c r="B27" s="4"/>
      <c r="C27" s="24"/>
      <c r="D27" s="25">
        <f>SUM(D4:D26)</f>
        <v>77.100000000000009</v>
      </c>
      <c r="E27" s="25">
        <f t="shared" ref="E27:I27" si="1">SUM(E4:E26)</f>
        <v>58.5</v>
      </c>
      <c r="F27" s="25">
        <f t="shared" si="1"/>
        <v>1650</v>
      </c>
      <c r="G27" s="25">
        <f t="shared" si="1"/>
        <v>0</v>
      </c>
      <c r="H27" s="25">
        <f t="shared" si="1"/>
        <v>61.5</v>
      </c>
      <c r="I27" s="25">
        <f t="shared" si="1"/>
        <v>10</v>
      </c>
      <c r="J27" s="26">
        <f>SUM(J4:J26)</f>
        <v>1857.1</v>
      </c>
    </row>
    <row r="28" spans="1:10" ht="19.5" thickBot="1" x14ac:dyDescent="0.35">
      <c r="A28" s="27"/>
      <c r="B28" s="28"/>
      <c r="C28" s="29"/>
      <c r="D28" s="30"/>
      <c r="E28" s="30"/>
      <c r="F28" s="30"/>
      <c r="G28" s="30"/>
      <c r="H28" s="30"/>
      <c r="I28" s="303"/>
      <c r="J28" s="30"/>
    </row>
    <row r="29" spans="1:10" ht="24" thickBot="1" x14ac:dyDescent="0.4">
      <c r="A29" s="31" t="s">
        <v>12</v>
      </c>
      <c r="B29" s="28"/>
      <c r="C29" s="29"/>
      <c r="D29" s="30"/>
      <c r="E29" s="30"/>
      <c r="F29" s="30"/>
      <c r="G29" s="30"/>
      <c r="H29" s="30"/>
      <c r="I29" s="303"/>
      <c r="J29" s="30"/>
    </row>
    <row r="30" spans="1:10" ht="15.75" thickBot="1" x14ac:dyDescent="0.3">
      <c r="A30" s="32" t="s">
        <v>13</v>
      </c>
      <c r="B30" s="4" t="s">
        <v>1</v>
      </c>
      <c r="C30" s="33" t="s">
        <v>14</v>
      </c>
      <c r="D30" s="33" t="s">
        <v>3</v>
      </c>
      <c r="E30" s="33" t="s">
        <v>4</v>
      </c>
      <c r="F30" s="4" t="s">
        <v>5</v>
      </c>
      <c r="G30" s="4" t="s">
        <v>6</v>
      </c>
      <c r="H30" s="4" t="s">
        <v>15</v>
      </c>
      <c r="I30" s="8" t="s">
        <v>8</v>
      </c>
      <c r="J30" s="34" t="s">
        <v>9</v>
      </c>
    </row>
    <row r="31" spans="1:10" ht="30.75" thickBot="1" x14ac:dyDescent="0.3">
      <c r="A31" s="19" t="s">
        <v>184</v>
      </c>
      <c r="B31" s="21" t="s">
        <v>185</v>
      </c>
      <c r="C31" s="21">
        <v>46054</v>
      </c>
      <c r="D31" s="35"/>
      <c r="E31" s="36"/>
      <c r="F31" s="35"/>
      <c r="G31" s="35">
        <v>30</v>
      </c>
      <c r="H31" s="37"/>
      <c r="I31" s="22"/>
      <c r="J31" s="38">
        <f>SUM(D31:I31)</f>
        <v>30</v>
      </c>
    </row>
    <row r="32" spans="1:10" ht="15.75" thickBot="1" x14ac:dyDescent="0.3">
      <c r="A32" s="19" t="s">
        <v>204</v>
      </c>
      <c r="B32" s="21" t="s">
        <v>205</v>
      </c>
      <c r="C32" s="21">
        <v>45992</v>
      </c>
      <c r="D32" s="35"/>
      <c r="E32" s="36"/>
      <c r="F32" s="35">
        <v>80</v>
      </c>
      <c r="G32" s="35"/>
      <c r="H32" s="37"/>
      <c r="I32" s="22"/>
      <c r="J32" s="38">
        <f t="shared" ref="J32:J47" si="2">SUM(D32:I32)</f>
        <v>80</v>
      </c>
    </row>
    <row r="33" spans="1:13" ht="15.75" thickBot="1" x14ac:dyDescent="0.3">
      <c r="A33" s="595" t="s">
        <v>190</v>
      </c>
      <c r="B33" s="566" t="s">
        <v>191</v>
      </c>
      <c r="C33" s="21">
        <v>45931</v>
      </c>
      <c r="D33" s="35"/>
      <c r="E33" s="35"/>
      <c r="F33" s="35">
        <v>330</v>
      </c>
      <c r="G33" s="35"/>
      <c r="H33" s="37"/>
      <c r="I33" s="22"/>
      <c r="J33" s="38">
        <f t="shared" si="2"/>
        <v>330</v>
      </c>
    </row>
    <row r="34" spans="1:13" ht="15.75" thickBot="1" x14ac:dyDescent="0.3">
      <c r="A34" s="596"/>
      <c r="B34" s="567"/>
      <c r="C34" s="318">
        <v>45962</v>
      </c>
      <c r="D34" s="39"/>
      <c r="E34" s="39"/>
      <c r="F34" s="319">
        <v>70</v>
      </c>
      <c r="G34" s="39"/>
      <c r="H34" s="8"/>
      <c r="I34" s="8"/>
      <c r="J34" s="38">
        <f t="shared" si="2"/>
        <v>70</v>
      </c>
    </row>
    <row r="35" spans="1:13" ht="15.75" thickBot="1" x14ac:dyDescent="0.3">
      <c r="A35" s="4" t="s">
        <v>134</v>
      </c>
      <c r="B35" s="21" t="s">
        <v>196</v>
      </c>
      <c r="C35" s="318">
        <v>45962</v>
      </c>
      <c r="D35" s="39"/>
      <c r="E35" s="39"/>
      <c r="F35" s="319">
        <v>50</v>
      </c>
      <c r="G35" s="39"/>
      <c r="H35" s="8"/>
      <c r="I35" s="8"/>
      <c r="J35" s="38">
        <f t="shared" si="2"/>
        <v>50</v>
      </c>
    </row>
    <row r="36" spans="1:13" ht="15.75" thickBot="1" x14ac:dyDescent="0.3">
      <c r="A36" s="321" t="s">
        <v>192</v>
      </c>
      <c r="B36" s="320" t="s">
        <v>198</v>
      </c>
      <c r="C36" s="318">
        <v>45992</v>
      </c>
      <c r="D36" s="39"/>
      <c r="E36" s="39"/>
      <c r="F36" s="319">
        <v>200</v>
      </c>
      <c r="G36" s="39"/>
      <c r="H36" s="8"/>
      <c r="I36" s="8"/>
      <c r="J36" s="38">
        <f t="shared" si="2"/>
        <v>200</v>
      </c>
    </row>
    <row r="37" spans="1:13" ht="15.75" thickBot="1" x14ac:dyDescent="0.3">
      <c r="A37" s="6" t="s">
        <v>201</v>
      </c>
      <c r="B37" s="320" t="s">
        <v>202</v>
      </c>
      <c r="C37" s="7">
        <v>46023</v>
      </c>
      <c r="D37" s="324"/>
      <c r="E37" s="324"/>
      <c r="F37" s="325">
        <v>100</v>
      </c>
      <c r="G37" s="324"/>
      <c r="H37" s="326"/>
      <c r="I37" s="326"/>
      <c r="J37" s="38">
        <f t="shared" si="2"/>
        <v>100</v>
      </c>
    </row>
    <row r="38" spans="1:13" ht="15.75" thickBot="1" x14ac:dyDescent="0.3">
      <c r="A38" s="323" t="s">
        <v>238</v>
      </c>
      <c r="B38" s="320" t="s">
        <v>248</v>
      </c>
      <c r="C38" s="7">
        <v>46023</v>
      </c>
      <c r="D38" s="324"/>
      <c r="E38" s="324"/>
      <c r="F38" s="325">
        <v>500</v>
      </c>
      <c r="G38" s="324"/>
      <c r="H38" s="326"/>
      <c r="I38" s="326"/>
      <c r="J38" s="38">
        <f t="shared" si="2"/>
        <v>500</v>
      </c>
    </row>
    <row r="39" spans="1:13" ht="15.75" thickBot="1" x14ac:dyDescent="0.3">
      <c r="A39" s="4" t="s">
        <v>252</v>
      </c>
      <c r="B39" s="320" t="s">
        <v>251</v>
      </c>
      <c r="C39" s="318">
        <v>45992</v>
      </c>
      <c r="D39" s="324"/>
      <c r="E39" s="324"/>
      <c r="F39" s="325">
        <v>300</v>
      </c>
      <c r="G39" s="324"/>
      <c r="H39" s="326"/>
      <c r="I39" s="326"/>
      <c r="J39" s="38">
        <f t="shared" si="2"/>
        <v>300</v>
      </c>
    </row>
    <row r="40" spans="1:13" ht="15.75" thickBot="1" x14ac:dyDescent="0.3">
      <c r="A40" s="323" t="s">
        <v>253</v>
      </c>
      <c r="B40" s="320" t="s">
        <v>254</v>
      </c>
      <c r="C40" s="318">
        <v>45992</v>
      </c>
      <c r="D40" s="324"/>
      <c r="E40" s="324"/>
      <c r="F40" s="325">
        <v>150</v>
      </c>
      <c r="G40" s="324"/>
      <c r="H40" s="326"/>
      <c r="I40" s="326"/>
      <c r="J40" s="38">
        <f t="shared" si="2"/>
        <v>150</v>
      </c>
    </row>
    <row r="41" spans="1:13" ht="15.75" thickBot="1" x14ac:dyDescent="0.3">
      <c r="A41" s="4" t="s">
        <v>246</v>
      </c>
      <c r="B41" s="320" t="s">
        <v>256</v>
      </c>
      <c r="C41" s="7">
        <v>46023</v>
      </c>
      <c r="D41" s="39"/>
      <c r="E41" s="39"/>
      <c r="F41" s="319">
        <v>500</v>
      </c>
      <c r="G41" s="39"/>
      <c r="H41" s="8"/>
      <c r="I41" s="8"/>
      <c r="J41" s="38">
        <f t="shared" si="2"/>
        <v>500</v>
      </c>
    </row>
    <row r="42" spans="1:13" ht="15.75" thickBot="1" x14ac:dyDescent="0.3">
      <c r="A42" s="321" t="s">
        <v>192</v>
      </c>
      <c r="B42" s="21" t="s">
        <v>193</v>
      </c>
      <c r="C42" s="318">
        <v>45992</v>
      </c>
      <c r="D42" s="39">
        <v>30</v>
      </c>
      <c r="E42" s="39">
        <v>5</v>
      </c>
      <c r="F42" s="319"/>
      <c r="G42" s="39"/>
      <c r="H42" s="8"/>
      <c r="I42" s="8"/>
      <c r="J42" s="38">
        <f t="shared" si="2"/>
        <v>35</v>
      </c>
    </row>
    <row r="43" spans="1:13" ht="15.75" thickBot="1" x14ac:dyDescent="0.3">
      <c r="A43" s="19" t="s">
        <v>194</v>
      </c>
      <c r="B43" s="322" t="s">
        <v>195</v>
      </c>
      <c r="C43" s="318">
        <v>45992</v>
      </c>
      <c r="D43" s="39">
        <v>21.9</v>
      </c>
      <c r="E43" s="39">
        <v>5</v>
      </c>
      <c r="F43" s="39"/>
      <c r="G43" s="39"/>
      <c r="H43" s="8"/>
      <c r="I43" s="8"/>
      <c r="J43" s="38">
        <f t="shared" si="2"/>
        <v>26.9</v>
      </c>
    </row>
    <row r="44" spans="1:13" ht="15.75" thickBot="1" x14ac:dyDescent="0.3">
      <c r="A44" s="6" t="s">
        <v>190</v>
      </c>
      <c r="B44" s="6" t="s">
        <v>207</v>
      </c>
      <c r="C44" s="318">
        <v>45992</v>
      </c>
      <c r="D44" s="39">
        <v>11</v>
      </c>
      <c r="E44" s="39">
        <v>5</v>
      </c>
      <c r="F44" s="39"/>
      <c r="G44" s="39"/>
      <c r="H44" s="8"/>
      <c r="I44" s="8"/>
      <c r="J44" s="38">
        <f t="shared" si="2"/>
        <v>16</v>
      </c>
    </row>
    <row r="45" spans="1:13" ht="15.75" thickBot="1" x14ac:dyDescent="0.3">
      <c r="A45" s="6" t="s">
        <v>246</v>
      </c>
      <c r="B45" s="6" t="s">
        <v>247</v>
      </c>
      <c r="C45" s="318">
        <v>45992</v>
      </c>
      <c r="D45" s="39">
        <v>25</v>
      </c>
      <c r="E45" s="39">
        <v>5</v>
      </c>
      <c r="F45" s="39"/>
      <c r="G45" s="39"/>
      <c r="H45" s="8"/>
      <c r="I45" s="8"/>
      <c r="J45" s="38">
        <f t="shared" si="2"/>
        <v>30</v>
      </c>
    </row>
    <row r="46" spans="1:13" ht="15.75" thickBot="1" x14ac:dyDescent="0.3">
      <c r="A46" s="6"/>
      <c r="B46" s="6"/>
      <c r="C46" s="7"/>
      <c r="D46" s="39"/>
      <c r="E46" s="39"/>
      <c r="F46" s="39"/>
      <c r="G46" s="39"/>
      <c r="H46" s="8"/>
      <c r="I46" s="8"/>
      <c r="J46" s="38">
        <f t="shared" si="2"/>
        <v>0</v>
      </c>
    </row>
    <row r="47" spans="1:13" ht="15.75" thickBot="1" x14ac:dyDescent="0.3">
      <c r="A47" s="4"/>
      <c r="B47" s="40"/>
      <c r="C47" s="7"/>
      <c r="D47" s="39"/>
      <c r="E47" s="39"/>
      <c r="F47" s="39"/>
      <c r="G47" s="39"/>
      <c r="H47" s="8"/>
      <c r="I47" s="8"/>
      <c r="J47" s="38">
        <f t="shared" si="2"/>
        <v>0</v>
      </c>
      <c r="L47" s="41" t="s">
        <v>16</v>
      </c>
      <c r="M47" s="42">
        <f>J48+J60</f>
        <v>3126.3</v>
      </c>
    </row>
    <row r="48" spans="1:13" ht="15.75" thickBot="1" x14ac:dyDescent="0.3">
      <c r="A48" s="4" t="s">
        <v>9</v>
      </c>
      <c r="B48" s="43"/>
      <c r="C48" s="44"/>
      <c r="D48" s="45"/>
      <c r="E48" s="45"/>
      <c r="F48" s="45"/>
      <c r="G48" s="45"/>
      <c r="H48" s="45"/>
      <c r="I48" s="45"/>
      <c r="J48" s="12">
        <f>SUM(J31:J47)</f>
        <v>2417.9</v>
      </c>
    </row>
    <row r="49" spans="1:13" ht="15.75" thickBot="1" x14ac:dyDescent="0.3">
      <c r="A49" s="28"/>
      <c r="B49" s="46"/>
      <c r="C49" s="47"/>
      <c r="D49" s="48"/>
      <c r="E49" s="48"/>
      <c r="F49" s="48"/>
      <c r="G49" s="48"/>
      <c r="H49" s="48"/>
      <c r="I49" s="48"/>
      <c r="J49" s="49"/>
    </row>
    <row r="50" spans="1:13" ht="24" thickBot="1" x14ac:dyDescent="0.4">
      <c r="A50" s="31" t="s">
        <v>12</v>
      </c>
      <c r="B50" s="28"/>
      <c r="C50" s="29"/>
      <c r="D50" s="30"/>
      <c r="E50" s="30"/>
      <c r="F50" s="30"/>
      <c r="G50" s="30"/>
      <c r="H50" s="30"/>
      <c r="I50" s="303"/>
      <c r="J50" s="30"/>
    </row>
    <row r="51" spans="1:13" ht="45.75" thickBot="1" x14ac:dyDescent="0.3">
      <c r="A51" s="50" t="s">
        <v>17</v>
      </c>
      <c r="B51" s="4" t="s">
        <v>18</v>
      </c>
      <c r="C51" s="33" t="s">
        <v>14</v>
      </c>
      <c r="D51" s="33" t="s">
        <v>3</v>
      </c>
      <c r="E51" s="33" t="s">
        <v>4</v>
      </c>
      <c r="F51" s="33" t="s">
        <v>19</v>
      </c>
      <c r="G51" s="33" t="s">
        <v>20</v>
      </c>
      <c r="H51" s="33" t="s">
        <v>15</v>
      </c>
      <c r="I51" s="304" t="s">
        <v>21</v>
      </c>
      <c r="J51" s="34" t="s">
        <v>9</v>
      </c>
    </row>
    <row r="52" spans="1:13" ht="15.75" thickBot="1" x14ac:dyDescent="0.3">
      <c r="A52" s="40" t="s">
        <v>218</v>
      </c>
      <c r="B52" s="192" t="s">
        <v>220</v>
      </c>
      <c r="C52" s="21">
        <v>45962</v>
      </c>
      <c r="D52" s="37">
        <v>24.6</v>
      </c>
      <c r="E52" s="37">
        <v>109.7</v>
      </c>
      <c r="F52" s="8"/>
      <c r="G52" s="8"/>
      <c r="H52" s="8"/>
      <c r="I52" s="8"/>
      <c r="J52" s="5">
        <f t="shared" ref="J52:J59" si="3">SUM(D52:I52)</f>
        <v>134.30000000000001</v>
      </c>
    </row>
    <row r="53" spans="1:13" ht="15.75" thickBot="1" x14ac:dyDescent="0.3">
      <c r="A53" s="591" t="s">
        <v>222</v>
      </c>
      <c r="B53" s="566" t="s">
        <v>223</v>
      </c>
      <c r="C53" s="21">
        <v>45992</v>
      </c>
      <c r="D53" s="35">
        <v>115.3</v>
      </c>
      <c r="E53" s="35">
        <v>117.5</v>
      </c>
      <c r="F53" s="35"/>
      <c r="G53" s="35"/>
      <c r="H53" s="37"/>
      <c r="I53" s="22"/>
      <c r="J53" s="5">
        <f t="shared" si="3"/>
        <v>232.8</v>
      </c>
    </row>
    <row r="54" spans="1:13" ht="15.75" thickBot="1" x14ac:dyDescent="0.3">
      <c r="A54" s="592"/>
      <c r="B54" s="567"/>
      <c r="C54" s="21">
        <v>46023</v>
      </c>
      <c r="D54" s="35"/>
      <c r="E54" s="35"/>
      <c r="F54" s="35">
        <v>60</v>
      </c>
      <c r="G54" s="35">
        <v>5</v>
      </c>
      <c r="H54" s="37"/>
      <c r="I54" s="22"/>
      <c r="J54" s="5">
        <f t="shared" si="3"/>
        <v>65</v>
      </c>
    </row>
    <row r="55" spans="1:13" ht="15.75" thickBot="1" x14ac:dyDescent="0.3">
      <c r="A55" s="591" t="s">
        <v>224</v>
      </c>
      <c r="B55" s="566" t="s">
        <v>225</v>
      </c>
      <c r="C55" s="21">
        <v>45992</v>
      </c>
      <c r="D55" s="35">
        <v>81.599999999999994</v>
      </c>
      <c r="E55" s="35">
        <v>119.2</v>
      </c>
      <c r="F55" s="35"/>
      <c r="G55" s="35"/>
      <c r="H55" s="37"/>
      <c r="I55" s="22"/>
      <c r="J55" s="5">
        <f t="shared" si="3"/>
        <v>200.8</v>
      </c>
    </row>
    <row r="56" spans="1:13" ht="15.75" thickBot="1" x14ac:dyDescent="0.3">
      <c r="A56" s="592"/>
      <c r="B56" s="567"/>
      <c r="C56" s="21">
        <v>46023</v>
      </c>
      <c r="D56" s="35"/>
      <c r="E56" s="35"/>
      <c r="F56" s="35">
        <v>60</v>
      </c>
      <c r="G56" s="35">
        <v>5</v>
      </c>
      <c r="H56" s="37"/>
      <c r="I56" s="22"/>
      <c r="J56" s="5">
        <f t="shared" si="3"/>
        <v>65</v>
      </c>
    </row>
    <row r="57" spans="1:13" ht="15.75" thickBot="1" x14ac:dyDescent="0.3">
      <c r="A57" s="6" t="s">
        <v>228</v>
      </c>
      <c r="B57" s="192" t="s">
        <v>230</v>
      </c>
      <c r="C57" s="21">
        <v>45992</v>
      </c>
      <c r="D57" s="35">
        <v>4.5</v>
      </c>
      <c r="E57" s="35">
        <v>6</v>
      </c>
      <c r="F57" s="35"/>
      <c r="G57" s="35"/>
      <c r="H57" s="37"/>
      <c r="I57" s="22"/>
      <c r="J57" s="5">
        <f t="shared" si="3"/>
        <v>10.5</v>
      </c>
    </row>
    <row r="58" spans="1:13" ht="15.75" thickBot="1" x14ac:dyDescent="0.3">
      <c r="A58" s="19"/>
      <c r="B58" s="192"/>
      <c r="C58" s="7"/>
      <c r="D58" s="39"/>
      <c r="E58" s="39"/>
      <c r="F58" s="39"/>
      <c r="G58" s="39"/>
      <c r="H58" s="8"/>
      <c r="I58" s="8"/>
      <c r="J58" s="5">
        <f t="shared" si="3"/>
        <v>0</v>
      </c>
    </row>
    <row r="59" spans="1:13" ht="15.75" thickBot="1" x14ac:dyDescent="0.3">
      <c r="A59" s="4"/>
      <c r="B59" s="40"/>
      <c r="C59" s="7"/>
      <c r="D59" s="39"/>
      <c r="E59" s="39"/>
      <c r="F59" s="39"/>
      <c r="G59" s="39"/>
      <c r="H59" s="8"/>
      <c r="I59" s="8"/>
      <c r="J59" s="5">
        <f t="shared" si="3"/>
        <v>0</v>
      </c>
      <c r="L59" s="53"/>
      <c r="M59" s="54"/>
    </row>
    <row r="60" spans="1:13" ht="15.75" thickBot="1" x14ac:dyDescent="0.3">
      <c r="A60" s="4" t="s">
        <v>9</v>
      </c>
      <c r="B60" s="43"/>
      <c r="C60" s="44"/>
      <c r="D60" s="45"/>
      <c r="E60" s="45"/>
      <c r="F60" s="45"/>
      <c r="G60" s="45"/>
      <c r="H60" s="45"/>
      <c r="I60" s="45"/>
      <c r="J60" s="12">
        <f>SUM(J52:J59)</f>
        <v>708.40000000000009</v>
      </c>
    </row>
    <row r="61" spans="1:13" x14ac:dyDescent="0.25">
      <c r="A61" s="28"/>
      <c r="B61" s="46"/>
      <c r="C61" s="47"/>
      <c r="D61" s="48"/>
      <c r="E61" s="48"/>
      <c r="F61" s="48"/>
      <c r="G61" s="48"/>
      <c r="H61" s="48"/>
      <c r="I61" s="48"/>
      <c r="J61" s="49"/>
    </row>
    <row r="62" spans="1:13" x14ac:dyDescent="0.25">
      <c r="A62" s="28"/>
      <c r="B62" s="46"/>
      <c r="C62" s="47"/>
      <c r="D62" s="48"/>
      <c r="E62" s="48"/>
      <c r="F62" s="48"/>
      <c r="G62" s="48"/>
      <c r="H62" s="48"/>
      <c r="I62" s="48"/>
      <c r="J62" s="49"/>
    </row>
    <row r="63" spans="1:13" ht="15.75" thickBot="1" x14ac:dyDescent="0.3">
      <c r="A63" s="2"/>
      <c r="B63" s="2"/>
      <c r="C63" s="2"/>
      <c r="J63" s="3"/>
    </row>
    <row r="64" spans="1:13" ht="45.75" thickBot="1" x14ac:dyDescent="0.3">
      <c r="A64" s="33" t="s">
        <v>22</v>
      </c>
      <c r="B64" s="4" t="s">
        <v>18</v>
      </c>
      <c r="C64" s="33" t="s">
        <v>14</v>
      </c>
      <c r="D64" s="33" t="s">
        <v>3</v>
      </c>
      <c r="E64" s="33" t="s">
        <v>4</v>
      </c>
      <c r="F64" s="33" t="s">
        <v>19</v>
      </c>
      <c r="G64" s="33" t="s">
        <v>20</v>
      </c>
      <c r="H64" s="4" t="s">
        <v>21</v>
      </c>
      <c r="I64" s="304" t="s">
        <v>180</v>
      </c>
      <c r="J64" s="34" t="s">
        <v>9</v>
      </c>
    </row>
    <row r="65" spans="1:10" ht="15.75" thickBot="1" x14ac:dyDescent="0.3">
      <c r="A65" s="564" t="s">
        <v>178</v>
      </c>
      <c r="B65" s="566" t="s">
        <v>179</v>
      </c>
      <c r="C65" s="21">
        <v>45870</v>
      </c>
      <c r="D65" s="37"/>
      <c r="E65" s="55"/>
      <c r="F65" s="37"/>
      <c r="G65" s="37"/>
      <c r="H65" s="37"/>
      <c r="I65" s="22">
        <v>15</v>
      </c>
      <c r="J65" s="38">
        <f>SUM(D65:I65)</f>
        <v>15</v>
      </c>
    </row>
    <row r="66" spans="1:10" ht="15.75" thickBot="1" x14ac:dyDescent="0.3">
      <c r="A66" s="565"/>
      <c r="B66" s="567"/>
      <c r="C66" s="21">
        <v>45992</v>
      </c>
      <c r="D66" s="37">
        <v>308.39999999999998</v>
      </c>
      <c r="E66" s="22">
        <v>68.7</v>
      </c>
      <c r="F66" s="37"/>
      <c r="G66" s="37"/>
      <c r="H66" s="37"/>
      <c r="I66" s="22"/>
      <c r="J66" s="38">
        <f t="shared" ref="J66:J88" si="4">SUM(D66:I66)</f>
        <v>377.09999999999997</v>
      </c>
    </row>
    <row r="67" spans="1:10" ht="15.75" thickBot="1" x14ac:dyDescent="0.3">
      <c r="A67" s="190" t="s">
        <v>208</v>
      </c>
      <c r="B67" s="21" t="s">
        <v>209</v>
      </c>
      <c r="C67" s="21">
        <v>45992</v>
      </c>
      <c r="D67" s="37"/>
      <c r="E67" s="22"/>
      <c r="F67" s="37">
        <v>60</v>
      </c>
      <c r="G67" s="37">
        <v>5</v>
      </c>
      <c r="H67" s="37"/>
      <c r="I67" s="22"/>
      <c r="J67" s="38">
        <f t="shared" si="4"/>
        <v>65</v>
      </c>
    </row>
    <row r="68" spans="1:10" ht="15.75" thickBot="1" x14ac:dyDescent="0.3">
      <c r="A68" s="40" t="s">
        <v>210</v>
      </c>
      <c r="B68" s="21" t="s">
        <v>211</v>
      </c>
      <c r="C68" s="21">
        <v>45901</v>
      </c>
      <c r="D68" s="37"/>
      <c r="E68" s="22"/>
      <c r="F68" s="37">
        <v>60</v>
      </c>
      <c r="G68" s="37">
        <v>5</v>
      </c>
      <c r="H68" s="37"/>
      <c r="I68" s="22"/>
      <c r="J68" s="38">
        <f t="shared" si="4"/>
        <v>65</v>
      </c>
    </row>
    <row r="69" spans="1:10" ht="15.75" thickBot="1" x14ac:dyDescent="0.3">
      <c r="A69" s="40" t="s">
        <v>212</v>
      </c>
      <c r="B69" s="21" t="s">
        <v>213</v>
      </c>
      <c r="C69" s="21">
        <v>45901</v>
      </c>
      <c r="D69" s="37"/>
      <c r="E69" s="22"/>
      <c r="F69" s="37">
        <v>60</v>
      </c>
      <c r="G69" s="37">
        <v>5</v>
      </c>
      <c r="H69" s="37"/>
      <c r="I69" s="22"/>
      <c r="J69" s="38">
        <f t="shared" si="4"/>
        <v>65</v>
      </c>
    </row>
    <row r="70" spans="1:10" ht="15.75" thickBot="1" x14ac:dyDescent="0.3">
      <c r="A70" s="190" t="s">
        <v>215</v>
      </c>
      <c r="B70" s="21" t="s">
        <v>214</v>
      </c>
      <c r="C70" s="21"/>
      <c r="D70" s="37"/>
      <c r="E70" s="22"/>
      <c r="F70" s="37"/>
      <c r="G70" s="37"/>
      <c r="H70" s="37"/>
      <c r="I70" s="22"/>
      <c r="J70" s="38">
        <f t="shared" si="4"/>
        <v>0</v>
      </c>
    </row>
    <row r="71" spans="1:10" ht="15.75" thickBot="1" x14ac:dyDescent="0.3">
      <c r="A71" s="564" t="s">
        <v>216</v>
      </c>
      <c r="B71" s="566" t="s">
        <v>217</v>
      </c>
      <c r="C71" s="21">
        <v>45962</v>
      </c>
      <c r="D71" s="37"/>
      <c r="E71" s="22"/>
      <c r="F71" s="37">
        <v>60</v>
      </c>
      <c r="G71" s="37">
        <v>5</v>
      </c>
      <c r="H71" s="37"/>
      <c r="I71" s="22"/>
      <c r="J71" s="38">
        <f t="shared" si="4"/>
        <v>65</v>
      </c>
    </row>
    <row r="72" spans="1:10" ht="15.75" thickBot="1" x14ac:dyDescent="0.3">
      <c r="A72" s="594"/>
      <c r="B72" s="597"/>
      <c r="C72" s="21">
        <v>45992</v>
      </c>
      <c r="D72" s="37"/>
      <c r="E72" s="22"/>
      <c r="F72" s="37">
        <v>60</v>
      </c>
      <c r="G72" s="37">
        <v>5</v>
      </c>
      <c r="H72" s="37"/>
      <c r="I72" s="22"/>
      <c r="J72" s="38">
        <f t="shared" si="4"/>
        <v>65</v>
      </c>
    </row>
    <row r="73" spans="1:10" ht="15.75" thickBot="1" x14ac:dyDescent="0.3">
      <c r="A73" s="565"/>
      <c r="B73" s="567"/>
      <c r="C73" s="21">
        <v>46023</v>
      </c>
      <c r="D73" s="37"/>
      <c r="E73" s="22"/>
      <c r="F73" s="37">
        <v>60</v>
      </c>
      <c r="G73" s="37">
        <v>5</v>
      </c>
      <c r="H73" s="37">
        <v>10</v>
      </c>
      <c r="I73" s="22"/>
      <c r="J73" s="38">
        <f t="shared" si="4"/>
        <v>75</v>
      </c>
    </row>
    <row r="74" spans="1:10" ht="15.75" thickBot="1" x14ac:dyDescent="0.3">
      <c r="A74" s="327" t="s">
        <v>218</v>
      </c>
      <c r="B74" s="192" t="s">
        <v>219</v>
      </c>
      <c r="C74" s="21">
        <v>46023</v>
      </c>
      <c r="D74" s="37"/>
      <c r="E74" s="22"/>
      <c r="F74" s="37"/>
      <c r="G74" s="37"/>
      <c r="H74" s="37">
        <v>10</v>
      </c>
      <c r="I74" s="22"/>
      <c r="J74" s="38">
        <f t="shared" si="4"/>
        <v>10</v>
      </c>
    </row>
    <row r="75" spans="1:10" ht="15.75" thickBot="1" x14ac:dyDescent="0.3">
      <c r="A75" s="564" t="s">
        <v>218</v>
      </c>
      <c r="B75" s="566" t="s">
        <v>221</v>
      </c>
      <c r="C75" s="21">
        <v>45962</v>
      </c>
      <c r="D75" s="37"/>
      <c r="E75" s="22">
        <v>0.4</v>
      </c>
      <c r="F75" s="37"/>
      <c r="G75" s="37"/>
      <c r="H75" s="37"/>
      <c r="I75" s="22"/>
      <c r="J75" s="38">
        <f t="shared" si="4"/>
        <v>0.4</v>
      </c>
    </row>
    <row r="76" spans="1:10" ht="15.75" thickBot="1" x14ac:dyDescent="0.3">
      <c r="A76" s="594"/>
      <c r="B76" s="597"/>
      <c r="C76" s="21">
        <v>45992</v>
      </c>
      <c r="D76" s="37">
        <v>23.6</v>
      </c>
      <c r="E76" s="22">
        <v>86</v>
      </c>
      <c r="F76" s="37">
        <v>60</v>
      </c>
      <c r="G76" s="37">
        <v>5</v>
      </c>
      <c r="H76" s="37"/>
      <c r="I76" s="22"/>
      <c r="J76" s="38">
        <f t="shared" si="4"/>
        <v>174.6</v>
      </c>
    </row>
    <row r="77" spans="1:10" ht="15" customHeight="1" thickBot="1" x14ac:dyDescent="0.3">
      <c r="A77" s="565"/>
      <c r="B77" s="567"/>
      <c r="C77" s="21">
        <v>46023</v>
      </c>
      <c r="D77" s="37"/>
      <c r="E77" s="22"/>
      <c r="F77" s="37">
        <v>60</v>
      </c>
      <c r="G77" s="37">
        <v>5</v>
      </c>
      <c r="H77" s="37"/>
      <c r="I77" s="22"/>
      <c r="J77" s="38">
        <f t="shared" si="4"/>
        <v>65</v>
      </c>
    </row>
    <row r="78" spans="1:10" ht="15" customHeight="1" thickBot="1" x14ac:dyDescent="0.3">
      <c r="A78" s="564" t="s">
        <v>226</v>
      </c>
      <c r="B78" s="566" t="s">
        <v>227</v>
      </c>
      <c r="C78" s="21">
        <v>45992</v>
      </c>
      <c r="D78" s="37">
        <v>393.6</v>
      </c>
      <c r="E78" s="22">
        <v>11.4</v>
      </c>
      <c r="F78" s="37">
        <v>20</v>
      </c>
      <c r="G78" s="37">
        <v>5</v>
      </c>
      <c r="H78" s="37"/>
      <c r="I78" s="22"/>
      <c r="J78" s="38">
        <f t="shared" si="4"/>
        <v>430</v>
      </c>
    </row>
    <row r="79" spans="1:10" ht="15" customHeight="1" thickBot="1" x14ac:dyDescent="0.3">
      <c r="A79" s="565"/>
      <c r="B79" s="567"/>
      <c r="C79" s="21">
        <v>46023</v>
      </c>
      <c r="D79" s="37"/>
      <c r="E79" s="22"/>
      <c r="F79" s="37">
        <v>20</v>
      </c>
      <c r="G79" s="37">
        <v>5</v>
      </c>
      <c r="H79" s="37">
        <v>10</v>
      </c>
      <c r="I79" s="22"/>
      <c r="J79" s="38">
        <f t="shared" si="4"/>
        <v>35</v>
      </c>
    </row>
    <row r="80" spans="1:10" ht="15" customHeight="1" thickBot="1" x14ac:dyDescent="0.3">
      <c r="A80" s="564" t="s">
        <v>228</v>
      </c>
      <c r="B80" s="566" t="s">
        <v>229</v>
      </c>
      <c r="C80" s="21">
        <v>45962</v>
      </c>
      <c r="D80" s="37">
        <v>12.4</v>
      </c>
      <c r="E80" s="22">
        <v>6</v>
      </c>
      <c r="F80" s="37"/>
      <c r="G80" s="37"/>
      <c r="H80" s="37"/>
      <c r="I80" s="22"/>
      <c r="J80" s="38">
        <f t="shared" si="4"/>
        <v>18.399999999999999</v>
      </c>
    </row>
    <row r="81" spans="1:10" ht="15.75" thickBot="1" x14ac:dyDescent="0.3">
      <c r="A81" s="565"/>
      <c r="B81" s="567"/>
      <c r="C81" s="21">
        <v>45992</v>
      </c>
      <c r="D81" s="37">
        <v>11.6</v>
      </c>
      <c r="E81" s="22"/>
      <c r="F81" s="37"/>
      <c r="G81" s="37"/>
      <c r="H81" s="37"/>
      <c r="I81" s="22"/>
      <c r="J81" s="38">
        <f t="shared" si="4"/>
        <v>11.6</v>
      </c>
    </row>
    <row r="82" spans="1:10" ht="15.75" thickBot="1" x14ac:dyDescent="0.3">
      <c r="A82" s="191" t="s">
        <v>231</v>
      </c>
      <c r="B82" s="193" t="s">
        <v>232</v>
      </c>
      <c r="C82" s="21">
        <v>46023</v>
      </c>
      <c r="D82" s="37"/>
      <c r="E82" s="328"/>
      <c r="F82" s="37">
        <v>60</v>
      </c>
      <c r="G82" s="37">
        <v>5</v>
      </c>
      <c r="H82" s="37">
        <v>10</v>
      </c>
      <c r="I82" s="22"/>
      <c r="J82" s="38">
        <f t="shared" si="4"/>
        <v>75</v>
      </c>
    </row>
    <row r="83" spans="1:10" ht="15.75" thickBot="1" x14ac:dyDescent="0.3">
      <c r="A83" s="564" t="s">
        <v>233</v>
      </c>
      <c r="B83" s="193" t="s">
        <v>234</v>
      </c>
      <c r="C83" s="21">
        <v>45992</v>
      </c>
      <c r="D83" s="37">
        <v>5</v>
      </c>
      <c r="E83" s="22">
        <v>6</v>
      </c>
      <c r="F83" s="37"/>
      <c r="G83" s="37"/>
      <c r="H83" s="37"/>
      <c r="I83" s="22"/>
      <c r="J83" s="38">
        <f t="shared" si="4"/>
        <v>11</v>
      </c>
    </row>
    <row r="84" spans="1:10" ht="15.75" thickBot="1" x14ac:dyDescent="0.3">
      <c r="A84" s="565"/>
      <c r="B84" s="193" t="s">
        <v>235</v>
      </c>
      <c r="C84" s="21">
        <v>46023</v>
      </c>
      <c r="D84" s="37"/>
      <c r="E84" s="329"/>
      <c r="F84" s="37">
        <v>60</v>
      </c>
      <c r="G84" s="37">
        <v>5</v>
      </c>
      <c r="H84" s="37">
        <v>10</v>
      </c>
      <c r="I84" s="22"/>
      <c r="J84" s="38">
        <f t="shared" si="4"/>
        <v>75</v>
      </c>
    </row>
    <row r="85" spans="1:10" ht="15.75" thickBot="1" x14ac:dyDescent="0.3">
      <c r="A85" s="564" t="s">
        <v>267</v>
      </c>
      <c r="B85" s="566" t="s">
        <v>268</v>
      </c>
      <c r="C85" s="21">
        <v>45962</v>
      </c>
      <c r="D85" s="37">
        <v>46.7</v>
      </c>
      <c r="E85" s="330">
        <v>6</v>
      </c>
      <c r="F85" s="37"/>
      <c r="G85" s="37"/>
      <c r="H85" s="37"/>
      <c r="I85" s="22"/>
      <c r="J85" s="38">
        <f t="shared" si="4"/>
        <v>52.7</v>
      </c>
    </row>
    <row r="86" spans="1:10" ht="15.75" thickBot="1" x14ac:dyDescent="0.3">
      <c r="A86" s="565"/>
      <c r="B86" s="567"/>
      <c r="C86" s="21">
        <v>45992</v>
      </c>
      <c r="D86" s="37">
        <v>47.4</v>
      </c>
      <c r="E86" s="55">
        <v>6</v>
      </c>
      <c r="F86" s="37"/>
      <c r="G86" s="37"/>
      <c r="H86" s="37"/>
      <c r="I86" s="22"/>
      <c r="J86" s="38">
        <f t="shared" si="4"/>
        <v>53.4</v>
      </c>
    </row>
    <row r="87" spans="1:10" ht="15.75" thickBot="1" x14ac:dyDescent="0.3">
      <c r="A87" s="40"/>
      <c r="B87" s="21"/>
      <c r="C87" s="21"/>
      <c r="D87" s="37"/>
      <c r="E87" s="37"/>
      <c r="F87" s="37"/>
      <c r="G87" s="37"/>
      <c r="H87" s="37"/>
      <c r="I87" s="22"/>
      <c r="J87" s="38">
        <f t="shared" si="4"/>
        <v>0</v>
      </c>
    </row>
    <row r="88" spans="1:10" ht="15.75" thickBot="1" x14ac:dyDescent="0.3">
      <c r="A88" s="40"/>
      <c r="B88" s="21"/>
      <c r="C88" s="21"/>
      <c r="D88" s="57"/>
      <c r="E88" s="57"/>
      <c r="F88" s="57"/>
      <c r="G88" s="57"/>
      <c r="H88" s="57"/>
      <c r="I88" s="305"/>
      <c r="J88" s="38">
        <f t="shared" si="4"/>
        <v>0</v>
      </c>
    </row>
    <row r="89" spans="1:10" ht="19.5" thickBot="1" x14ac:dyDescent="0.35">
      <c r="A89" s="23" t="s">
        <v>9</v>
      </c>
      <c r="B89" s="4"/>
      <c r="C89" s="24"/>
      <c r="D89" s="25">
        <f t="shared" ref="D89:J89" si="5">SUM(D65:D88)</f>
        <v>848.7</v>
      </c>
      <c r="E89" s="25">
        <f t="shared" si="5"/>
        <v>190.50000000000003</v>
      </c>
      <c r="F89" s="25">
        <f t="shared" si="5"/>
        <v>640</v>
      </c>
      <c r="G89" s="25">
        <f t="shared" si="5"/>
        <v>60</v>
      </c>
      <c r="H89" s="25">
        <f t="shared" si="5"/>
        <v>50</v>
      </c>
      <c r="I89" s="302">
        <f t="shared" si="5"/>
        <v>15</v>
      </c>
      <c r="J89" s="25">
        <f t="shared" si="5"/>
        <v>1804.2</v>
      </c>
    </row>
    <row r="90" spans="1:10" ht="15.75" x14ac:dyDescent="0.25">
      <c r="A90" s="58"/>
      <c r="B90" s="58"/>
      <c r="C90" s="59"/>
      <c r="D90" s="60"/>
      <c r="E90" s="60"/>
      <c r="F90" s="60"/>
      <c r="G90" s="60"/>
      <c r="H90" s="60"/>
      <c r="I90" s="306"/>
      <c r="J90" s="60"/>
    </row>
    <row r="91" spans="1:10" ht="16.5" thickBot="1" x14ac:dyDescent="0.3">
      <c r="A91" s="58"/>
      <c r="B91" s="58"/>
      <c r="C91" s="59"/>
      <c r="D91" s="60"/>
      <c r="E91" s="60"/>
      <c r="F91" s="60"/>
      <c r="G91" s="60"/>
      <c r="H91" s="60"/>
      <c r="I91" s="306"/>
      <c r="J91" s="60"/>
    </row>
    <row r="92" spans="1:10" ht="19.5" thickBot="1" x14ac:dyDescent="0.35">
      <c r="A92" s="554" t="s">
        <v>23</v>
      </c>
      <c r="B92" s="555"/>
      <c r="C92" s="61"/>
      <c r="D92" s="62"/>
      <c r="E92" s="62"/>
      <c r="F92" s="62"/>
      <c r="G92" s="62"/>
      <c r="H92" s="62"/>
      <c r="I92" s="307"/>
      <c r="J92" s="26">
        <f>+J27+J89</f>
        <v>3661.3</v>
      </c>
    </row>
    <row r="93" spans="1:10" x14ac:dyDescent="0.25">
      <c r="A93" s="2"/>
      <c r="B93" s="2"/>
      <c r="C93" s="63"/>
      <c r="D93" s="3"/>
      <c r="E93" s="3"/>
      <c r="F93" s="3"/>
      <c r="G93" s="3"/>
      <c r="H93" s="3"/>
      <c r="I93" s="308"/>
      <c r="J93" s="3"/>
    </row>
    <row r="94" spans="1:10" x14ac:dyDescent="0.25">
      <c r="A94" s="2"/>
      <c r="B94" s="2"/>
      <c r="C94" s="63"/>
      <c r="D94" s="3"/>
      <c r="E94" s="3"/>
      <c r="F94" s="3"/>
      <c r="G94" s="3"/>
      <c r="H94" s="3"/>
      <c r="I94" s="308"/>
      <c r="J94" s="3"/>
    </row>
    <row r="95" spans="1:10" ht="16.5" thickBot="1" x14ac:dyDescent="0.3">
      <c r="A95" s="64" t="s">
        <v>24</v>
      </c>
      <c r="B95" s="2"/>
      <c r="C95" s="63"/>
      <c r="D95" s="3"/>
      <c r="E95" s="3"/>
      <c r="F95" s="3"/>
      <c r="G95" s="3"/>
      <c r="H95" s="3"/>
      <c r="I95" s="308"/>
      <c r="J95" s="3"/>
    </row>
    <row r="96" spans="1:10" ht="19.5" thickBot="1" x14ac:dyDescent="0.35">
      <c r="A96" s="65" t="s">
        <v>25</v>
      </c>
      <c r="B96" s="66"/>
      <c r="C96" s="67"/>
      <c r="D96" s="68"/>
      <c r="E96" s="68"/>
      <c r="F96" s="68"/>
      <c r="G96" s="68"/>
      <c r="H96" s="68"/>
      <c r="I96" s="309"/>
      <c r="J96" s="26"/>
    </row>
    <row r="97" spans="1:10" ht="19.5" thickBot="1" x14ac:dyDescent="0.35">
      <c r="A97" s="65" t="s">
        <v>26</v>
      </c>
      <c r="B97" s="66"/>
      <c r="C97" s="69"/>
      <c r="D97" s="68"/>
      <c r="E97" s="68"/>
      <c r="F97" s="68"/>
      <c r="G97" s="68"/>
      <c r="H97" s="68"/>
      <c r="I97" s="309"/>
      <c r="J97" s="26"/>
    </row>
    <row r="98" spans="1:10" ht="18.75" x14ac:dyDescent="0.3">
      <c r="A98" s="70"/>
      <c r="B98" s="70"/>
      <c r="C98" s="71"/>
      <c r="D98" s="72"/>
      <c r="E98" s="72"/>
      <c r="F98" s="72"/>
      <c r="G98" s="72"/>
      <c r="H98" s="72"/>
      <c r="I98" s="310"/>
      <c r="J98" s="30"/>
    </row>
    <row r="99" spans="1:10" ht="18.75" x14ac:dyDescent="0.3">
      <c r="A99" s="70"/>
      <c r="B99" s="70"/>
      <c r="C99" s="71"/>
      <c r="D99" s="72"/>
      <c r="E99" s="72"/>
      <c r="F99" s="72"/>
      <c r="G99" s="72"/>
      <c r="H99" s="72"/>
      <c r="I99" s="310"/>
      <c r="J99" s="30"/>
    </row>
    <row r="100" spans="1:10" ht="16.5" thickBot="1" x14ac:dyDescent="0.3">
      <c r="A100" s="73" t="s">
        <v>27</v>
      </c>
      <c r="B100" s="74"/>
      <c r="C100" s="63"/>
      <c r="D100" s="3"/>
      <c r="E100" s="3"/>
      <c r="F100" s="3"/>
      <c r="G100" s="3"/>
      <c r="H100" s="3"/>
      <c r="I100" s="308"/>
      <c r="J100" s="3"/>
    </row>
    <row r="101" spans="1:10" ht="19.5" thickBot="1" x14ac:dyDescent="0.35">
      <c r="A101" s="75" t="s">
        <v>28</v>
      </c>
      <c r="B101" s="76"/>
      <c r="C101" s="77"/>
      <c r="D101" s="78"/>
      <c r="E101" s="78"/>
      <c r="F101" s="78"/>
      <c r="G101" s="78"/>
      <c r="H101" s="78"/>
      <c r="I101" s="311"/>
      <c r="J101" s="79">
        <v>474</v>
      </c>
    </row>
    <row r="102" spans="1:10" x14ac:dyDescent="0.25">
      <c r="A102" s="80"/>
      <c r="B102" s="2"/>
      <c r="C102" s="63"/>
      <c r="D102" s="3"/>
      <c r="E102" s="3"/>
      <c r="F102" s="3"/>
      <c r="G102" s="3"/>
      <c r="H102" s="3"/>
      <c r="I102" s="308"/>
      <c r="J102" s="3"/>
    </row>
    <row r="103" spans="1:10" ht="16.5" thickBot="1" x14ac:dyDescent="0.3">
      <c r="A103" s="73"/>
      <c r="B103" s="74"/>
      <c r="C103" s="63"/>
      <c r="D103" s="3"/>
      <c r="E103" s="3"/>
      <c r="F103" s="3"/>
      <c r="G103" s="3"/>
      <c r="H103" s="3"/>
      <c r="I103" s="308"/>
      <c r="J103" s="3"/>
    </row>
    <row r="104" spans="1:10" ht="19.5" thickBot="1" x14ac:dyDescent="0.35">
      <c r="A104" s="75" t="s">
        <v>29</v>
      </c>
      <c r="B104" s="76"/>
      <c r="C104" s="81"/>
      <c r="D104" s="78"/>
      <c r="E104" s="78"/>
      <c r="F104" s="78"/>
      <c r="G104" s="78"/>
      <c r="H104" s="78"/>
      <c r="I104" s="311"/>
      <c r="J104" s="82"/>
    </row>
    <row r="105" spans="1:10" ht="15.75" thickBot="1" x14ac:dyDescent="0.3">
      <c r="A105" s="80"/>
      <c r="B105" s="2"/>
      <c r="C105" s="63"/>
      <c r="D105" s="3"/>
      <c r="E105" s="3"/>
      <c r="F105" s="3"/>
      <c r="G105" s="3"/>
      <c r="H105" s="3"/>
      <c r="I105" s="308"/>
      <c r="J105" s="3"/>
    </row>
    <row r="106" spans="1:10" ht="21.75" thickBot="1" x14ac:dyDescent="0.4">
      <c r="A106" s="556" t="s">
        <v>30</v>
      </c>
      <c r="B106" s="557"/>
      <c r="C106" s="83"/>
      <c r="D106" s="84"/>
      <c r="E106" s="84"/>
      <c r="F106" s="84"/>
      <c r="G106" s="84"/>
      <c r="H106" s="84"/>
      <c r="I106" s="312"/>
      <c r="J106" s="85">
        <f>SUM(J92:J105)</f>
        <v>4135.3</v>
      </c>
    </row>
    <row r="107" spans="1:10" x14ac:dyDescent="0.25">
      <c r="A107" s="2"/>
      <c r="B107" s="2"/>
      <c r="C107" s="63"/>
      <c r="D107" s="3"/>
      <c r="E107" s="3"/>
      <c r="F107" s="3"/>
      <c r="G107" s="3"/>
      <c r="H107" s="3"/>
      <c r="I107" s="308"/>
      <c r="J107" s="3"/>
    </row>
    <row r="108" spans="1:10" ht="21" x14ac:dyDescent="0.35">
      <c r="A108" s="553" t="s">
        <v>177</v>
      </c>
      <c r="B108" s="553"/>
      <c r="C108" s="553"/>
      <c r="D108" s="553"/>
      <c r="E108" s="553"/>
      <c r="F108" s="553"/>
      <c r="G108" s="553"/>
      <c r="H108" s="553"/>
      <c r="I108" s="553"/>
      <c r="J108" s="553"/>
    </row>
    <row r="109" spans="1:10" ht="21.75" thickBot="1" x14ac:dyDescent="0.4">
      <c r="A109" s="189" t="s">
        <v>31</v>
      </c>
      <c r="B109" s="189"/>
      <c r="C109" s="189"/>
      <c r="D109" s="189"/>
      <c r="E109" s="189"/>
      <c r="F109" s="189"/>
      <c r="G109" s="189"/>
      <c r="H109" s="189"/>
      <c r="I109" s="313"/>
      <c r="J109" s="87"/>
    </row>
    <row r="110" spans="1:10" ht="15.75" thickBot="1" x14ac:dyDescent="0.3">
      <c r="A110" s="88" t="s">
        <v>32</v>
      </c>
      <c r="B110" s="89" t="s">
        <v>33</v>
      </c>
      <c r="C110" s="558" t="s">
        <v>2</v>
      </c>
      <c r="D110" s="559"/>
      <c r="E110" s="559"/>
      <c r="F110" s="559"/>
      <c r="G110" s="559"/>
      <c r="H110" s="559"/>
      <c r="I110" s="560"/>
      <c r="J110" s="90" t="s">
        <v>9</v>
      </c>
    </row>
    <row r="111" spans="1:10" ht="15.75" thickBot="1" x14ac:dyDescent="0.3">
      <c r="A111" s="91" t="s">
        <v>181</v>
      </c>
      <c r="B111" s="92" t="s">
        <v>182</v>
      </c>
      <c r="C111" s="550" t="s">
        <v>183</v>
      </c>
      <c r="D111" s="551"/>
      <c r="E111" s="551"/>
      <c r="F111" s="551"/>
      <c r="G111" s="551"/>
      <c r="H111" s="551"/>
      <c r="I111" s="551"/>
      <c r="J111" s="22">
        <v>150</v>
      </c>
    </row>
    <row r="112" spans="1:10" ht="15.75" thickBot="1" x14ac:dyDescent="0.3">
      <c r="A112" s="40" t="s">
        <v>257</v>
      </c>
      <c r="B112" s="92" t="s">
        <v>258</v>
      </c>
      <c r="C112" s="550" t="s">
        <v>259</v>
      </c>
      <c r="D112" s="551"/>
      <c r="E112" s="551"/>
      <c r="F112" s="551"/>
      <c r="G112" s="551"/>
      <c r="H112" s="551"/>
      <c r="I112" s="551"/>
      <c r="J112" s="22">
        <v>250</v>
      </c>
    </row>
    <row r="113" spans="1:10" ht="40.5" customHeight="1" thickBot="1" x14ac:dyDescent="0.3">
      <c r="A113" s="40" t="s">
        <v>260</v>
      </c>
      <c r="B113" s="92" t="s">
        <v>261</v>
      </c>
      <c r="C113" s="561" t="s">
        <v>262</v>
      </c>
      <c r="D113" s="562"/>
      <c r="E113" s="562"/>
      <c r="F113" s="562"/>
      <c r="G113" s="562"/>
      <c r="H113" s="562"/>
      <c r="I113" s="562"/>
      <c r="J113" s="93">
        <v>230</v>
      </c>
    </row>
    <row r="114" spans="1:10" ht="15.75" thickBot="1" x14ac:dyDescent="0.3">
      <c r="A114" s="40" t="s">
        <v>263</v>
      </c>
      <c r="B114" s="92" t="s">
        <v>264</v>
      </c>
      <c r="C114" s="550" t="s">
        <v>265</v>
      </c>
      <c r="D114" s="551"/>
      <c r="E114" s="551"/>
      <c r="F114" s="551"/>
      <c r="G114" s="551"/>
      <c r="H114" s="552"/>
      <c r="I114" s="552"/>
      <c r="J114" s="22">
        <v>750</v>
      </c>
    </row>
    <row r="115" spans="1:10" ht="15.75" thickBot="1" x14ac:dyDescent="0.3">
      <c r="A115" s="40" t="s">
        <v>210</v>
      </c>
      <c r="B115" s="92">
        <v>8509</v>
      </c>
      <c r="C115" s="550" t="s">
        <v>266</v>
      </c>
      <c r="D115" s="551"/>
      <c r="E115" s="551"/>
      <c r="F115" s="551"/>
      <c r="G115" s="551"/>
      <c r="H115" s="552"/>
      <c r="I115" s="552"/>
      <c r="J115" s="22">
        <v>15</v>
      </c>
    </row>
    <row r="116" spans="1:10" ht="15.75" thickBot="1" x14ac:dyDescent="0.3">
      <c r="A116" s="40"/>
      <c r="B116" s="92"/>
      <c r="C116" s="550"/>
      <c r="D116" s="551"/>
      <c r="E116" s="551"/>
      <c r="F116" s="551"/>
      <c r="G116" s="551"/>
      <c r="H116" s="552"/>
      <c r="I116" s="552"/>
      <c r="J116" s="22"/>
    </row>
    <row r="117" spans="1:10" ht="15.75" thickBot="1" x14ac:dyDescent="0.3">
      <c r="A117" s="40"/>
      <c r="B117" s="92"/>
      <c r="C117" s="550"/>
      <c r="D117" s="551"/>
      <c r="E117" s="551"/>
      <c r="F117" s="551"/>
      <c r="G117" s="551"/>
      <c r="H117" s="552"/>
      <c r="I117" s="552"/>
      <c r="J117" s="22"/>
    </row>
    <row r="118" spans="1:10" ht="15.75" thickBot="1" x14ac:dyDescent="0.3">
      <c r="A118" s="40"/>
      <c r="B118" s="92"/>
      <c r="C118" s="550"/>
      <c r="D118" s="551"/>
      <c r="E118" s="551"/>
      <c r="F118" s="551"/>
      <c r="G118" s="551"/>
      <c r="H118" s="552"/>
      <c r="I118" s="552"/>
      <c r="J118" s="22"/>
    </row>
    <row r="119" spans="1:10" ht="15.75" thickBot="1" x14ac:dyDescent="0.3">
      <c r="A119" s="40"/>
      <c r="B119" s="92"/>
      <c r="C119" s="550"/>
      <c r="D119" s="551"/>
      <c r="E119" s="551"/>
      <c r="F119" s="551"/>
      <c r="G119" s="551"/>
      <c r="H119" s="552"/>
      <c r="I119" s="552"/>
      <c r="J119" s="37"/>
    </row>
    <row r="120" spans="1:10" ht="15.75" thickBot="1" x14ac:dyDescent="0.3">
      <c r="A120" s="40"/>
      <c r="B120" s="92"/>
      <c r="C120" s="550"/>
      <c r="D120" s="551"/>
      <c r="E120" s="551"/>
      <c r="F120" s="551"/>
      <c r="G120" s="551"/>
      <c r="H120" s="552"/>
      <c r="I120" s="552"/>
      <c r="J120" s="37"/>
    </row>
    <row r="121" spans="1:10" ht="15.75" thickBot="1" x14ac:dyDescent="0.3">
      <c r="A121" s="40"/>
      <c r="B121" s="92"/>
      <c r="C121" s="550"/>
      <c r="D121" s="551"/>
      <c r="E121" s="551"/>
      <c r="F121" s="551"/>
      <c r="G121" s="551"/>
      <c r="H121" s="552"/>
      <c r="I121" s="552"/>
      <c r="J121" s="37"/>
    </row>
    <row r="122" spans="1:10" ht="15.75" thickBot="1" x14ac:dyDescent="0.3">
      <c r="A122" s="40"/>
      <c r="B122" s="92"/>
      <c r="C122" s="550"/>
      <c r="D122" s="551"/>
      <c r="E122" s="551"/>
      <c r="F122" s="551"/>
      <c r="G122" s="551"/>
      <c r="H122" s="552"/>
      <c r="I122" s="552"/>
      <c r="J122" s="37"/>
    </row>
    <row r="123" spans="1:10" ht="15.75" thickBot="1" x14ac:dyDescent="0.3">
      <c r="A123" s="40"/>
      <c r="B123" s="92"/>
      <c r="C123" s="550"/>
      <c r="D123" s="551"/>
      <c r="E123" s="551"/>
      <c r="F123" s="551"/>
      <c r="G123" s="551"/>
      <c r="H123" s="552"/>
      <c r="I123" s="552"/>
      <c r="J123" s="37"/>
    </row>
    <row r="124" spans="1:10" ht="19.5" thickBot="1" x14ac:dyDescent="0.35">
      <c r="A124" s="94" t="s">
        <v>34</v>
      </c>
      <c r="B124" s="554"/>
      <c r="C124" s="563"/>
      <c r="D124" s="563"/>
      <c r="E124" s="563"/>
      <c r="F124" s="563"/>
      <c r="G124" s="563"/>
      <c r="H124" s="563"/>
      <c r="I124" s="563"/>
      <c r="J124" s="95">
        <f>SUM(J111:J123)</f>
        <v>1395</v>
      </c>
    </row>
    <row r="125" spans="1:10" ht="18.75" x14ac:dyDescent="0.3">
      <c r="A125" s="27"/>
      <c r="B125" s="27"/>
      <c r="C125" s="96"/>
      <c r="D125" s="96"/>
      <c r="E125" s="96"/>
      <c r="F125" s="97"/>
      <c r="G125" s="96"/>
      <c r="H125" s="96"/>
      <c r="I125" s="314"/>
      <c r="J125" s="30"/>
    </row>
    <row r="126" spans="1:10" ht="18.75" x14ac:dyDescent="0.3">
      <c r="A126" s="27"/>
      <c r="B126" s="27"/>
      <c r="C126" s="96"/>
      <c r="D126" s="96"/>
      <c r="E126" s="96"/>
      <c r="F126" s="97"/>
      <c r="G126" s="96"/>
      <c r="H126" s="96"/>
      <c r="I126" s="314"/>
      <c r="J126" s="30"/>
    </row>
    <row r="127" spans="1:10" ht="18.75" x14ac:dyDescent="0.3">
      <c r="A127" s="58" t="s">
        <v>35</v>
      </c>
      <c r="B127" s="27"/>
      <c r="C127" s="2"/>
      <c r="D127" s="3"/>
      <c r="F127" s="3"/>
      <c r="J127" s="3"/>
    </row>
    <row r="128" spans="1:10" x14ac:dyDescent="0.25">
      <c r="A128" s="2" t="s">
        <v>36</v>
      </c>
      <c r="B128" s="63">
        <f>+J106</f>
        <v>4135.3</v>
      </c>
      <c r="C128" s="98"/>
      <c r="D128" s="3"/>
      <c r="F128" s="3"/>
      <c r="J128" s="3"/>
    </row>
    <row r="129" spans="1:10" ht="15.75" thickBot="1" x14ac:dyDescent="0.3">
      <c r="A129" s="2" t="s">
        <v>34</v>
      </c>
      <c r="B129" s="99">
        <f>+J124</f>
        <v>1395</v>
      </c>
      <c r="C129" s="100"/>
      <c r="D129" s="3"/>
      <c r="F129" s="3"/>
      <c r="G129" s="101"/>
      <c r="H129" s="101"/>
      <c r="I129" s="315"/>
      <c r="J129" s="102"/>
    </row>
    <row r="130" spans="1:10" ht="17.25" thickTop="1" thickBot="1" x14ac:dyDescent="0.3">
      <c r="A130" s="58" t="s">
        <v>37</v>
      </c>
      <c r="B130" s="103">
        <f>++B128-B129</f>
        <v>2740.3</v>
      </c>
      <c r="C130" s="104"/>
      <c r="D130" s="105"/>
      <c r="E130" s="106"/>
      <c r="F130" s="105"/>
      <c r="G130" s="107"/>
      <c r="H130" s="107"/>
      <c r="I130" s="308"/>
    </row>
    <row r="131" spans="1:10" ht="15.75" thickTop="1" x14ac:dyDescent="0.25"/>
  </sheetData>
  <mergeCells count="42">
    <mergeCell ref="C114:I114"/>
    <mergeCell ref="C115:I115"/>
    <mergeCell ref="C116:I116"/>
    <mergeCell ref="C117:I117"/>
    <mergeCell ref="A1:J1"/>
    <mergeCell ref="A92:B92"/>
    <mergeCell ref="A106:B106"/>
    <mergeCell ref="A108:J108"/>
    <mergeCell ref="C110:I110"/>
    <mergeCell ref="C111:I111"/>
    <mergeCell ref="A75:A77"/>
    <mergeCell ref="B53:B54"/>
    <mergeCell ref="A53:A54"/>
    <mergeCell ref="B85:B86"/>
    <mergeCell ref="A85:A86"/>
    <mergeCell ref="B55:B56"/>
    <mergeCell ref="B124:I124"/>
    <mergeCell ref="B65:B66"/>
    <mergeCell ref="A65:A66"/>
    <mergeCell ref="A33:A34"/>
    <mergeCell ref="B33:B34"/>
    <mergeCell ref="B71:B73"/>
    <mergeCell ref="A71:A73"/>
    <mergeCell ref="B75:B77"/>
    <mergeCell ref="C118:I118"/>
    <mergeCell ref="C119:I119"/>
    <mergeCell ref="C120:I120"/>
    <mergeCell ref="C121:I121"/>
    <mergeCell ref="C122:I122"/>
    <mergeCell ref="C123:I123"/>
    <mergeCell ref="C112:I112"/>
    <mergeCell ref="C113:I113"/>
    <mergeCell ref="A83:A84"/>
    <mergeCell ref="B19:B20"/>
    <mergeCell ref="A19:A20"/>
    <mergeCell ref="B22:B24"/>
    <mergeCell ref="A22:A24"/>
    <mergeCell ref="A55:A56"/>
    <mergeCell ref="B78:B79"/>
    <mergeCell ref="A78:A79"/>
    <mergeCell ref="B80:B81"/>
    <mergeCell ref="A80:A81"/>
  </mergeCells>
  <phoneticPr fontId="13" type="noConversion"/>
  <pageMargins left="0.12" right="0.12" top="0.12" bottom="0.12" header="0.12" footer="0.12"/>
  <pageSetup paperSize="9" scale="3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D13E-1058-4640-AF50-F026C623C564}">
  <sheetPr>
    <pageSetUpPr fitToPage="1"/>
  </sheetPr>
  <dimension ref="A1:M107"/>
  <sheetViews>
    <sheetView topLeftCell="A17" workbookViewId="0">
      <selection activeCell="H34" sqref="H34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6" max="6" width="13" bestFit="1" customWidth="1"/>
    <col min="10" max="10" width="14" bestFit="1" customWidth="1"/>
  </cols>
  <sheetData>
    <row r="1" spans="1:10" ht="21" x14ac:dyDescent="0.35">
      <c r="A1" s="553" t="s">
        <v>270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10</v>
      </c>
      <c r="B4" s="6" t="s">
        <v>274</v>
      </c>
      <c r="C4" s="7">
        <v>46054</v>
      </c>
      <c r="D4" s="8"/>
      <c r="E4" s="8"/>
      <c r="F4" s="8"/>
      <c r="G4" s="8"/>
      <c r="H4" s="8"/>
      <c r="I4" s="8">
        <v>10</v>
      </c>
      <c r="J4" s="5">
        <f>SUM(D4:I4)</f>
        <v>10</v>
      </c>
    </row>
    <row r="5" spans="1:10" ht="15.75" thickBot="1" x14ac:dyDescent="0.3">
      <c r="A5" s="6" t="s">
        <v>244</v>
      </c>
      <c r="B5" s="6" t="s">
        <v>275</v>
      </c>
      <c r="C5" s="7">
        <v>46023</v>
      </c>
      <c r="D5" s="8"/>
      <c r="E5" s="8"/>
      <c r="F5" s="8">
        <v>600</v>
      </c>
      <c r="G5" s="8"/>
      <c r="H5" s="8"/>
      <c r="I5" s="8"/>
      <c r="J5" s="5">
        <f t="shared" ref="J5:J22" si="0">SUM(D5:I5)</f>
        <v>600</v>
      </c>
    </row>
    <row r="6" spans="1:10" ht="15.75" thickBot="1" x14ac:dyDescent="0.3">
      <c r="A6" s="6" t="s">
        <v>288</v>
      </c>
      <c r="B6" s="6" t="s">
        <v>289</v>
      </c>
      <c r="C6" s="7">
        <v>46023</v>
      </c>
      <c r="D6" s="8"/>
      <c r="E6" s="8"/>
      <c r="F6" s="8">
        <v>350</v>
      </c>
      <c r="G6" s="8"/>
      <c r="H6" s="8"/>
      <c r="I6" s="8"/>
      <c r="J6" s="5">
        <f t="shared" si="0"/>
        <v>350</v>
      </c>
    </row>
    <row r="7" spans="1:10" ht="15.75" thickBot="1" x14ac:dyDescent="0.3">
      <c r="A7" s="6" t="s">
        <v>7</v>
      </c>
      <c r="B7" s="6" t="s">
        <v>297</v>
      </c>
      <c r="C7" s="7">
        <v>46054</v>
      </c>
      <c r="D7" s="8"/>
      <c r="E7" s="8"/>
      <c r="F7" s="8"/>
      <c r="G7" s="8"/>
      <c r="H7" s="8">
        <v>51</v>
      </c>
      <c r="I7" s="8"/>
      <c r="J7" s="5">
        <f t="shared" si="0"/>
        <v>51</v>
      </c>
    </row>
    <row r="8" spans="1:10" ht="15.75" thickBot="1" x14ac:dyDescent="0.3">
      <c r="A8" s="6" t="s">
        <v>204</v>
      </c>
      <c r="B8" s="6" t="s">
        <v>278</v>
      </c>
      <c r="C8" s="7">
        <v>46023</v>
      </c>
      <c r="D8" s="8"/>
      <c r="E8" s="8"/>
      <c r="F8" s="8">
        <v>150</v>
      </c>
      <c r="G8" s="8"/>
      <c r="H8" s="8"/>
      <c r="I8" s="8"/>
      <c r="J8" s="5">
        <f t="shared" si="0"/>
        <v>150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6" t="s">
        <v>294</v>
      </c>
      <c r="B11" s="6" t="s">
        <v>295</v>
      </c>
      <c r="C11" s="21">
        <v>45992</v>
      </c>
      <c r="D11" s="8">
        <v>10</v>
      </c>
      <c r="E11" s="8">
        <v>5</v>
      </c>
      <c r="F11" s="8"/>
      <c r="G11" s="8"/>
      <c r="H11" s="8"/>
      <c r="I11" s="8"/>
      <c r="J11" s="5">
        <f t="shared" si="0"/>
        <v>15</v>
      </c>
    </row>
    <row r="12" spans="1:10" ht="15.75" thickBot="1" x14ac:dyDescent="0.3">
      <c r="A12" s="9"/>
      <c r="B12" s="6"/>
      <c r="C12" s="7"/>
      <c r="D12" s="8"/>
      <c r="E12" s="8"/>
      <c r="F12" s="8"/>
      <c r="G12" s="8"/>
      <c r="H12" s="8"/>
      <c r="I12" s="8"/>
      <c r="J12" s="5">
        <f t="shared" si="0"/>
        <v>0</v>
      </c>
    </row>
    <row r="13" spans="1:10" ht="15.75" thickBot="1" x14ac:dyDescent="0.3">
      <c r="A13" s="9"/>
      <c r="B13" s="334"/>
      <c r="C13" s="7"/>
      <c r="D13" s="8"/>
      <c r="E13" s="8"/>
      <c r="F13" s="8"/>
      <c r="G13" s="8"/>
      <c r="H13" s="8"/>
      <c r="I13" s="11"/>
      <c r="J13" s="12">
        <f t="shared" si="0"/>
        <v>0</v>
      </c>
    </row>
    <row r="14" spans="1:10" ht="15.75" thickBot="1" x14ac:dyDescent="0.3">
      <c r="A14" s="6"/>
      <c r="B14" s="6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3"/>
      <c r="B15" s="335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15"/>
      <c r="B16" s="13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332"/>
      <c r="B17" s="332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332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7"/>
      <c r="B19" s="332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18"/>
      <c r="B20" s="332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336"/>
      <c r="B21" s="336"/>
      <c r="C21" s="7"/>
      <c r="D21" s="8"/>
      <c r="E21" s="8"/>
      <c r="F21" s="8"/>
      <c r="G21" s="8"/>
      <c r="H21" s="8"/>
      <c r="I21" s="8"/>
      <c r="J21" s="5">
        <f t="shared" si="0"/>
        <v>0</v>
      </c>
    </row>
    <row r="22" spans="1:13" ht="15.75" thickBot="1" x14ac:dyDescent="0.3">
      <c r="A22" s="332"/>
      <c r="B22" s="333"/>
      <c r="C22" s="21"/>
      <c r="D22" s="22"/>
      <c r="E22" s="22"/>
      <c r="F22" s="22"/>
      <c r="G22" s="22"/>
      <c r="H22" s="22"/>
      <c r="I22" s="22"/>
      <c r="J22" s="5">
        <f t="shared" si="0"/>
        <v>0</v>
      </c>
    </row>
    <row r="23" spans="1:13" ht="19.5" thickBot="1" x14ac:dyDescent="0.35">
      <c r="A23" s="23" t="s">
        <v>9</v>
      </c>
      <c r="B23" s="4"/>
      <c r="C23" s="24"/>
      <c r="D23" s="25">
        <f t="shared" ref="D23:I23" si="1">SUM(D4:D22)</f>
        <v>10</v>
      </c>
      <c r="E23" s="25">
        <f t="shared" si="1"/>
        <v>5</v>
      </c>
      <c r="F23" s="25">
        <f t="shared" si="1"/>
        <v>1100</v>
      </c>
      <c r="G23" s="25">
        <f t="shared" si="1"/>
        <v>0</v>
      </c>
      <c r="H23" s="25">
        <f t="shared" si="1"/>
        <v>51</v>
      </c>
      <c r="I23" s="25">
        <f t="shared" si="1"/>
        <v>10</v>
      </c>
      <c r="J23" s="26">
        <f>SUM(J4:J22)</f>
        <v>1176</v>
      </c>
    </row>
    <row r="24" spans="1:13" ht="19.5" thickBot="1" x14ac:dyDescent="0.35">
      <c r="A24" s="27"/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24" thickBot="1" x14ac:dyDescent="0.4">
      <c r="A25" s="31" t="s">
        <v>12</v>
      </c>
      <c r="B25" s="28"/>
      <c r="C25" s="29"/>
      <c r="D25" s="30"/>
      <c r="E25" s="30"/>
      <c r="F25" s="30"/>
      <c r="G25" s="30"/>
      <c r="H25" s="30"/>
      <c r="I25" s="30"/>
      <c r="J25" s="30"/>
    </row>
    <row r="26" spans="1:13" ht="45.75" thickBot="1" x14ac:dyDescent="0.3">
      <c r="A26" s="32" t="s">
        <v>13</v>
      </c>
      <c r="B26" s="4" t="s">
        <v>1</v>
      </c>
      <c r="C26" s="33" t="s">
        <v>14</v>
      </c>
      <c r="D26" s="33" t="s">
        <v>3</v>
      </c>
      <c r="E26" s="33" t="s">
        <v>4</v>
      </c>
      <c r="F26" s="4" t="s">
        <v>5</v>
      </c>
      <c r="G26" s="4" t="s">
        <v>180</v>
      </c>
      <c r="H26" s="4" t="s">
        <v>15</v>
      </c>
      <c r="I26" s="4" t="s">
        <v>8</v>
      </c>
      <c r="J26" s="34" t="s">
        <v>9</v>
      </c>
    </row>
    <row r="27" spans="1:13" ht="15.75" thickBot="1" x14ac:dyDescent="0.3">
      <c r="A27" s="595" t="s">
        <v>244</v>
      </c>
      <c r="B27" s="591" t="s">
        <v>296</v>
      </c>
      <c r="C27" s="21">
        <v>45870</v>
      </c>
      <c r="D27" s="35"/>
      <c r="E27" s="36"/>
      <c r="F27" s="35"/>
      <c r="G27" s="35">
        <v>15</v>
      </c>
      <c r="H27" s="37"/>
      <c r="I27" s="37"/>
      <c r="J27" s="38">
        <f>SUM(D27:I27)</f>
        <v>15</v>
      </c>
    </row>
    <row r="28" spans="1:13" ht="15.75" thickBot="1" x14ac:dyDescent="0.3">
      <c r="A28" s="596"/>
      <c r="B28" s="592"/>
      <c r="C28" s="21">
        <v>45992</v>
      </c>
      <c r="D28" s="35"/>
      <c r="E28" s="36">
        <v>21.1</v>
      </c>
      <c r="F28" s="35"/>
      <c r="G28" s="35"/>
      <c r="H28" s="37"/>
      <c r="I28" s="37"/>
      <c r="J28" s="38">
        <f t="shared" ref="J28:J30" si="2">SUM(D28:I28)</f>
        <v>21.1</v>
      </c>
    </row>
    <row r="29" spans="1:13" ht="15.75" thickBot="1" x14ac:dyDescent="0.3">
      <c r="A29" s="336"/>
      <c r="B29" s="332"/>
      <c r="C29" s="7"/>
      <c r="D29" s="39"/>
      <c r="E29" s="39"/>
      <c r="F29" s="39"/>
      <c r="G29" s="39"/>
      <c r="H29" s="8"/>
      <c r="I29" s="8"/>
      <c r="J29" s="38">
        <f t="shared" si="2"/>
        <v>0</v>
      </c>
    </row>
    <row r="30" spans="1:13" ht="15.75" thickBot="1" x14ac:dyDescent="0.3">
      <c r="A30" s="4"/>
      <c r="B30" s="40"/>
      <c r="C30" s="7"/>
      <c r="D30" s="39"/>
      <c r="E30" s="39"/>
      <c r="F30" s="39"/>
      <c r="G30" s="39"/>
      <c r="H30" s="8"/>
      <c r="I30" s="8"/>
      <c r="J30" s="38">
        <f t="shared" si="2"/>
        <v>0</v>
      </c>
      <c r="L30" s="41" t="s">
        <v>16</v>
      </c>
      <c r="M30" s="42">
        <f>J31+J39</f>
        <v>36.1</v>
      </c>
    </row>
    <row r="31" spans="1:13" ht="15.75" thickBot="1" x14ac:dyDescent="0.3">
      <c r="A31" s="4" t="s">
        <v>9</v>
      </c>
      <c r="B31" s="43"/>
      <c r="C31" s="44"/>
      <c r="D31" s="45"/>
      <c r="E31" s="45"/>
      <c r="F31" s="45"/>
      <c r="G31" s="45"/>
      <c r="H31" s="45"/>
      <c r="I31" s="45"/>
      <c r="J31" s="12">
        <f>SUM(J27:J30)</f>
        <v>36.1</v>
      </c>
    </row>
    <row r="32" spans="1:13" ht="15.75" thickBot="1" x14ac:dyDescent="0.3">
      <c r="A32" s="28"/>
      <c r="B32" s="46"/>
      <c r="C32" s="47"/>
      <c r="D32" s="48"/>
      <c r="E32" s="48"/>
      <c r="F32" s="48"/>
      <c r="G32" s="48"/>
      <c r="H32" s="48"/>
      <c r="I32" s="48"/>
      <c r="J32" s="49"/>
    </row>
    <row r="33" spans="1:13" ht="24" thickBot="1" x14ac:dyDescent="0.4">
      <c r="A33" s="31" t="s">
        <v>12</v>
      </c>
      <c r="B33" s="28"/>
      <c r="C33" s="29"/>
      <c r="D33" s="30"/>
      <c r="E33" s="30"/>
      <c r="F33" s="30"/>
      <c r="G33" s="30"/>
      <c r="H33" s="30"/>
      <c r="I33" s="30"/>
      <c r="J33" s="30"/>
    </row>
    <row r="34" spans="1:13" ht="45.75" thickBot="1" x14ac:dyDescent="0.3">
      <c r="A34" s="50" t="s">
        <v>17</v>
      </c>
      <c r="B34" s="4" t="s">
        <v>18</v>
      </c>
      <c r="C34" s="33" t="s">
        <v>14</v>
      </c>
      <c r="D34" s="33" t="s">
        <v>3</v>
      </c>
      <c r="E34" s="33" t="s">
        <v>4</v>
      </c>
      <c r="F34" s="33" t="s">
        <v>19</v>
      </c>
      <c r="G34" s="33" t="s">
        <v>20</v>
      </c>
      <c r="H34" s="33" t="s">
        <v>15</v>
      </c>
      <c r="I34" s="51" t="s">
        <v>21</v>
      </c>
      <c r="J34" s="34" t="s">
        <v>9</v>
      </c>
    </row>
    <row r="35" spans="1:13" ht="15.75" thickBot="1" x14ac:dyDescent="0.3">
      <c r="A35" s="52"/>
      <c r="B35" s="17"/>
      <c r="C35" s="7"/>
      <c r="D35" s="8"/>
      <c r="E35" s="8"/>
      <c r="F35" s="8"/>
      <c r="G35" s="8"/>
      <c r="H35" s="8"/>
      <c r="I35" s="8"/>
      <c r="J35" s="5">
        <f t="shared" ref="J35:J38" si="3">SUM(D35:I35)</f>
        <v>0</v>
      </c>
    </row>
    <row r="36" spans="1:13" ht="15.75" thickBot="1" x14ac:dyDescent="0.3">
      <c r="A36" s="13"/>
      <c r="B36" s="21"/>
      <c r="C36" s="7"/>
      <c r="D36" s="35"/>
      <c r="E36" s="35"/>
      <c r="F36" s="35"/>
      <c r="G36" s="35"/>
      <c r="H36" s="37"/>
      <c r="I36" s="37"/>
      <c r="J36" s="38">
        <f t="shared" si="3"/>
        <v>0</v>
      </c>
    </row>
    <row r="37" spans="1:13" ht="15.75" thickBot="1" x14ac:dyDescent="0.3">
      <c r="A37" s="336"/>
      <c r="B37" s="332"/>
      <c r="C37" s="7"/>
      <c r="D37" s="39"/>
      <c r="E37" s="39"/>
      <c r="F37" s="39"/>
      <c r="G37" s="39"/>
      <c r="H37" s="8"/>
      <c r="I37" s="8"/>
      <c r="J37" s="38">
        <f t="shared" si="3"/>
        <v>0</v>
      </c>
    </row>
    <row r="38" spans="1:13" ht="15.75" thickBot="1" x14ac:dyDescent="0.3">
      <c r="A38" s="4"/>
      <c r="B38" s="40"/>
      <c r="C38" s="7"/>
      <c r="D38" s="39"/>
      <c r="E38" s="39"/>
      <c r="F38" s="39"/>
      <c r="G38" s="39"/>
      <c r="H38" s="8"/>
      <c r="I38" s="8"/>
      <c r="J38" s="38">
        <f t="shared" si="3"/>
        <v>0</v>
      </c>
      <c r="L38" s="53"/>
      <c r="M38" s="54"/>
    </row>
    <row r="39" spans="1:13" ht="15.75" thickBot="1" x14ac:dyDescent="0.3">
      <c r="A39" s="4" t="s">
        <v>9</v>
      </c>
      <c r="B39" s="43"/>
      <c r="C39" s="44"/>
      <c r="D39" s="45"/>
      <c r="E39" s="45"/>
      <c r="F39" s="45"/>
      <c r="G39" s="45"/>
      <c r="H39" s="45"/>
      <c r="I39" s="45"/>
      <c r="J39" s="12">
        <f>SUM(J35:J38)</f>
        <v>0</v>
      </c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x14ac:dyDescent="0.25">
      <c r="A41" s="28"/>
      <c r="B41" s="46"/>
      <c r="C41" s="47"/>
      <c r="D41" s="48"/>
      <c r="E41" s="48"/>
      <c r="F41" s="48"/>
      <c r="G41" s="48"/>
      <c r="H41" s="48"/>
      <c r="I41" s="48"/>
      <c r="J41" s="49"/>
    </row>
    <row r="42" spans="1:13" ht="15.75" thickBot="1" x14ac:dyDescent="0.3">
      <c r="A42" s="2"/>
      <c r="B42" s="2"/>
      <c r="C42" s="2"/>
      <c r="J42" s="3"/>
    </row>
    <row r="43" spans="1:13" ht="45.75" thickBot="1" x14ac:dyDescent="0.3">
      <c r="A43" s="33" t="s">
        <v>22</v>
      </c>
      <c r="B43" s="4" t="s">
        <v>18</v>
      </c>
      <c r="C43" s="33" t="s">
        <v>14</v>
      </c>
      <c r="D43" s="33" t="s">
        <v>3</v>
      </c>
      <c r="E43" s="33" t="s">
        <v>4</v>
      </c>
      <c r="F43" s="33" t="s">
        <v>19</v>
      </c>
      <c r="G43" s="33" t="s">
        <v>20</v>
      </c>
      <c r="H43" s="4" t="s">
        <v>21</v>
      </c>
      <c r="I43" s="51" t="s">
        <v>15</v>
      </c>
      <c r="J43" s="34" t="s">
        <v>9</v>
      </c>
    </row>
    <row r="44" spans="1:13" ht="15.75" thickBot="1" x14ac:dyDescent="0.3">
      <c r="A44" s="564" t="s">
        <v>279</v>
      </c>
      <c r="B44" s="566" t="s">
        <v>280</v>
      </c>
      <c r="C44" s="21">
        <v>45992</v>
      </c>
      <c r="D44" s="37">
        <v>21.1</v>
      </c>
      <c r="E44" s="55">
        <v>6</v>
      </c>
      <c r="F44" s="37"/>
      <c r="G44" s="37"/>
      <c r="H44" s="37"/>
      <c r="I44" s="37"/>
      <c r="J44" s="38">
        <f>SUM(D44:I44)</f>
        <v>27.1</v>
      </c>
    </row>
    <row r="45" spans="1:13" ht="15.75" thickBot="1" x14ac:dyDescent="0.3">
      <c r="A45" s="565"/>
      <c r="B45" s="567"/>
      <c r="C45" s="21">
        <v>46023</v>
      </c>
      <c r="D45" s="37"/>
      <c r="E45" s="37"/>
      <c r="F45" s="37">
        <v>60</v>
      </c>
      <c r="G45" s="37">
        <v>5</v>
      </c>
      <c r="H45" s="37"/>
      <c r="I45" s="37">
        <v>150</v>
      </c>
      <c r="J45" s="38">
        <f t="shared" ref="J45:J57" si="4">SUM(D45:I45)</f>
        <v>215</v>
      </c>
    </row>
    <row r="46" spans="1:13" ht="15.75" thickBot="1" x14ac:dyDescent="0.3">
      <c r="A46" s="564" t="s">
        <v>281</v>
      </c>
      <c r="B46" s="566" t="s">
        <v>282</v>
      </c>
      <c r="C46" s="21">
        <v>45992</v>
      </c>
      <c r="D46" s="37">
        <v>21.1</v>
      </c>
      <c r="E46" s="37">
        <v>6</v>
      </c>
      <c r="F46" s="37"/>
      <c r="G46" s="37"/>
      <c r="H46" s="37"/>
      <c r="I46" s="37"/>
      <c r="J46" s="38">
        <f t="shared" si="4"/>
        <v>27.1</v>
      </c>
    </row>
    <row r="47" spans="1:13" ht="15.75" thickBot="1" x14ac:dyDescent="0.3">
      <c r="A47" s="565"/>
      <c r="B47" s="567"/>
      <c r="C47" s="21">
        <v>46023</v>
      </c>
      <c r="D47" s="37"/>
      <c r="E47" s="37"/>
      <c r="F47" s="37">
        <v>60</v>
      </c>
      <c r="G47" s="37">
        <v>5</v>
      </c>
      <c r="H47" s="37"/>
      <c r="I47" s="37"/>
      <c r="J47" s="38">
        <f t="shared" si="4"/>
        <v>65</v>
      </c>
    </row>
    <row r="48" spans="1:13" ht="15.75" thickBot="1" x14ac:dyDescent="0.3">
      <c r="A48" s="564" t="s">
        <v>283</v>
      </c>
      <c r="B48" s="566" t="s">
        <v>284</v>
      </c>
      <c r="C48" s="21">
        <v>45992</v>
      </c>
      <c r="D48" s="37">
        <v>95.6</v>
      </c>
      <c r="E48" s="37">
        <v>6</v>
      </c>
      <c r="F48" s="37"/>
      <c r="G48" s="37"/>
      <c r="H48" s="37"/>
      <c r="I48" s="37"/>
      <c r="J48" s="38">
        <f t="shared" si="4"/>
        <v>101.6</v>
      </c>
    </row>
    <row r="49" spans="1:10" ht="15.75" thickBot="1" x14ac:dyDescent="0.3">
      <c r="A49" s="565"/>
      <c r="B49" s="567"/>
      <c r="C49" s="21">
        <v>46023</v>
      </c>
      <c r="D49" s="37"/>
      <c r="E49" s="37"/>
      <c r="F49" s="37">
        <v>60</v>
      </c>
      <c r="G49" s="37">
        <v>5</v>
      </c>
      <c r="H49" s="37"/>
      <c r="I49" s="37">
        <v>200</v>
      </c>
      <c r="J49" s="38">
        <f t="shared" si="4"/>
        <v>265</v>
      </c>
    </row>
    <row r="50" spans="1:10" ht="15.75" thickBot="1" x14ac:dyDescent="0.3">
      <c r="A50" s="332"/>
      <c r="B50" s="21"/>
      <c r="C50" s="21"/>
      <c r="D50" s="37"/>
      <c r="E50" s="37"/>
      <c r="F50" s="37"/>
      <c r="G50" s="37"/>
      <c r="H50" s="37"/>
      <c r="I50" s="37"/>
      <c r="J50" s="38">
        <f t="shared" si="4"/>
        <v>0</v>
      </c>
    </row>
    <row r="51" spans="1:10" ht="15.75" thickBot="1" x14ac:dyDescent="0.3">
      <c r="A51" s="332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332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332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56"/>
      <c r="B54" s="21"/>
      <c r="C54" s="21"/>
      <c r="D54" s="37"/>
      <c r="E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37"/>
      <c r="E56" s="37"/>
      <c r="F56" s="37"/>
      <c r="G56" s="37"/>
      <c r="H56" s="37"/>
      <c r="I56" s="37"/>
      <c r="J56" s="38">
        <f t="shared" si="4"/>
        <v>0</v>
      </c>
    </row>
    <row r="57" spans="1:10" ht="15.75" thickBot="1" x14ac:dyDescent="0.3">
      <c r="A57" s="40"/>
      <c r="B57" s="21"/>
      <c r="C57" s="21"/>
      <c r="D57" s="57"/>
      <c r="E57" s="57"/>
      <c r="F57" s="57"/>
      <c r="G57" s="57"/>
      <c r="H57" s="57"/>
      <c r="I57" s="57"/>
      <c r="J57" s="38">
        <f t="shared" si="4"/>
        <v>0</v>
      </c>
    </row>
    <row r="58" spans="1:10" ht="19.5" thickBot="1" x14ac:dyDescent="0.35">
      <c r="A58" s="23" t="s">
        <v>9</v>
      </c>
      <c r="B58" s="4"/>
      <c r="C58" s="24"/>
      <c r="D58" s="25">
        <f t="shared" ref="D58:J58" si="5">SUM(D44:D57)</f>
        <v>137.80000000000001</v>
      </c>
      <c r="E58" s="25">
        <f t="shared" si="5"/>
        <v>18</v>
      </c>
      <c r="F58" s="25">
        <f t="shared" si="5"/>
        <v>180</v>
      </c>
      <c r="G58" s="25">
        <f t="shared" si="5"/>
        <v>15</v>
      </c>
      <c r="H58" s="25">
        <f t="shared" si="5"/>
        <v>0</v>
      </c>
      <c r="I58" s="25">
        <f t="shared" si="5"/>
        <v>350</v>
      </c>
      <c r="J58" s="25">
        <f t="shared" si="5"/>
        <v>700.8</v>
      </c>
    </row>
    <row r="59" spans="1:10" ht="15.75" x14ac:dyDescent="0.25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6.5" thickBot="1" x14ac:dyDescent="0.3">
      <c r="A60" s="58"/>
      <c r="B60" s="58"/>
      <c r="C60" s="59"/>
      <c r="D60" s="60"/>
      <c r="E60" s="60"/>
      <c r="F60" s="60"/>
      <c r="G60" s="60"/>
      <c r="H60" s="60"/>
      <c r="I60" s="60"/>
      <c r="J60" s="60"/>
    </row>
    <row r="61" spans="1:10" ht="19.5" thickBot="1" x14ac:dyDescent="0.35">
      <c r="A61" s="554" t="s">
        <v>23</v>
      </c>
      <c r="B61" s="555"/>
      <c r="C61" s="61"/>
      <c r="D61" s="62"/>
      <c r="E61" s="62"/>
      <c r="F61" s="62"/>
      <c r="G61" s="62"/>
      <c r="H61" s="62"/>
      <c r="I61" s="62"/>
      <c r="J61" s="26">
        <f>+J23+J58</f>
        <v>1876.8</v>
      </c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x14ac:dyDescent="0.25">
      <c r="A63" s="2"/>
      <c r="B63" s="2"/>
      <c r="C63" s="63"/>
      <c r="D63" s="3"/>
      <c r="E63" s="3"/>
      <c r="F63" s="3"/>
      <c r="G63" s="3"/>
      <c r="H63" s="3"/>
      <c r="I63" s="3"/>
      <c r="J63" s="3"/>
    </row>
    <row r="64" spans="1:10" ht="16.5" thickBot="1" x14ac:dyDescent="0.3">
      <c r="A64" s="64" t="s">
        <v>24</v>
      </c>
      <c r="B64" s="2"/>
      <c r="C64" s="63"/>
      <c r="D64" s="3"/>
      <c r="E64" s="3"/>
      <c r="F64" s="3"/>
      <c r="G64" s="3"/>
      <c r="H64" s="3"/>
      <c r="I64" s="3"/>
      <c r="J64" s="3"/>
    </row>
    <row r="65" spans="1:10" ht="19.5" thickBot="1" x14ac:dyDescent="0.35">
      <c r="A65" s="65" t="s">
        <v>25</v>
      </c>
      <c r="B65" s="66"/>
      <c r="C65" s="67"/>
      <c r="D65" s="68"/>
      <c r="E65" s="68"/>
      <c r="F65" s="68"/>
      <c r="G65" s="68"/>
      <c r="H65" s="68"/>
      <c r="I65" s="68"/>
      <c r="J65" s="26"/>
    </row>
    <row r="66" spans="1:10" ht="19.5" thickBot="1" x14ac:dyDescent="0.35">
      <c r="A66" s="65" t="s">
        <v>26</v>
      </c>
      <c r="B66" s="66"/>
      <c r="C66" s="69"/>
      <c r="D66" s="68"/>
      <c r="E66" s="68"/>
      <c r="F66" s="68"/>
      <c r="G66" s="68"/>
      <c r="H66" s="68"/>
      <c r="I66" s="68"/>
      <c r="J66" s="26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8.75" x14ac:dyDescent="0.3">
      <c r="A68" s="70"/>
      <c r="B68" s="70"/>
      <c r="C68" s="71"/>
      <c r="D68" s="72"/>
      <c r="E68" s="72"/>
      <c r="F68" s="72"/>
      <c r="G68" s="72"/>
      <c r="H68" s="72"/>
      <c r="I68" s="72"/>
      <c r="J68" s="30"/>
    </row>
    <row r="69" spans="1:10" ht="16.5" thickBot="1" x14ac:dyDescent="0.3">
      <c r="A69" s="73" t="s">
        <v>27</v>
      </c>
      <c r="B69" s="74"/>
      <c r="C69" s="63"/>
      <c r="D69" s="3"/>
      <c r="E69" s="3"/>
      <c r="F69" s="3"/>
      <c r="G69" s="3"/>
      <c r="H69" s="3"/>
      <c r="I69" s="3"/>
      <c r="J69" s="3"/>
    </row>
    <row r="70" spans="1:10" ht="19.5" thickBot="1" x14ac:dyDescent="0.35">
      <c r="A70" s="75" t="s">
        <v>28</v>
      </c>
      <c r="B70" s="76"/>
      <c r="C70" s="77"/>
      <c r="D70" s="78"/>
      <c r="E70" s="78"/>
      <c r="F70" s="78"/>
      <c r="G70" s="78"/>
      <c r="H70" s="78"/>
      <c r="I70" s="78"/>
      <c r="J70" s="79">
        <v>472</v>
      </c>
    </row>
    <row r="71" spans="1:10" x14ac:dyDescent="0.25">
      <c r="A71" s="80"/>
      <c r="B71" s="2"/>
      <c r="C71" s="63"/>
      <c r="D71" s="3"/>
      <c r="E71" s="3"/>
      <c r="F71" s="3"/>
      <c r="G71" s="3"/>
      <c r="H71" s="3"/>
      <c r="I71" s="3"/>
      <c r="J71" s="3"/>
    </row>
    <row r="72" spans="1:10" ht="16.5" thickBot="1" x14ac:dyDescent="0.3">
      <c r="A72" s="73"/>
      <c r="B72" s="74"/>
      <c r="C72" s="63"/>
      <c r="D72" s="3"/>
      <c r="E72" s="3"/>
      <c r="F72" s="3"/>
      <c r="G72" s="3"/>
      <c r="H72" s="3"/>
      <c r="I72" s="3"/>
      <c r="J72" s="3"/>
    </row>
    <row r="73" spans="1:10" ht="19.5" thickBot="1" x14ac:dyDescent="0.35">
      <c r="A73" s="75" t="s">
        <v>29</v>
      </c>
      <c r="B73" s="76"/>
      <c r="C73" s="81"/>
      <c r="D73" s="78"/>
      <c r="E73" s="78"/>
      <c r="F73" s="78"/>
      <c r="G73" s="78"/>
      <c r="H73" s="78"/>
      <c r="I73" s="78"/>
      <c r="J73" s="82"/>
    </row>
    <row r="74" spans="1:10" ht="15.75" thickBot="1" x14ac:dyDescent="0.3">
      <c r="A74" s="80"/>
      <c r="B74" s="2"/>
      <c r="C74" s="63"/>
      <c r="D74" s="3"/>
      <c r="E74" s="3"/>
      <c r="F74" s="3"/>
      <c r="G74" s="3"/>
      <c r="H74" s="3"/>
      <c r="I74" s="3"/>
      <c r="J74" s="3"/>
    </row>
    <row r="75" spans="1:10" ht="21.75" thickBot="1" x14ac:dyDescent="0.4">
      <c r="A75" s="556" t="s">
        <v>30</v>
      </c>
      <c r="B75" s="557"/>
      <c r="C75" s="83"/>
      <c r="D75" s="84"/>
      <c r="E75" s="84"/>
      <c r="F75" s="84"/>
      <c r="G75" s="84"/>
      <c r="H75" s="84"/>
      <c r="I75" s="84"/>
      <c r="J75" s="85">
        <f>SUM(J61:J74)</f>
        <v>2348.8000000000002</v>
      </c>
    </row>
    <row r="76" spans="1:10" x14ac:dyDescent="0.25">
      <c r="A76" s="2"/>
      <c r="B76" s="2"/>
      <c r="C76" s="63"/>
      <c r="D76" s="3"/>
      <c r="E76" s="3"/>
      <c r="F76" s="3"/>
      <c r="G76" s="3"/>
      <c r="H76" s="3"/>
      <c r="I76" s="3"/>
      <c r="J76" s="3"/>
    </row>
    <row r="77" spans="1:10" ht="21" x14ac:dyDescent="0.35">
      <c r="A77" s="553" t="s">
        <v>271</v>
      </c>
      <c r="B77" s="553"/>
      <c r="C77" s="553"/>
      <c r="D77" s="553"/>
      <c r="E77" s="553"/>
      <c r="F77" s="553"/>
      <c r="G77" s="553"/>
      <c r="H77" s="553"/>
      <c r="I77" s="553"/>
      <c r="J77" s="553"/>
    </row>
    <row r="78" spans="1:10" ht="21.75" thickBot="1" x14ac:dyDescent="0.4">
      <c r="A78" s="331" t="s">
        <v>31</v>
      </c>
      <c r="B78" s="331"/>
      <c r="C78" s="331"/>
      <c r="D78" s="331"/>
      <c r="E78" s="331"/>
      <c r="F78" s="331"/>
      <c r="G78" s="331"/>
      <c r="H78" s="331"/>
      <c r="I78" s="331"/>
      <c r="J78" s="87"/>
    </row>
    <row r="79" spans="1:10" ht="15.75" thickBot="1" x14ac:dyDescent="0.3">
      <c r="A79" s="88" t="s">
        <v>32</v>
      </c>
      <c r="B79" s="89" t="s">
        <v>33</v>
      </c>
      <c r="C79" s="558" t="s">
        <v>2</v>
      </c>
      <c r="D79" s="559"/>
      <c r="E79" s="559"/>
      <c r="F79" s="559"/>
      <c r="G79" s="559"/>
      <c r="H79" s="559"/>
      <c r="I79" s="560"/>
      <c r="J79" s="90" t="s">
        <v>9</v>
      </c>
    </row>
    <row r="80" spans="1:10" ht="15.75" thickBot="1" x14ac:dyDescent="0.3">
      <c r="A80" s="40" t="s">
        <v>260</v>
      </c>
      <c r="B80" s="92" t="s">
        <v>272</v>
      </c>
      <c r="C80" s="550" t="s">
        <v>273</v>
      </c>
      <c r="D80" s="551"/>
      <c r="E80" s="551"/>
      <c r="F80" s="551"/>
      <c r="G80" s="551"/>
      <c r="H80" s="551"/>
      <c r="I80" s="551"/>
      <c r="J80" s="22">
        <v>340</v>
      </c>
    </row>
    <row r="81" spans="1:10" ht="15.75" thickBot="1" x14ac:dyDescent="0.3">
      <c r="A81" s="40" t="s">
        <v>142</v>
      </c>
      <c r="B81" s="92" t="s">
        <v>276</v>
      </c>
      <c r="C81" s="550" t="s">
        <v>277</v>
      </c>
      <c r="D81" s="551"/>
      <c r="E81" s="551"/>
      <c r="F81" s="551"/>
      <c r="G81" s="551"/>
      <c r="H81" s="552"/>
      <c r="I81" s="552"/>
      <c r="J81" s="22">
        <v>15</v>
      </c>
    </row>
    <row r="82" spans="1:10" ht="15.75" thickBot="1" x14ac:dyDescent="0.3">
      <c r="A82" s="40" t="s">
        <v>291</v>
      </c>
      <c r="B82" s="92" t="s">
        <v>293</v>
      </c>
      <c r="C82" s="550" t="s">
        <v>292</v>
      </c>
      <c r="D82" s="551"/>
      <c r="E82" s="551"/>
      <c r="F82" s="551"/>
      <c r="G82" s="551"/>
      <c r="H82" s="552"/>
      <c r="I82" s="552"/>
      <c r="J82" s="22">
        <v>150</v>
      </c>
    </row>
    <row r="83" spans="1:10" ht="15.75" thickBot="1" x14ac:dyDescent="0.3">
      <c r="A83" s="40" t="s">
        <v>210</v>
      </c>
      <c r="B83" s="92">
        <v>8514</v>
      </c>
      <c r="C83" s="561" t="s">
        <v>290</v>
      </c>
      <c r="D83" s="562"/>
      <c r="E83" s="562"/>
      <c r="F83" s="562"/>
      <c r="G83" s="562"/>
      <c r="H83" s="562"/>
      <c r="I83" s="562"/>
      <c r="J83" s="93">
        <v>3.5</v>
      </c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22"/>
    </row>
    <row r="85" spans="1:10" ht="15.75" thickBot="1" x14ac:dyDescent="0.3">
      <c r="A85" s="40"/>
      <c r="B85" s="92"/>
      <c r="C85" s="550"/>
      <c r="D85" s="551"/>
      <c r="E85" s="551"/>
      <c r="F85" s="551"/>
      <c r="G85" s="551"/>
      <c r="H85" s="552"/>
      <c r="I85" s="552"/>
      <c r="J85" s="22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22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37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9.5" thickBot="1" x14ac:dyDescent="0.35">
      <c r="A92" s="94" t="s">
        <v>34</v>
      </c>
      <c r="B92" s="554"/>
      <c r="C92" s="563"/>
      <c r="D92" s="563"/>
      <c r="E92" s="563"/>
      <c r="F92" s="563"/>
      <c r="G92" s="563"/>
      <c r="H92" s="563"/>
      <c r="I92" s="563"/>
      <c r="J92" s="95">
        <f>SUM(J80:J91)</f>
        <v>508.5</v>
      </c>
    </row>
    <row r="93" spans="1:10" ht="19.5" thickBot="1" x14ac:dyDescent="0.35">
      <c r="A93" s="27"/>
      <c r="B93" s="27"/>
      <c r="C93" s="96"/>
      <c r="D93" s="96"/>
      <c r="E93" s="96"/>
      <c r="F93" s="97"/>
      <c r="G93" s="96"/>
      <c r="H93" s="96"/>
      <c r="I93" s="96"/>
      <c r="J93" s="30"/>
    </row>
    <row r="94" spans="1:10" ht="21.75" thickBot="1" x14ac:dyDescent="0.4">
      <c r="A94" s="343" t="s">
        <v>298</v>
      </c>
      <c r="B94" s="331"/>
      <c r="C94" s="331"/>
      <c r="D94" s="331"/>
      <c r="E94" s="331"/>
      <c r="F94" s="331"/>
      <c r="G94" s="331"/>
      <c r="H94" s="331"/>
      <c r="I94" s="87"/>
      <c r="J94" s="30"/>
    </row>
    <row r="95" spans="1:10" ht="19.5" thickBot="1" x14ac:dyDescent="0.35">
      <c r="A95" s="344" t="s">
        <v>32</v>
      </c>
      <c r="B95" s="89" t="s">
        <v>33</v>
      </c>
      <c r="C95" s="558" t="s">
        <v>2</v>
      </c>
      <c r="D95" s="559"/>
      <c r="E95" s="559"/>
      <c r="F95" s="559"/>
      <c r="G95" s="559"/>
      <c r="H95" s="560"/>
      <c r="I95" s="90" t="s">
        <v>9</v>
      </c>
      <c r="J95" s="30"/>
    </row>
    <row r="96" spans="1:10" ht="19.5" thickBot="1" x14ac:dyDescent="0.35">
      <c r="A96" s="40" t="s">
        <v>299</v>
      </c>
      <c r="B96" s="92">
        <v>930</v>
      </c>
      <c r="C96" s="561" t="s">
        <v>300</v>
      </c>
      <c r="D96" s="562"/>
      <c r="E96" s="562"/>
      <c r="F96" s="562"/>
      <c r="G96" s="562"/>
      <c r="H96" s="562"/>
      <c r="I96" s="37">
        <v>10</v>
      </c>
      <c r="J96" s="30"/>
    </row>
    <row r="97" spans="1:10" ht="19.5" thickBot="1" x14ac:dyDescent="0.35">
      <c r="A97" s="40"/>
      <c r="B97" s="92"/>
      <c r="C97" s="561"/>
      <c r="D97" s="562"/>
      <c r="E97" s="562"/>
      <c r="F97" s="562"/>
      <c r="G97" s="562"/>
      <c r="H97" s="562"/>
      <c r="I97" s="37"/>
      <c r="J97" s="30"/>
    </row>
    <row r="98" spans="1:10" ht="19.5" thickBot="1" x14ac:dyDescent="0.35">
      <c r="A98" s="40"/>
      <c r="B98" s="92"/>
      <c r="C98" s="561"/>
      <c r="D98" s="562"/>
      <c r="E98" s="562"/>
      <c r="F98" s="562"/>
      <c r="G98" s="562"/>
      <c r="H98" s="598"/>
      <c r="I98" s="37"/>
      <c r="J98" s="30"/>
    </row>
    <row r="99" spans="1:10" ht="19.5" thickBot="1" x14ac:dyDescent="0.35">
      <c r="A99" s="40"/>
      <c r="B99" s="92"/>
      <c r="C99" s="561"/>
      <c r="D99" s="562"/>
      <c r="E99" s="562"/>
      <c r="F99" s="562"/>
      <c r="G99" s="562"/>
      <c r="H99" s="598"/>
      <c r="I99" s="37"/>
      <c r="J99" s="30"/>
    </row>
    <row r="100" spans="1:10" ht="19.5" thickBot="1" x14ac:dyDescent="0.35">
      <c r="A100" s="40"/>
      <c r="B100" s="40"/>
      <c r="C100" s="561"/>
      <c r="D100" s="562"/>
      <c r="E100" s="562"/>
      <c r="F100" s="562"/>
      <c r="G100" s="562"/>
      <c r="H100" s="562"/>
      <c r="I100" s="37"/>
      <c r="J100" s="30"/>
    </row>
    <row r="101" spans="1:10" ht="19.5" thickBot="1" x14ac:dyDescent="0.35">
      <c r="A101" s="345" t="s">
        <v>34</v>
      </c>
      <c r="B101" s="554"/>
      <c r="C101" s="563"/>
      <c r="D101" s="563"/>
      <c r="E101" s="563"/>
      <c r="F101" s="563"/>
      <c r="G101" s="563"/>
      <c r="H101" s="563"/>
      <c r="I101" s="95">
        <f>SUM(I96:I100)</f>
        <v>10</v>
      </c>
      <c r="J101" s="30"/>
    </row>
    <row r="102" spans="1:10" ht="18.75" x14ac:dyDescent="0.3">
      <c r="A102" s="27"/>
      <c r="B102" s="27"/>
      <c r="C102" s="96"/>
      <c r="D102" s="96"/>
      <c r="E102" s="96"/>
      <c r="F102" s="97"/>
      <c r="G102" s="96"/>
      <c r="H102" s="96"/>
      <c r="I102" s="96"/>
      <c r="J102" s="30"/>
    </row>
    <row r="103" spans="1:10" ht="18.75" x14ac:dyDescent="0.3">
      <c r="A103" s="58" t="s">
        <v>35</v>
      </c>
      <c r="B103" s="27"/>
      <c r="C103" s="2"/>
      <c r="D103" s="3"/>
      <c r="F103" s="3"/>
      <c r="J103" s="3"/>
    </row>
    <row r="104" spans="1:10" x14ac:dyDescent="0.25">
      <c r="A104" s="2" t="s">
        <v>36</v>
      </c>
      <c r="B104" s="63">
        <f>+J75</f>
        <v>2348.8000000000002</v>
      </c>
      <c r="C104" s="98"/>
      <c r="D104" s="3"/>
      <c r="F104" s="3"/>
      <c r="J104" s="3"/>
    </row>
    <row r="105" spans="1:10" ht="15.75" thickBot="1" x14ac:dyDescent="0.3">
      <c r="A105" s="2" t="s">
        <v>34</v>
      </c>
      <c r="B105" s="99">
        <f>+J92</f>
        <v>508.5</v>
      </c>
      <c r="C105" s="100"/>
      <c r="D105" s="3"/>
      <c r="F105" s="3"/>
      <c r="G105" s="101"/>
      <c r="H105" s="101"/>
      <c r="I105" s="102"/>
      <c r="J105" s="102"/>
    </row>
    <row r="106" spans="1:10" ht="17.25" thickTop="1" thickBot="1" x14ac:dyDescent="0.3">
      <c r="A106" s="58" t="s">
        <v>37</v>
      </c>
      <c r="B106" s="103">
        <f>++B104-B105</f>
        <v>1840.3000000000002</v>
      </c>
      <c r="C106" s="104"/>
      <c r="D106" s="105"/>
      <c r="E106" s="106"/>
      <c r="F106" s="105"/>
      <c r="G106" s="107"/>
      <c r="H106" s="107"/>
      <c r="I106" s="3"/>
    </row>
    <row r="107" spans="1:10" ht="15.75" thickTop="1" x14ac:dyDescent="0.25"/>
  </sheetData>
  <mergeCells count="33">
    <mergeCell ref="C84:I84"/>
    <mergeCell ref="C85:I85"/>
    <mergeCell ref="A1:J1"/>
    <mergeCell ref="A61:B61"/>
    <mergeCell ref="A75:B75"/>
    <mergeCell ref="A77:J77"/>
    <mergeCell ref="C79:I79"/>
    <mergeCell ref="C80:I80"/>
    <mergeCell ref="A27:A28"/>
    <mergeCell ref="B27:B28"/>
    <mergeCell ref="B92:I92"/>
    <mergeCell ref="B44:B45"/>
    <mergeCell ref="A44:A45"/>
    <mergeCell ref="B46:B47"/>
    <mergeCell ref="A46:A47"/>
    <mergeCell ref="B48:B49"/>
    <mergeCell ref="A48:A49"/>
    <mergeCell ref="C86:I86"/>
    <mergeCell ref="C87:I87"/>
    <mergeCell ref="C88:I88"/>
    <mergeCell ref="C89:I89"/>
    <mergeCell ref="C90:I90"/>
    <mergeCell ref="C91:I91"/>
    <mergeCell ref="C81:I81"/>
    <mergeCell ref="C82:I82"/>
    <mergeCell ref="C83:I83"/>
    <mergeCell ref="B101:H101"/>
    <mergeCell ref="C95:H95"/>
    <mergeCell ref="C96:H96"/>
    <mergeCell ref="C97:H97"/>
    <mergeCell ref="C98:H98"/>
    <mergeCell ref="C99:H99"/>
    <mergeCell ref="C100:H100"/>
  </mergeCells>
  <phoneticPr fontId="13" type="noConversion"/>
  <pageMargins left="0.12" right="0.12" top="0.12" bottom="0.12" header="0.12" footer="0.12"/>
  <pageSetup paperSize="9" scale="45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07E0-154A-4960-B570-88374EE2307C}">
  <sheetPr>
    <pageSetUpPr fitToPage="1"/>
  </sheetPr>
  <dimension ref="A1:O100"/>
  <sheetViews>
    <sheetView topLeftCell="A13" workbookViewId="0">
      <selection activeCell="C5" sqref="C5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6" max="6" width="13" bestFit="1" customWidth="1"/>
    <col min="10" max="10" width="14" bestFit="1" customWidth="1"/>
  </cols>
  <sheetData>
    <row r="1" spans="1:10" ht="21" x14ac:dyDescent="0.35">
      <c r="A1" s="553" t="s">
        <v>301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317" t="s">
        <v>10</v>
      </c>
      <c r="B4" s="317" t="s">
        <v>313</v>
      </c>
      <c r="C4" s="7">
        <v>46054</v>
      </c>
      <c r="D4" s="4"/>
      <c r="E4" s="4"/>
      <c r="F4" s="4"/>
      <c r="G4" s="4"/>
      <c r="H4" s="4"/>
      <c r="I4" s="8">
        <v>10</v>
      </c>
      <c r="J4" s="5">
        <f>SUM(D4:I4)</f>
        <v>10</v>
      </c>
    </row>
    <row r="5" spans="1:10" ht="15.75" thickBot="1" x14ac:dyDescent="0.3">
      <c r="A5" s="6" t="s">
        <v>302</v>
      </c>
      <c r="B5" s="6" t="s">
        <v>303</v>
      </c>
      <c r="C5" s="7">
        <v>46023</v>
      </c>
      <c r="D5" s="8"/>
      <c r="E5" s="8"/>
      <c r="F5" s="8">
        <v>450</v>
      </c>
      <c r="G5" s="8"/>
      <c r="H5" s="8"/>
      <c r="I5" s="8"/>
      <c r="J5" s="5">
        <f t="shared" ref="J5:J22" si="0">SUM(D5:I5)</f>
        <v>450</v>
      </c>
    </row>
    <row r="6" spans="1:10" ht="15.75" thickBot="1" x14ac:dyDescent="0.3">
      <c r="A6" s="6" t="s">
        <v>305</v>
      </c>
      <c r="B6" s="6" t="s">
        <v>304</v>
      </c>
      <c r="C6" s="7">
        <v>46023</v>
      </c>
      <c r="D6" s="8"/>
      <c r="E6" s="8"/>
      <c r="F6" s="8">
        <v>850</v>
      </c>
      <c r="G6" s="8"/>
      <c r="H6" s="8"/>
      <c r="I6" s="8"/>
      <c r="J6" s="5">
        <f t="shared" si="0"/>
        <v>850</v>
      </c>
    </row>
    <row r="7" spans="1:10" ht="15.75" thickBot="1" x14ac:dyDescent="0.3">
      <c r="A7" s="6" t="s">
        <v>161</v>
      </c>
      <c r="B7" s="6" t="s">
        <v>312</v>
      </c>
      <c r="C7" s="7">
        <v>46054</v>
      </c>
      <c r="D7" s="8"/>
      <c r="E7" s="8"/>
      <c r="F7" s="8"/>
      <c r="G7" s="8">
        <v>30</v>
      </c>
      <c r="H7" s="8"/>
      <c r="I7" s="8"/>
      <c r="J7" s="5">
        <f t="shared" si="0"/>
        <v>30</v>
      </c>
    </row>
    <row r="8" spans="1:10" ht="15.75" thickBot="1" x14ac:dyDescent="0.3">
      <c r="A8" s="6" t="s">
        <v>331</v>
      </c>
      <c r="B8" s="6" t="s">
        <v>332</v>
      </c>
      <c r="C8" s="7">
        <v>46023</v>
      </c>
      <c r="D8" s="8"/>
      <c r="E8" s="8"/>
      <c r="F8" s="8">
        <v>500</v>
      </c>
      <c r="G8" s="8"/>
      <c r="H8" s="8"/>
      <c r="I8" s="8"/>
      <c r="J8" s="5">
        <f t="shared" si="0"/>
        <v>500</v>
      </c>
    </row>
    <row r="9" spans="1:10" ht="15.75" thickBot="1" x14ac:dyDescent="0.3">
      <c r="A9" s="6" t="s">
        <v>7</v>
      </c>
      <c r="B9" s="6" t="s">
        <v>333</v>
      </c>
      <c r="C9" s="7">
        <v>46054</v>
      </c>
      <c r="D9" s="8"/>
      <c r="E9" s="8"/>
      <c r="F9" s="8"/>
      <c r="G9" s="8"/>
      <c r="H9" s="8">
        <v>75</v>
      </c>
      <c r="I9" s="8"/>
      <c r="J9" s="5">
        <f t="shared" si="0"/>
        <v>75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6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9"/>
      <c r="B12" s="6"/>
      <c r="C12" s="7"/>
      <c r="D12" s="8"/>
      <c r="E12" s="8"/>
      <c r="F12" s="8"/>
      <c r="G12" s="8"/>
      <c r="H12" s="8"/>
      <c r="I12" s="8"/>
      <c r="J12" s="5">
        <f t="shared" si="0"/>
        <v>0</v>
      </c>
    </row>
    <row r="13" spans="1:10" ht="15.75" thickBot="1" x14ac:dyDescent="0.3">
      <c r="A13" s="9" t="s">
        <v>305</v>
      </c>
      <c r="B13" s="340" t="s">
        <v>306</v>
      </c>
      <c r="C13" s="7">
        <v>45992</v>
      </c>
      <c r="D13" s="8">
        <v>15.5</v>
      </c>
      <c r="E13" s="8">
        <v>5</v>
      </c>
      <c r="F13" s="8"/>
      <c r="G13" s="8"/>
      <c r="H13" s="8"/>
      <c r="I13" s="11"/>
      <c r="J13" s="12">
        <f t="shared" si="0"/>
        <v>20.5</v>
      </c>
    </row>
    <row r="14" spans="1:10" ht="15.75" thickBot="1" x14ac:dyDescent="0.3">
      <c r="A14" s="6" t="s">
        <v>331</v>
      </c>
      <c r="B14" s="6" t="s">
        <v>330</v>
      </c>
      <c r="C14" s="7">
        <v>45992</v>
      </c>
      <c r="D14" s="8">
        <v>10</v>
      </c>
      <c r="E14" s="8">
        <v>5</v>
      </c>
      <c r="F14" s="8"/>
      <c r="G14" s="8"/>
      <c r="H14" s="8"/>
      <c r="I14" s="8"/>
      <c r="J14" s="5">
        <f t="shared" si="0"/>
        <v>15</v>
      </c>
    </row>
    <row r="15" spans="1:10" ht="15.75" thickBot="1" x14ac:dyDescent="0.3">
      <c r="A15" s="13"/>
      <c r="B15" s="341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15"/>
      <c r="B16" s="13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339"/>
      <c r="B17" s="339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339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7"/>
      <c r="B19" s="339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18"/>
      <c r="B20" s="339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342"/>
      <c r="B21" s="342"/>
      <c r="C21" s="7"/>
      <c r="D21" s="8"/>
      <c r="E21" s="8"/>
      <c r="F21" s="8"/>
      <c r="G21" s="8"/>
      <c r="H21" s="8"/>
      <c r="I21" s="8"/>
      <c r="J21" s="5">
        <f t="shared" si="0"/>
        <v>0</v>
      </c>
    </row>
    <row r="22" spans="1:13" ht="15.75" thickBot="1" x14ac:dyDescent="0.3">
      <c r="A22" s="339"/>
      <c r="B22" s="338"/>
      <c r="C22" s="21"/>
      <c r="D22" s="22"/>
      <c r="E22" s="22"/>
      <c r="F22" s="22"/>
      <c r="G22" s="22"/>
      <c r="H22" s="22"/>
      <c r="I22" s="22"/>
      <c r="J22" s="5">
        <f t="shared" si="0"/>
        <v>0</v>
      </c>
    </row>
    <row r="23" spans="1:13" ht="19.5" thickBot="1" x14ac:dyDescent="0.35">
      <c r="A23" s="23" t="s">
        <v>9</v>
      </c>
      <c r="B23" s="4"/>
      <c r="C23" s="24"/>
      <c r="D23" s="25">
        <f>SUM(D4:D22)</f>
        <v>25.5</v>
      </c>
      <c r="E23" s="25">
        <f t="shared" ref="E23:I23" si="1">SUM(E4:E22)</f>
        <v>10</v>
      </c>
      <c r="F23" s="25">
        <f t="shared" si="1"/>
        <v>1800</v>
      </c>
      <c r="G23" s="25">
        <f t="shared" si="1"/>
        <v>30</v>
      </c>
      <c r="H23" s="25">
        <f t="shared" si="1"/>
        <v>75</v>
      </c>
      <c r="I23" s="25">
        <f t="shared" si="1"/>
        <v>10</v>
      </c>
      <c r="J23" s="26">
        <f>SUM(J4:J22)</f>
        <v>1950.5</v>
      </c>
    </row>
    <row r="24" spans="1:13" ht="19.5" thickBot="1" x14ac:dyDescent="0.35">
      <c r="A24" s="27"/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24" thickBot="1" x14ac:dyDescent="0.4">
      <c r="A25" s="31" t="s">
        <v>12</v>
      </c>
      <c r="B25" s="28"/>
      <c r="C25" s="29"/>
      <c r="D25" s="30"/>
      <c r="E25" s="30"/>
      <c r="F25" s="30"/>
      <c r="G25" s="30"/>
      <c r="H25" s="30"/>
      <c r="I25" s="30"/>
      <c r="J25" s="30"/>
    </row>
    <row r="26" spans="1:13" ht="15.75" thickBot="1" x14ac:dyDescent="0.3">
      <c r="A26" s="32" t="s">
        <v>13</v>
      </c>
      <c r="B26" s="4" t="s">
        <v>1</v>
      </c>
      <c r="C26" s="33" t="s">
        <v>14</v>
      </c>
      <c r="D26" s="33" t="s">
        <v>3</v>
      </c>
      <c r="E26" s="33" t="s">
        <v>4</v>
      </c>
      <c r="F26" s="4" t="s">
        <v>5</v>
      </c>
      <c r="G26" s="4" t="s">
        <v>6</v>
      </c>
      <c r="H26" s="4" t="s">
        <v>15</v>
      </c>
      <c r="I26" s="4" t="s">
        <v>8</v>
      </c>
      <c r="J26" s="34" t="s">
        <v>9</v>
      </c>
    </row>
    <row r="27" spans="1:13" ht="15.75" thickBot="1" x14ac:dyDescent="0.3">
      <c r="A27" s="342"/>
      <c r="B27" s="21"/>
      <c r="C27" s="21"/>
      <c r="D27" s="35"/>
      <c r="E27" s="36"/>
      <c r="F27" s="35"/>
      <c r="G27" s="35"/>
      <c r="H27" s="37"/>
      <c r="I27" s="37"/>
      <c r="J27" s="38">
        <f>SUM(D27:I27)</f>
        <v>0</v>
      </c>
    </row>
    <row r="28" spans="1:13" ht="15.75" thickBot="1" x14ac:dyDescent="0.3">
      <c r="A28" s="342"/>
      <c r="B28" s="21"/>
      <c r="C28" s="21"/>
      <c r="D28" s="35"/>
      <c r="E28" s="35"/>
      <c r="F28" s="35"/>
      <c r="G28" s="35"/>
      <c r="H28" s="37"/>
      <c r="I28" s="37"/>
      <c r="J28" s="38">
        <f t="shared" ref="J28:J30" si="2">SUM(D28:I28)</f>
        <v>0</v>
      </c>
    </row>
    <row r="29" spans="1:13" ht="15.75" thickBot="1" x14ac:dyDescent="0.3">
      <c r="A29" s="342"/>
      <c r="B29" s="339"/>
      <c r="C29" s="7"/>
      <c r="D29" s="39"/>
      <c r="E29" s="39"/>
      <c r="F29" s="39"/>
      <c r="G29" s="39"/>
      <c r="H29" s="8"/>
      <c r="I29" s="8"/>
      <c r="J29" s="38">
        <f t="shared" si="2"/>
        <v>0</v>
      </c>
    </row>
    <row r="30" spans="1:13" ht="15.75" thickBot="1" x14ac:dyDescent="0.3">
      <c r="A30" s="4"/>
      <c r="B30" s="40"/>
      <c r="C30" s="7"/>
      <c r="D30" s="39"/>
      <c r="E30" s="39"/>
      <c r="F30" s="39"/>
      <c r="G30" s="39"/>
      <c r="H30" s="8"/>
      <c r="I30" s="8"/>
      <c r="J30" s="38">
        <f t="shared" si="2"/>
        <v>0</v>
      </c>
      <c r="L30" s="41" t="s">
        <v>16</v>
      </c>
      <c r="M30" s="42">
        <f>J31+J39</f>
        <v>84.6</v>
      </c>
    </row>
    <row r="31" spans="1:13" ht="15.75" thickBot="1" x14ac:dyDescent="0.3">
      <c r="A31" s="4" t="s">
        <v>9</v>
      </c>
      <c r="B31" s="43"/>
      <c r="C31" s="44"/>
      <c r="D31" s="45"/>
      <c r="E31" s="45"/>
      <c r="F31" s="45"/>
      <c r="G31" s="45"/>
      <c r="H31" s="45"/>
      <c r="I31" s="45"/>
      <c r="J31" s="12">
        <f>SUM(J27:J30)</f>
        <v>0</v>
      </c>
    </row>
    <row r="32" spans="1:13" ht="15.75" thickBot="1" x14ac:dyDescent="0.3">
      <c r="A32" s="28"/>
      <c r="B32" s="46"/>
      <c r="C32" s="47"/>
      <c r="D32" s="48"/>
      <c r="E32" s="48"/>
      <c r="F32" s="48"/>
      <c r="G32" s="48"/>
      <c r="H32" s="48"/>
      <c r="I32" s="48"/>
      <c r="J32" s="49"/>
    </row>
    <row r="33" spans="1:13" ht="24" thickBot="1" x14ac:dyDescent="0.4">
      <c r="A33" s="31" t="s">
        <v>12</v>
      </c>
      <c r="B33" s="28"/>
      <c r="C33" s="29"/>
      <c r="D33" s="30"/>
      <c r="E33" s="30"/>
      <c r="F33" s="30"/>
      <c r="G33" s="30"/>
      <c r="H33" s="30"/>
      <c r="I33" s="30"/>
      <c r="J33" s="30"/>
    </row>
    <row r="34" spans="1:13" ht="45.75" thickBot="1" x14ac:dyDescent="0.3">
      <c r="A34" s="50" t="s">
        <v>17</v>
      </c>
      <c r="B34" s="4" t="s">
        <v>18</v>
      </c>
      <c r="C34" s="33" t="s">
        <v>14</v>
      </c>
      <c r="D34" s="33" t="s">
        <v>3</v>
      </c>
      <c r="E34" s="33" t="s">
        <v>4</v>
      </c>
      <c r="F34" s="33" t="s">
        <v>19</v>
      </c>
      <c r="G34" s="33" t="s">
        <v>20</v>
      </c>
      <c r="H34" s="33" t="s">
        <v>15</v>
      </c>
      <c r="I34" s="51" t="s">
        <v>21</v>
      </c>
      <c r="J34" s="34" t="s">
        <v>9</v>
      </c>
    </row>
    <row r="35" spans="1:13" ht="15.75" thickBot="1" x14ac:dyDescent="0.3">
      <c r="A35" s="591" t="s">
        <v>329</v>
      </c>
      <c r="B35" s="566" t="s">
        <v>328</v>
      </c>
      <c r="C35" s="7">
        <v>45962</v>
      </c>
      <c r="D35" s="8">
        <v>27.9</v>
      </c>
      <c r="E35" s="8">
        <v>6</v>
      </c>
      <c r="F35" s="8"/>
      <c r="G35" s="8"/>
      <c r="H35" s="8"/>
      <c r="I35" s="8"/>
      <c r="J35" s="5">
        <f t="shared" ref="J35:J38" si="3">SUM(D35:I35)</f>
        <v>33.9</v>
      </c>
    </row>
    <row r="36" spans="1:13" ht="15.75" thickBot="1" x14ac:dyDescent="0.3">
      <c r="A36" s="592"/>
      <c r="B36" s="567"/>
      <c r="C36" s="7">
        <v>45992</v>
      </c>
      <c r="D36" s="35">
        <v>17.7</v>
      </c>
      <c r="E36" s="35">
        <v>6</v>
      </c>
      <c r="F36" s="35">
        <v>22</v>
      </c>
      <c r="G36" s="35">
        <v>5</v>
      </c>
      <c r="H36" s="37"/>
      <c r="I36" s="37"/>
      <c r="J36" s="38">
        <f t="shared" si="3"/>
        <v>50.7</v>
      </c>
    </row>
    <row r="37" spans="1:13" ht="15.75" thickBot="1" x14ac:dyDescent="0.3">
      <c r="A37" s="342"/>
      <c r="B37" s="339"/>
      <c r="C37" s="7"/>
      <c r="D37" s="39"/>
      <c r="E37" s="39"/>
      <c r="F37" s="39"/>
      <c r="G37" s="39"/>
      <c r="H37" s="8"/>
      <c r="I37" s="8"/>
      <c r="J37" s="38">
        <f t="shared" si="3"/>
        <v>0</v>
      </c>
    </row>
    <row r="38" spans="1:13" ht="15.75" thickBot="1" x14ac:dyDescent="0.3">
      <c r="A38" s="4"/>
      <c r="B38" s="40"/>
      <c r="C38" s="7"/>
      <c r="D38" s="39"/>
      <c r="E38" s="39"/>
      <c r="F38" s="39"/>
      <c r="G38" s="39"/>
      <c r="H38" s="8"/>
      <c r="I38" s="8"/>
      <c r="J38" s="38">
        <f t="shared" si="3"/>
        <v>0</v>
      </c>
      <c r="L38" s="53"/>
      <c r="M38" s="54"/>
    </row>
    <row r="39" spans="1:13" ht="15.75" thickBot="1" x14ac:dyDescent="0.3">
      <c r="A39" s="4" t="s">
        <v>9</v>
      </c>
      <c r="B39" s="43"/>
      <c r="C39" s="44"/>
      <c r="D39" s="45"/>
      <c r="E39" s="45"/>
      <c r="F39" s="45"/>
      <c r="G39" s="45"/>
      <c r="H39" s="45"/>
      <c r="I39" s="45"/>
      <c r="J39" s="12">
        <f>SUM(J35:J38)</f>
        <v>84.6</v>
      </c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x14ac:dyDescent="0.25">
      <c r="A41" s="28"/>
      <c r="B41" s="46"/>
      <c r="C41" s="47"/>
      <c r="D41" s="48"/>
      <c r="E41" s="48"/>
      <c r="F41" s="48"/>
      <c r="G41" s="48"/>
      <c r="H41" s="48"/>
      <c r="I41" s="48"/>
      <c r="J41" s="49"/>
    </row>
    <row r="42" spans="1:13" ht="15.75" thickBot="1" x14ac:dyDescent="0.3">
      <c r="A42" s="2"/>
      <c r="B42" s="2"/>
      <c r="C42" s="2"/>
      <c r="J42" s="3"/>
    </row>
    <row r="43" spans="1:13" ht="45.75" thickBot="1" x14ac:dyDescent="0.3">
      <c r="A43" s="33" t="s">
        <v>22</v>
      </c>
      <c r="B43" s="4" t="s">
        <v>18</v>
      </c>
      <c r="C43" s="33" t="s">
        <v>14</v>
      </c>
      <c r="D43" s="33" t="s">
        <v>3</v>
      </c>
      <c r="E43" s="33" t="s">
        <v>4</v>
      </c>
      <c r="F43" s="33" t="s">
        <v>19</v>
      </c>
      <c r="G43" s="33" t="s">
        <v>20</v>
      </c>
      <c r="H43" s="4" t="s">
        <v>21</v>
      </c>
      <c r="I43" s="51" t="s">
        <v>15</v>
      </c>
      <c r="J43" s="34" t="s">
        <v>9</v>
      </c>
    </row>
    <row r="44" spans="1:13" ht="15.75" thickBot="1" x14ac:dyDescent="0.3">
      <c r="A44" s="40" t="s">
        <v>307</v>
      </c>
      <c r="B44" s="21" t="s">
        <v>308</v>
      </c>
      <c r="C44" s="21">
        <v>45992</v>
      </c>
      <c r="D44" s="37">
        <v>8.3000000000000007</v>
      </c>
      <c r="E44" s="55">
        <v>6</v>
      </c>
      <c r="F44" s="37"/>
      <c r="G44" s="37"/>
      <c r="H44" s="37"/>
      <c r="I44" s="37"/>
      <c r="J44" s="38">
        <f>SUM(D44:I44)</f>
        <v>14.3</v>
      </c>
    </row>
    <row r="45" spans="1:13" ht="15.75" thickBot="1" x14ac:dyDescent="0.3">
      <c r="A45" s="564" t="s">
        <v>314</v>
      </c>
      <c r="B45" s="566" t="s">
        <v>315</v>
      </c>
      <c r="C45" s="21">
        <v>45992</v>
      </c>
      <c r="D45" s="37">
        <v>32.1</v>
      </c>
      <c r="E45" s="37">
        <v>6</v>
      </c>
      <c r="F45" s="37"/>
      <c r="G45" s="37"/>
      <c r="H45" s="37"/>
      <c r="I45" s="37"/>
      <c r="J45" s="38">
        <f t="shared" ref="J45:J57" si="4">SUM(D45:I45)</f>
        <v>38.1</v>
      </c>
    </row>
    <row r="46" spans="1:13" ht="15.75" thickBot="1" x14ac:dyDescent="0.3">
      <c r="A46" s="565"/>
      <c r="B46" s="567"/>
      <c r="C46" s="21">
        <v>46023</v>
      </c>
      <c r="D46" s="37"/>
      <c r="E46" s="37"/>
      <c r="F46" s="37"/>
      <c r="G46" s="37"/>
      <c r="H46" s="37"/>
      <c r="I46" s="37">
        <v>200</v>
      </c>
      <c r="J46" s="38">
        <f t="shared" si="4"/>
        <v>200</v>
      </c>
    </row>
    <row r="47" spans="1:13" ht="15.75" thickBot="1" x14ac:dyDescent="0.3">
      <c r="A47" s="40" t="s">
        <v>317</v>
      </c>
      <c r="B47" s="338" t="s">
        <v>316</v>
      </c>
      <c r="C47" s="21">
        <v>45992</v>
      </c>
      <c r="D47" s="37">
        <v>483.6</v>
      </c>
      <c r="E47" s="37">
        <v>13.4</v>
      </c>
      <c r="F47" s="37">
        <v>60</v>
      </c>
      <c r="G47" s="37">
        <v>5</v>
      </c>
      <c r="H47" s="37"/>
      <c r="I47" s="37"/>
      <c r="J47" s="38">
        <f t="shared" si="4"/>
        <v>562</v>
      </c>
    </row>
    <row r="48" spans="1:13" ht="15.75" thickBot="1" x14ac:dyDescent="0.3">
      <c r="A48" s="40" t="s">
        <v>319</v>
      </c>
      <c r="B48" s="338" t="s">
        <v>318</v>
      </c>
      <c r="C48" s="21">
        <v>45992</v>
      </c>
      <c r="D48" s="37">
        <v>263.60000000000002</v>
      </c>
      <c r="E48" s="37">
        <v>43.2</v>
      </c>
      <c r="F48" s="37">
        <v>60</v>
      </c>
      <c r="G48" s="37">
        <v>5</v>
      </c>
      <c r="H48" s="37"/>
      <c r="I48" s="37"/>
      <c r="J48" s="38">
        <f t="shared" si="4"/>
        <v>371.8</v>
      </c>
    </row>
    <row r="49" spans="1:10" ht="15.75" thickBot="1" x14ac:dyDescent="0.3">
      <c r="A49" s="339" t="s">
        <v>324</v>
      </c>
      <c r="B49" s="338" t="s">
        <v>325</v>
      </c>
      <c r="C49" s="21">
        <v>46023</v>
      </c>
      <c r="D49" s="37"/>
      <c r="E49" s="37"/>
      <c r="F49" s="37">
        <v>60</v>
      </c>
      <c r="G49" s="37">
        <v>5</v>
      </c>
      <c r="H49" s="37">
        <v>10</v>
      </c>
      <c r="I49" s="37"/>
      <c r="J49" s="38">
        <f t="shared" si="4"/>
        <v>75</v>
      </c>
    </row>
    <row r="50" spans="1:10" ht="15.75" thickBot="1" x14ac:dyDescent="0.3">
      <c r="A50" s="339" t="s">
        <v>326</v>
      </c>
      <c r="B50" s="338" t="s">
        <v>327</v>
      </c>
      <c r="C50" s="21">
        <v>46023</v>
      </c>
      <c r="D50" s="37">
        <v>28</v>
      </c>
      <c r="E50" s="37">
        <v>5</v>
      </c>
      <c r="F50" s="37"/>
      <c r="G50" s="37"/>
      <c r="H50" s="37"/>
      <c r="I50" s="37"/>
      <c r="J50" s="38">
        <f t="shared" si="4"/>
        <v>33</v>
      </c>
    </row>
    <row r="51" spans="1:10" ht="15.75" thickBot="1" x14ac:dyDescent="0.3">
      <c r="A51" s="339"/>
      <c r="B51" s="338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339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339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56"/>
      <c r="B54" s="21"/>
      <c r="C54" s="21"/>
      <c r="D54" s="37"/>
      <c r="E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37"/>
      <c r="E56" s="37"/>
      <c r="F56" s="37"/>
      <c r="G56" s="37"/>
      <c r="H56" s="37"/>
      <c r="I56" s="37"/>
      <c r="J56" s="38">
        <f t="shared" si="4"/>
        <v>0</v>
      </c>
    </row>
    <row r="57" spans="1:10" ht="15.75" thickBot="1" x14ac:dyDescent="0.3">
      <c r="A57" s="40"/>
      <c r="B57" s="21"/>
      <c r="C57" s="21"/>
      <c r="D57" s="57"/>
      <c r="E57" s="57"/>
      <c r="F57" s="57"/>
      <c r="G57" s="57"/>
      <c r="H57" s="57"/>
      <c r="I57" s="57"/>
      <c r="J57" s="38">
        <f t="shared" si="4"/>
        <v>0</v>
      </c>
    </row>
    <row r="58" spans="1:10" ht="19.5" thickBot="1" x14ac:dyDescent="0.35">
      <c r="A58" s="23" t="s">
        <v>9</v>
      </c>
      <c r="B58" s="4"/>
      <c r="C58" s="24"/>
      <c r="D58" s="25">
        <f t="shared" ref="D58:J58" si="5">SUM(D44:D57)</f>
        <v>815.6</v>
      </c>
      <c r="E58" s="25">
        <f t="shared" si="5"/>
        <v>73.599999999999994</v>
      </c>
      <c r="F58" s="25">
        <f t="shared" si="5"/>
        <v>180</v>
      </c>
      <c r="G58" s="25">
        <f t="shared" si="5"/>
        <v>15</v>
      </c>
      <c r="H58" s="25">
        <f t="shared" si="5"/>
        <v>10</v>
      </c>
      <c r="I58" s="25">
        <f t="shared" si="5"/>
        <v>200</v>
      </c>
      <c r="J58" s="25">
        <f t="shared" si="5"/>
        <v>1294.2</v>
      </c>
    </row>
    <row r="59" spans="1:10" ht="15.75" x14ac:dyDescent="0.25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6.5" thickBot="1" x14ac:dyDescent="0.3">
      <c r="A60" s="58"/>
      <c r="B60" s="58"/>
      <c r="C60" s="59"/>
      <c r="D60" s="60"/>
      <c r="E60" s="60"/>
      <c r="F60" s="60"/>
      <c r="G60" s="60"/>
      <c r="H60" s="60"/>
      <c r="I60" s="60"/>
      <c r="J60" s="60"/>
    </row>
    <row r="61" spans="1:10" ht="19.5" thickBot="1" x14ac:dyDescent="0.35">
      <c r="A61" s="554" t="s">
        <v>23</v>
      </c>
      <c r="B61" s="555"/>
      <c r="C61" s="61"/>
      <c r="D61" s="62"/>
      <c r="E61" s="62"/>
      <c r="F61" s="62"/>
      <c r="G61" s="62"/>
      <c r="H61" s="62"/>
      <c r="I61" s="62"/>
      <c r="J61" s="26">
        <f>+J23+J58</f>
        <v>3244.7</v>
      </c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x14ac:dyDescent="0.25">
      <c r="A63" s="2"/>
      <c r="B63" s="2"/>
      <c r="C63" s="63"/>
      <c r="D63" s="3"/>
      <c r="E63" s="3"/>
      <c r="F63" s="3"/>
      <c r="G63" s="3"/>
      <c r="H63" s="3"/>
      <c r="I63" s="3"/>
      <c r="J63" s="3"/>
    </row>
    <row r="64" spans="1:10" ht="16.5" thickBot="1" x14ac:dyDescent="0.3">
      <c r="A64" s="64" t="s">
        <v>24</v>
      </c>
      <c r="B64" s="2"/>
      <c r="C64" s="63"/>
      <c r="D64" s="3"/>
      <c r="E64" s="3"/>
      <c r="F64" s="3"/>
      <c r="G64" s="3"/>
      <c r="H64" s="3"/>
      <c r="I64" s="3"/>
      <c r="J64" s="3"/>
    </row>
    <row r="65" spans="1:15" ht="19.5" thickBot="1" x14ac:dyDescent="0.35">
      <c r="A65" s="65" t="s">
        <v>25</v>
      </c>
      <c r="B65" s="66"/>
      <c r="C65" s="67"/>
      <c r="D65" s="68"/>
      <c r="E65" s="68"/>
      <c r="F65" s="68"/>
      <c r="G65" s="68"/>
      <c r="H65" s="68"/>
      <c r="I65" s="68"/>
      <c r="J65" s="26">
        <v>1100</v>
      </c>
    </row>
    <row r="66" spans="1:15" ht="19.5" thickBot="1" x14ac:dyDescent="0.35">
      <c r="A66" s="65" t="s">
        <v>26</v>
      </c>
      <c r="B66" s="66"/>
      <c r="C66" s="69"/>
      <c r="D66" s="68"/>
      <c r="E66" s="68"/>
      <c r="F66" s="68"/>
      <c r="G66" s="68"/>
      <c r="H66" s="68"/>
      <c r="I66" s="68"/>
      <c r="J66" s="26">
        <v>2040</v>
      </c>
      <c r="K66" s="106">
        <f>J65+J66</f>
        <v>3140</v>
      </c>
    </row>
    <row r="67" spans="1:15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  <c r="K67">
        <v>100</v>
      </c>
    </row>
    <row r="68" spans="1:15" ht="18.75" x14ac:dyDescent="0.3">
      <c r="A68" s="70"/>
      <c r="B68" s="70"/>
      <c r="C68" s="71"/>
      <c r="D68" s="72"/>
      <c r="E68" s="72"/>
      <c r="F68" s="72"/>
      <c r="G68" s="72"/>
      <c r="H68" s="72"/>
      <c r="I68" s="72"/>
      <c r="J68" s="30"/>
      <c r="K68" s="106">
        <f>K66+K67</f>
        <v>3240</v>
      </c>
    </row>
    <row r="69" spans="1:15" ht="16.5" thickBot="1" x14ac:dyDescent="0.3">
      <c r="A69" s="73" t="s">
        <v>27</v>
      </c>
      <c r="B69" s="74"/>
      <c r="C69" s="63"/>
      <c r="D69" s="3"/>
      <c r="E69" s="3"/>
      <c r="F69" s="3"/>
      <c r="G69" s="3"/>
      <c r="H69" s="3"/>
      <c r="I69" s="3"/>
      <c r="J69" s="3"/>
      <c r="M69">
        <v>100</v>
      </c>
      <c r="N69">
        <v>11</v>
      </c>
      <c r="O69">
        <f>N69*M69</f>
        <v>1100</v>
      </c>
    </row>
    <row r="70" spans="1:15" ht="19.5" thickBot="1" x14ac:dyDescent="0.35">
      <c r="A70" s="75" t="s">
        <v>28</v>
      </c>
      <c r="B70" s="76"/>
      <c r="C70" s="77"/>
      <c r="D70" s="78"/>
      <c r="E70" s="78"/>
      <c r="F70" s="78"/>
      <c r="G70" s="78"/>
      <c r="H70" s="78"/>
      <c r="I70" s="78"/>
      <c r="J70" s="79">
        <v>488.5</v>
      </c>
      <c r="M70">
        <v>50</v>
      </c>
      <c r="N70">
        <v>20</v>
      </c>
      <c r="O70">
        <f t="shared" ref="O70:O73" si="6">N70*M70</f>
        <v>1000</v>
      </c>
    </row>
    <row r="71" spans="1:15" x14ac:dyDescent="0.25">
      <c r="A71" s="80"/>
      <c r="B71" s="2"/>
      <c r="C71" s="63"/>
      <c r="D71" s="3"/>
      <c r="E71" s="3"/>
      <c r="F71" s="3"/>
      <c r="G71" s="3"/>
      <c r="H71" s="3"/>
      <c r="I71" s="3"/>
      <c r="J71" s="3"/>
      <c r="M71">
        <v>20</v>
      </c>
      <c r="N71">
        <v>49</v>
      </c>
      <c r="O71">
        <f t="shared" si="6"/>
        <v>980</v>
      </c>
    </row>
    <row r="72" spans="1:15" ht="16.5" thickBot="1" x14ac:dyDescent="0.3">
      <c r="A72" s="73"/>
      <c r="B72" s="74"/>
      <c r="C72" s="63"/>
      <c r="D72" s="3"/>
      <c r="E72" s="3"/>
      <c r="F72" s="3"/>
      <c r="G72" s="3"/>
      <c r="H72" s="3"/>
      <c r="I72" s="3"/>
      <c r="J72" s="3"/>
      <c r="M72">
        <v>10</v>
      </c>
      <c r="N72">
        <v>14</v>
      </c>
      <c r="O72">
        <f t="shared" si="6"/>
        <v>140</v>
      </c>
    </row>
    <row r="73" spans="1:15" ht="19.5" thickBot="1" x14ac:dyDescent="0.35">
      <c r="A73" s="75" t="s">
        <v>29</v>
      </c>
      <c r="B73" s="76"/>
      <c r="C73" s="81"/>
      <c r="D73" s="78"/>
      <c r="E73" s="78"/>
      <c r="F73" s="78"/>
      <c r="G73" s="78"/>
      <c r="H73" s="78"/>
      <c r="I73" s="78"/>
      <c r="J73" s="82"/>
      <c r="M73">
        <v>1</v>
      </c>
      <c r="N73">
        <v>20</v>
      </c>
      <c r="O73">
        <f t="shared" si="6"/>
        <v>20</v>
      </c>
    </row>
    <row r="74" spans="1:15" ht="15.75" thickBot="1" x14ac:dyDescent="0.3">
      <c r="A74" s="80"/>
      <c r="B74" s="2"/>
      <c r="C74" s="63"/>
      <c r="D74" s="3"/>
      <c r="E74" s="3"/>
      <c r="F74" s="3"/>
      <c r="G74" s="3"/>
      <c r="H74" s="3"/>
      <c r="I74" s="3"/>
      <c r="J74" s="3"/>
      <c r="O74">
        <f>SUM(O69:O73)</f>
        <v>3240</v>
      </c>
    </row>
    <row r="75" spans="1:15" ht="21.75" thickBot="1" x14ac:dyDescent="0.4">
      <c r="A75" s="556" t="s">
        <v>30</v>
      </c>
      <c r="B75" s="557"/>
      <c r="C75" s="83"/>
      <c r="D75" s="84"/>
      <c r="E75" s="84"/>
      <c r="F75" s="84"/>
      <c r="G75" s="84"/>
      <c r="H75" s="84"/>
      <c r="I75" s="84"/>
      <c r="J75" s="85">
        <f>SUM(J61:J74)</f>
        <v>6873.2</v>
      </c>
    </row>
    <row r="76" spans="1:15" x14ac:dyDescent="0.25">
      <c r="A76" s="2"/>
      <c r="B76" s="2"/>
      <c r="C76" s="63"/>
      <c r="D76" s="3"/>
      <c r="E76" s="3"/>
      <c r="F76" s="3"/>
      <c r="G76" s="3"/>
      <c r="H76" s="3"/>
      <c r="I76" s="3"/>
      <c r="J76" s="3"/>
    </row>
    <row r="77" spans="1:15" ht="21" x14ac:dyDescent="0.35">
      <c r="A77" s="553" t="s">
        <v>323</v>
      </c>
      <c r="B77" s="553"/>
      <c r="C77" s="553"/>
      <c r="D77" s="553"/>
      <c r="E77" s="553"/>
      <c r="F77" s="553"/>
      <c r="G77" s="553"/>
      <c r="H77" s="553"/>
      <c r="I77" s="553"/>
      <c r="J77" s="553"/>
    </row>
    <row r="78" spans="1:15" ht="21.75" thickBot="1" x14ac:dyDescent="0.4">
      <c r="A78" s="337" t="s">
        <v>31</v>
      </c>
      <c r="B78" s="337"/>
      <c r="C78" s="337"/>
      <c r="D78" s="337"/>
      <c r="E78" s="337"/>
      <c r="F78" s="337"/>
      <c r="G78" s="337"/>
      <c r="H78" s="337"/>
      <c r="I78" s="337"/>
      <c r="J78" s="87"/>
    </row>
    <row r="79" spans="1:15" ht="15.75" thickBot="1" x14ac:dyDescent="0.3">
      <c r="A79" s="88" t="s">
        <v>32</v>
      </c>
      <c r="B79" s="89" t="s">
        <v>33</v>
      </c>
      <c r="C79" s="558" t="s">
        <v>2</v>
      </c>
      <c r="D79" s="559"/>
      <c r="E79" s="559"/>
      <c r="F79" s="559"/>
      <c r="G79" s="559"/>
      <c r="H79" s="559"/>
      <c r="I79" s="560"/>
      <c r="J79" s="90" t="s">
        <v>9</v>
      </c>
    </row>
    <row r="80" spans="1:15" ht="15.75" thickBot="1" x14ac:dyDescent="0.3">
      <c r="A80" s="91" t="s">
        <v>309</v>
      </c>
      <c r="B80" s="92" t="s">
        <v>310</v>
      </c>
      <c r="C80" s="550" t="s">
        <v>311</v>
      </c>
      <c r="D80" s="551"/>
      <c r="E80" s="551"/>
      <c r="F80" s="551"/>
      <c r="G80" s="551"/>
      <c r="H80" s="551"/>
      <c r="I80" s="551"/>
      <c r="J80" s="22">
        <v>400</v>
      </c>
    </row>
    <row r="81" spans="1:10" ht="30.75" thickBot="1" x14ac:dyDescent="0.3">
      <c r="A81" s="40" t="s">
        <v>320</v>
      </c>
      <c r="B81" s="92" t="s">
        <v>321</v>
      </c>
      <c r="C81" s="550" t="s">
        <v>322</v>
      </c>
      <c r="D81" s="551"/>
      <c r="E81" s="551"/>
      <c r="F81" s="551"/>
      <c r="G81" s="551"/>
      <c r="H81" s="552"/>
      <c r="I81" s="552"/>
      <c r="J81" s="22">
        <v>30</v>
      </c>
    </row>
    <row r="82" spans="1:10" ht="15.75" thickBot="1" x14ac:dyDescent="0.3">
      <c r="A82" s="40"/>
      <c r="B82" s="92"/>
      <c r="C82" s="561"/>
      <c r="D82" s="562"/>
      <c r="E82" s="562"/>
      <c r="F82" s="562"/>
      <c r="G82" s="562"/>
      <c r="H82" s="562"/>
      <c r="I82" s="562"/>
      <c r="J82" s="93"/>
    </row>
    <row r="83" spans="1:10" ht="15.75" thickBot="1" x14ac:dyDescent="0.3">
      <c r="A83" s="40"/>
      <c r="B83" s="92"/>
      <c r="C83" s="550"/>
      <c r="D83" s="551"/>
      <c r="E83" s="551"/>
      <c r="F83" s="551"/>
      <c r="G83" s="551"/>
      <c r="H83" s="552"/>
      <c r="I83" s="552"/>
      <c r="J83" s="22"/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22"/>
    </row>
    <row r="85" spans="1:10" ht="15.75" thickBot="1" x14ac:dyDescent="0.3">
      <c r="A85" s="40"/>
      <c r="B85" s="92"/>
      <c r="C85" s="550"/>
      <c r="D85" s="551"/>
      <c r="E85" s="551"/>
      <c r="F85" s="551"/>
      <c r="G85" s="551"/>
      <c r="H85" s="552"/>
      <c r="I85" s="552"/>
      <c r="J85" s="22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22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22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5.75" thickBot="1" x14ac:dyDescent="0.3">
      <c r="A92" s="40"/>
      <c r="B92" s="92"/>
      <c r="C92" s="550"/>
      <c r="D92" s="551"/>
      <c r="E92" s="551"/>
      <c r="F92" s="551"/>
      <c r="G92" s="551"/>
      <c r="H92" s="552"/>
      <c r="I92" s="552"/>
      <c r="J92" s="37"/>
    </row>
    <row r="93" spans="1:10" ht="19.5" thickBot="1" x14ac:dyDescent="0.35">
      <c r="A93" s="94" t="s">
        <v>34</v>
      </c>
      <c r="B93" s="554"/>
      <c r="C93" s="563"/>
      <c r="D93" s="563"/>
      <c r="E93" s="563"/>
      <c r="F93" s="563"/>
      <c r="G93" s="563"/>
      <c r="H93" s="563"/>
      <c r="I93" s="563"/>
      <c r="J93" s="95">
        <f>SUM(J80:J92)</f>
        <v>430</v>
      </c>
    </row>
    <row r="94" spans="1:10" ht="18.75" x14ac:dyDescent="0.3">
      <c r="A94" s="27"/>
      <c r="B94" s="27"/>
      <c r="C94" s="96"/>
      <c r="D94" s="96"/>
      <c r="E94" s="96"/>
      <c r="F94" s="97"/>
      <c r="G94" s="96"/>
      <c r="H94" s="96"/>
      <c r="I94" s="96"/>
      <c r="J94" s="30"/>
    </row>
    <row r="95" spans="1:10" ht="18.75" x14ac:dyDescent="0.3">
      <c r="A95" s="27"/>
      <c r="B95" s="27"/>
      <c r="C95" s="96"/>
      <c r="D95" s="96"/>
      <c r="E95" s="96"/>
      <c r="F95" s="97"/>
      <c r="G95" s="96"/>
      <c r="H95" s="96"/>
      <c r="I95" s="96"/>
      <c r="J95" s="30"/>
    </row>
    <row r="96" spans="1:10" ht="18.75" x14ac:dyDescent="0.3">
      <c r="A96" s="58" t="s">
        <v>35</v>
      </c>
      <c r="B96" s="27"/>
      <c r="C96" s="2"/>
      <c r="D96" s="3"/>
      <c r="F96" s="3"/>
      <c r="J96" s="3"/>
    </row>
    <row r="97" spans="1:10" x14ac:dyDescent="0.25">
      <c r="A97" s="2" t="s">
        <v>36</v>
      </c>
      <c r="B97" s="63">
        <f>+J75</f>
        <v>6873.2</v>
      </c>
      <c r="C97" s="98"/>
      <c r="D97" s="3"/>
      <c r="F97" s="3"/>
      <c r="J97" s="3"/>
    </row>
    <row r="98" spans="1:10" ht="15.75" thickBot="1" x14ac:dyDescent="0.3">
      <c r="A98" s="2" t="s">
        <v>34</v>
      </c>
      <c r="B98" s="99">
        <f>+J93</f>
        <v>430</v>
      </c>
      <c r="C98" s="100"/>
      <c r="D98" s="3"/>
      <c r="F98" s="3"/>
      <c r="G98" s="101"/>
      <c r="H98" s="101"/>
      <c r="I98" s="102"/>
      <c r="J98" s="102"/>
    </row>
    <row r="99" spans="1:10" ht="17.25" thickTop="1" thickBot="1" x14ac:dyDescent="0.3">
      <c r="A99" s="58" t="s">
        <v>37</v>
      </c>
      <c r="B99" s="103">
        <f>++B97-B98</f>
        <v>6443.2</v>
      </c>
      <c r="C99" s="104"/>
      <c r="D99" s="105"/>
      <c r="E99" s="106"/>
      <c r="F99" s="105"/>
      <c r="G99" s="107"/>
      <c r="H99" s="107"/>
      <c r="I99" s="3"/>
    </row>
    <row r="100" spans="1:10" ht="15.75" thickTop="1" x14ac:dyDescent="0.25"/>
  </sheetData>
  <mergeCells count="23">
    <mergeCell ref="B93:I93"/>
    <mergeCell ref="B45:B46"/>
    <mergeCell ref="A45:A46"/>
    <mergeCell ref="A35:A36"/>
    <mergeCell ref="B35:B36"/>
    <mergeCell ref="C87:I87"/>
    <mergeCell ref="C88:I88"/>
    <mergeCell ref="C89:I89"/>
    <mergeCell ref="C90:I90"/>
    <mergeCell ref="C91:I91"/>
    <mergeCell ref="C92:I92"/>
    <mergeCell ref="C81:I81"/>
    <mergeCell ref="C82:I82"/>
    <mergeCell ref="C83:I83"/>
    <mergeCell ref="C84:I84"/>
    <mergeCell ref="C85:I85"/>
    <mergeCell ref="C86:I86"/>
    <mergeCell ref="A1:J1"/>
    <mergeCell ref="A61:B61"/>
    <mergeCell ref="A75:B75"/>
    <mergeCell ref="A77:J77"/>
    <mergeCell ref="C79:I79"/>
    <mergeCell ref="C80:I80"/>
  </mergeCells>
  <phoneticPr fontId="13" type="noConversion"/>
  <pageMargins left="0.12" right="0.12" top="1.62" bottom="0.12" header="0.12" footer="0.12"/>
  <pageSetup paperSize="9" scale="27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55E2-188F-437D-8BDB-92C789198BBC}">
  <sheetPr>
    <pageSetUpPr fitToPage="1"/>
  </sheetPr>
  <dimension ref="A1:M100"/>
  <sheetViews>
    <sheetView topLeftCell="A34" workbookViewId="0">
      <selection activeCell="D34" sqref="D34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0" max="10" width="14" bestFit="1" customWidth="1"/>
  </cols>
  <sheetData>
    <row r="1" spans="1:10" ht="21" x14ac:dyDescent="0.35">
      <c r="A1" s="553" t="s">
        <v>335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30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83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336</v>
      </c>
      <c r="B4" s="6" t="s">
        <v>337</v>
      </c>
      <c r="C4" s="7">
        <v>46054</v>
      </c>
      <c r="D4" s="8"/>
      <c r="E4" s="8"/>
      <c r="F4" s="8">
        <v>350</v>
      </c>
      <c r="G4" s="8"/>
      <c r="H4" s="8"/>
      <c r="I4" s="8"/>
      <c r="J4" s="5">
        <f>SUM(D4:I4)</f>
        <v>350</v>
      </c>
    </row>
    <row r="5" spans="1:10" ht="15.75" thickBot="1" x14ac:dyDescent="0.3">
      <c r="A5" s="6" t="s">
        <v>341</v>
      </c>
      <c r="B5" s="6" t="s">
        <v>342</v>
      </c>
      <c r="C5" s="7">
        <v>46054</v>
      </c>
      <c r="D5" s="8"/>
      <c r="E5" s="8"/>
      <c r="F5" s="8">
        <v>140</v>
      </c>
      <c r="G5" s="8"/>
      <c r="H5" s="8"/>
      <c r="I5" s="8"/>
      <c r="J5" s="5">
        <f t="shared" ref="J5:J22" si="0">SUM(D5:I5)</f>
        <v>140</v>
      </c>
    </row>
    <row r="6" spans="1:10" ht="15.75" thickBot="1" x14ac:dyDescent="0.3">
      <c r="A6" s="6" t="s">
        <v>346</v>
      </c>
      <c r="B6" s="6" t="s">
        <v>347</v>
      </c>
      <c r="C6" s="7">
        <v>46054</v>
      </c>
      <c r="D6" s="8"/>
      <c r="E6" s="8"/>
      <c r="F6" s="8"/>
      <c r="G6" s="8">
        <v>500</v>
      </c>
      <c r="H6" s="8"/>
      <c r="I6" s="8"/>
      <c r="J6" s="5">
        <f t="shared" si="0"/>
        <v>500</v>
      </c>
    </row>
    <row r="7" spans="1:10" ht="15.75" thickBot="1" x14ac:dyDescent="0.3">
      <c r="A7" s="6" t="s">
        <v>343</v>
      </c>
      <c r="B7" s="6" t="s">
        <v>344</v>
      </c>
      <c r="C7" s="7">
        <v>46054</v>
      </c>
      <c r="D7" s="8"/>
      <c r="E7" s="8"/>
      <c r="F7" s="8"/>
      <c r="G7" s="8"/>
      <c r="H7" s="8"/>
      <c r="I7" s="8">
        <v>6</v>
      </c>
      <c r="J7" s="5">
        <f t="shared" si="0"/>
        <v>6</v>
      </c>
    </row>
    <row r="8" spans="1:10" ht="15.75" thickBot="1" x14ac:dyDescent="0.3">
      <c r="A8" s="6" t="s">
        <v>10</v>
      </c>
      <c r="B8" s="6" t="s">
        <v>345</v>
      </c>
      <c r="C8" s="7">
        <v>46054</v>
      </c>
      <c r="D8" s="8"/>
      <c r="E8" s="8"/>
      <c r="F8" s="8"/>
      <c r="G8" s="8"/>
      <c r="H8" s="8"/>
      <c r="I8" s="8">
        <v>10</v>
      </c>
      <c r="J8" s="5">
        <f t="shared" si="0"/>
        <v>10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6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9"/>
      <c r="B12" s="6"/>
      <c r="C12" s="7"/>
      <c r="D12" s="8"/>
      <c r="E12" s="8"/>
      <c r="F12" s="8"/>
      <c r="G12" s="8"/>
      <c r="H12" s="8"/>
      <c r="I12" s="8"/>
      <c r="J12" s="5">
        <f t="shared" si="0"/>
        <v>0</v>
      </c>
    </row>
    <row r="13" spans="1:10" ht="15.75" thickBot="1" x14ac:dyDescent="0.3">
      <c r="A13" s="9"/>
      <c r="B13" s="349"/>
      <c r="C13" s="7"/>
      <c r="D13" s="8"/>
      <c r="E13" s="8"/>
      <c r="F13" s="8"/>
      <c r="G13" s="8"/>
      <c r="H13" s="8"/>
      <c r="I13" s="11"/>
      <c r="J13" s="12">
        <f t="shared" si="0"/>
        <v>0</v>
      </c>
    </row>
    <row r="14" spans="1:10" ht="15.75" thickBot="1" x14ac:dyDescent="0.3">
      <c r="A14" s="6"/>
      <c r="B14" s="6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3"/>
      <c r="B15" s="350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15"/>
      <c r="B16" s="13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347"/>
      <c r="B17" s="347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347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7"/>
      <c r="B19" s="347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18"/>
      <c r="B20" s="347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351"/>
      <c r="B21" s="351"/>
      <c r="C21" s="7"/>
      <c r="D21" s="8"/>
      <c r="E21" s="8"/>
      <c r="F21" s="8"/>
      <c r="G21" s="8"/>
      <c r="H21" s="8"/>
      <c r="I21" s="8"/>
      <c r="J21" s="5">
        <f t="shared" si="0"/>
        <v>0</v>
      </c>
    </row>
    <row r="22" spans="1:13" ht="15.75" thickBot="1" x14ac:dyDescent="0.3">
      <c r="A22" s="347"/>
      <c r="B22" s="348"/>
      <c r="C22" s="21"/>
      <c r="D22" s="22"/>
      <c r="E22" s="22"/>
      <c r="F22" s="22"/>
      <c r="G22" s="22"/>
      <c r="H22" s="22"/>
      <c r="I22" s="22"/>
      <c r="J22" s="5">
        <f t="shared" si="0"/>
        <v>0</v>
      </c>
    </row>
    <row r="23" spans="1:13" ht="19.5" thickBot="1" x14ac:dyDescent="0.35">
      <c r="A23" s="23" t="s">
        <v>9</v>
      </c>
      <c r="B23" s="4"/>
      <c r="C23" s="24"/>
      <c r="D23" s="25">
        <f t="shared" ref="D23:I23" si="1">SUM(D4:D22)</f>
        <v>0</v>
      </c>
      <c r="E23" s="25">
        <f t="shared" si="1"/>
        <v>0</v>
      </c>
      <c r="F23" s="25">
        <f>SUM(F4:F22)</f>
        <v>490</v>
      </c>
      <c r="G23" s="25">
        <f t="shared" si="1"/>
        <v>500</v>
      </c>
      <c r="H23" s="25">
        <f t="shared" si="1"/>
        <v>0</v>
      </c>
      <c r="I23" s="25">
        <f t="shared" si="1"/>
        <v>16</v>
      </c>
      <c r="J23" s="26">
        <f>SUM(J4:J22)</f>
        <v>1006</v>
      </c>
    </row>
    <row r="24" spans="1:13" ht="19.5" thickBot="1" x14ac:dyDescent="0.35">
      <c r="A24" s="27"/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24" thickBot="1" x14ac:dyDescent="0.4">
      <c r="A25" s="31" t="s">
        <v>12</v>
      </c>
      <c r="B25" s="28"/>
      <c r="C25" s="29"/>
      <c r="D25" s="30"/>
      <c r="E25" s="30"/>
      <c r="F25" s="30"/>
      <c r="G25" s="30"/>
      <c r="H25" s="30"/>
      <c r="I25" s="30"/>
      <c r="J25" s="30"/>
    </row>
    <row r="26" spans="1:13" ht="15.75" thickBot="1" x14ac:dyDescent="0.3">
      <c r="A26" s="32" t="s">
        <v>13</v>
      </c>
      <c r="B26" s="4" t="s">
        <v>1</v>
      </c>
      <c r="C26" s="33" t="s">
        <v>14</v>
      </c>
      <c r="D26" s="33" t="s">
        <v>3</v>
      </c>
      <c r="E26" s="33" t="s">
        <v>4</v>
      </c>
      <c r="F26" s="4" t="s">
        <v>5</v>
      </c>
      <c r="G26" s="4" t="s">
        <v>6</v>
      </c>
      <c r="H26" s="4" t="s">
        <v>15</v>
      </c>
      <c r="I26" s="4" t="s">
        <v>8</v>
      </c>
      <c r="J26" s="34" t="s">
        <v>9</v>
      </c>
    </row>
    <row r="27" spans="1:13" ht="15.75" thickBot="1" x14ac:dyDescent="0.3">
      <c r="A27" s="351" t="s">
        <v>356</v>
      </c>
      <c r="B27" s="21" t="s">
        <v>357</v>
      </c>
      <c r="C27" s="21">
        <v>46060</v>
      </c>
      <c r="D27" s="35"/>
      <c r="E27" s="36"/>
      <c r="F27" s="35"/>
      <c r="G27" s="35">
        <v>30</v>
      </c>
      <c r="H27" s="37"/>
      <c r="I27" s="37"/>
      <c r="J27" s="38">
        <f>SUM(D27:I27)</f>
        <v>30</v>
      </c>
    </row>
    <row r="28" spans="1:13" ht="15.75" thickBot="1" x14ac:dyDescent="0.3">
      <c r="A28" s="351"/>
      <c r="B28" s="21"/>
      <c r="C28" s="21"/>
      <c r="D28" s="35"/>
      <c r="E28" s="35"/>
      <c r="F28" s="35"/>
      <c r="G28" s="35"/>
      <c r="H28" s="37"/>
      <c r="I28" s="37"/>
      <c r="J28" s="38">
        <f t="shared" ref="J28:J30" si="2">SUM(D28:I28)</f>
        <v>0</v>
      </c>
    </row>
    <row r="29" spans="1:13" ht="15.75" thickBot="1" x14ac:dyDescent="0.3">
      <c r="A29" s="351"/>
      <c r="B29" s="347"/>
      <c r="C29" s="7"/>
      <c r="D29" s="39"/>
      <c r="E29" s="39"/>
      <c r="F29" s="39"/>
      <c r="G29" s="39"/>
      <c r="H29" s="8"/>
      <c r="I29" s="8"/>
      <c r="J29" s="38">
        <f t="shared" si="2"/>
        <v>0</v>
      </c>
    </row>
    <row r="30" spans="1:13" ht="15.75" thickBot="1" x14ac:dyDescent="0.3">
      <c r="A30" s="4"/>
      <c r="B30" s="40"/>
      <c r="C30" s="7"/>
      <c r="D30" s="39"/>
      <c r="E30" s="39"/>
      <c r="F30" s="39"/>
      <c r="G30" s="39"/>
      <c r="H30" s="8"/>
      <c r="I30" s="8"/>
      <c r="J30" s="38">
        <f t="shared" si="2"/>
        <v>0</v>
      </c>
      <c r="L30" s="41" t="s">
        <v>16</v>
      </c>
      <c r="M30" s="42">
        <f>J31+J39</f>
        <v>30</v>
      </c>
    </row>
    <row r="31" spans="1:13" ht="15.75" thickBot="1" x14ac:dyDescent="0.3">
      <c r="A31" s="4" t="s">
        <v>9</v>
      </c>
      <c r="B31" s="43"/>
      <c r="C31" s="44"/>
      <c r="D31" s="45"/>
      <c r="E31" s="45"/>
      <c r="F31" s="45"/>
      <c r="G31" s="45"/>
      <c r="H31" s="45"/>
      <c r="I31" s="45"/>
      <c r="J31" s="12">
        <f>SUM(J27:J30)</f>
        <v>30</v>
      </c>
    </row>
    <row r="32" spans="1:13" ht="15.75" thickBot="1" x14ac:dyDescent="0.3">
      <c r="A32" s="28"/>
      <c r="B32" s="46"/>
      <c r="C32" s="47"/>
      <c r="D32" s="48"/>
      <c r="E32" s="48"/>
      <c r="F32" s="48"/>
      <c r="G32" s="48"/>
      <c r="H32" s="48"/>
      <c r="I32" s="48"/>
      <c r="J32" s="49"/>
    </row>
    <row r="33" spans="1:13" ht="24" thickBot="1" x14ac:dyDescent="0.4">
      <c r="A33" s="31" t="s">
        <v>12</v>
      </c>
      <c r="B33" s="28"/>
      <c r="C33" s="29"/>
      <c r="D33" s="30"/>
      <c r="E33" s="30"/>
      <c r="F33" s="30"/>
      <c r="G33" s="30"/>
      <c r="H33" s="30"/>
      <c r="I33" s="30"/>
      <c r="J33" s="30"/>
    </row>
    <row r="34" spans="1:13" ht="45.75" thickBot="1" x14ac:dyDescent="0.3">
      <c r="A34" s="50" t="s">
        <v>17</v>
      </c>
      <c r="B34" s="4" t="s">
        <v>18</v>
      </c>
      <c r="C34" s="33" t="s">
        <v>14</v>
      </c>
      <c r="D34" s="33" t="s">
        <v>3</v>
      </c>
      <c r="E34" s="33" t="s">
        <v>4</v>
      </c>
      <c r="F34" s="33" t="s">
        <v>19</v>
      </c>
      <c r="G34" s="33" t="s">
        <v>20</v>
      </c>
      <c r="H34" s="33" t="s">
        <v>15</v>
      </c>
      <c r="I34" s="51" t="s">
        <v>21</v>
      </c>
      <c r="J34" s="34" t="s">
        <v>9</v>
      </c>
    </row>
    <row r="35" spans="1:13" ht="15.75" thickBot="1" x14ac:dyDescent="0.3">
      <c r="A35" s="52"/>
      <c r="B35" s="17"/>
      <c r="C35" s="7"/>
      <c r="D35" s="8"/>
      <c r="E35" s="8"/>
      <c r="F35" s="8"/>
      <c r="G35" s="8"/>
      <c r="H35" s="8"/>
      <c r="I35" s="8"/>
      <c r="J35" s="5">
        <f t="shared" ref="J35:J38" si="3">SUM(D35:I35)</f>
        <v>0</v>
      </c>
    </row>
    <row r="36" spans="1:13" ht="15.75" thickBot="1" x14ac:dyDescent="0.3">
      <c r="A36" s="13"/>
      <c r="B36" s="21"/>
      <c r="C36" s="7"/>
      <c r="D36" s="35"/>
      <c r="E36" s="35"/>
      <c r="F36" s="35"/>
      <c r="G36" s="35"/>
      <c r="H36" s="37"/>
      <c r="I36" s="37"/>
      <c r="J36" s="38">
        <f t="shared" si="3"/>
        <v>0</v>
      </c>
    </row>
    <row r="37" spans="1:13" ht="15.75" thickBot="1" x14ac:dyDescent="0.3">
      <c r="A37" s="351"/>
      <c r="B37" s="347"/>
      <c r="C37" s="7"/>
      <c r="D37" s="39"/>
      <c r="E37" s="39"/>
      <c r="F37" s="39"/>
      <c r="G37" s="39"/>
      <c r="H37" s="8"/>
      <c r="I37" s="8"/>
      <c r="J37" s="38">
        <f t="shared" si="3"/>
        <v>0</v>
      </c>
    </row>
    <row r="38" spans="1:13" ht="15.75" thickBot="1" x14ac:dyDescent="0.3">
      <c r="A38" s="4"/>
      <c r="B38" s="40"/>
      <c r="C38" s="7"/>
      <c r="D38" s="39"/>
      <c r="E38" s="39"/>
      <c r="F38" s="39"/>
      <c r="G38" s="39"/>
      <c r="H38" s="8"/>
      <c r="I38" s="8"/>
      <c r="J38" s="38">
        <f t="shared" si="3"/>
        <v>0</v>
      </c>
      <c r="L38" s="53"/>
      <c r="M38" s="54"/>
    </row>
    <row r="39" spans="1:13" ht="15.75" thickBot="1" x14ac:dyDescent="0.3">
      <c r="A39" s="4" t="s">
        <v>9</v>
      </c>
      <c r="B39" s="43"/>
      <c r="C39" s="44"/>
      <c r="D39" s="45"/>
      <c r="E39" s="45"/>
      <c r="F39" s="45"/>
      <c r="G39" s="45"/>
      <c r="H39" s="45"/>
      <c r="I39" s="45"/>
      <c r="J39" s="12">
        <f>SUM(J35:J38)</f>
        <v>0</v>
      </c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x14ac:dyDescent="0.25">
      <c r="A41" s="28"/>
      <c r="B41" s="46"/>
      <c r="C41" s="47"/>
      <c r="D41" s="48"/>
      <c r="E41" s="48"/>
      <c r="F41" s="48"/>
      <c r="G41" s="48"/>
      <c r="H41" s="48"/>
      <c r="I41" s="48"/>
      <c r="J41" s="49"/>
    </row>
    <row r="42" spans="1:13" ht="15.75" thickBot="1" x14ac:dyDescent="0.3">
      <c r="A42" s="2"/>
      <c r="B42" s="2"/>
      <c r="C42" s="2"/>
      <c r="J42" s="3"/>
    </row>
    <row r="43" spans="1:13" ht="45.75" thickBot="1" x14ac:dyDescent="0.3">
      <c r="A43" s="33" t="s">
        <v>22</v>
      </c>
      <c r="B43" s="4" t="s">
        <v>18</v>
      </c>
      <c r="C43" s="33" t="s">
        <v>14</v>
      </c>
      <c r="D43" s="33" t="s">
        <v>3</v>
      </c>
      <c r="E43" s="33" t="s">
        <v>4</v>
      </c>
      <c r="F43" s="33" t="s">
        <v>19</v>
      </c>
      <c r="G43" s="33" t="s">
        <v>20</v>
      </c>
      <c r="H43" s="4" t="s">
        <v>21</v>
      </c>
      <c r="I43" s="51" t="s">
        <v>15</v>
      </c>
      <c r="J43" s="34" t="s">
        <v>9</v>
      </c>
    </row>
    <row r="44" spans="1:13" ht="15.75" thickBot="1" x14ac:dyDescent="0.3">
      <c r="A44" s="564" t="s">
        <v>338</v>
      </c>
      <c r="B44" s="21" t="s">
        <v>339</v>
      </c>
      <c r="C44" s="21">
        <v>46023</v>
      </c>
      <c r="D44" s="37"/>
      <c r="E44" s="55"/>
      <c r="F44" s="37">
        <v>60</v>
      </c>
      <c r="G44" s="37">
        <v>5</v>
      </c>
      <c r="H44" s="37"/>
      <c r="I44" s="37"/>
      <c r="J44" s="38">
        <f>SUM(D44:I44)</f>
        <v>65</v>
      </c>
    </row>
    <row r="45" spans="1:13" ht="15.75" thickBot="1" x14ac:dyDescent="0.3">
      <c r="A45" s="565"/>
      <c r="B45" s="21" t="s">
        <v>340</v>
      </c>
      <c r="C45" s="21">
        <v>46054</v>
      </c>
      <c r="D45" s="37"/>
      <c r="E45" s="37"/>
      <c r="F45" s="37">
        <v>60</v>
      </c>
      <c r="G45" s="37">
        <v>5</v>
      </c>
      <c r="H45" s="37"/>
      <c r="I45" s="37"/>
      <c r="J45" s="38">
        <f t="shared" ref="J45:J57" si="4">SUM(D45:I45)</f>
        <v>65</v>
      </c>
    </row>
    <row r="46" spans="1:13" ht="15.75" thickBot="1" x14ac:dyDescent="0.3">
      <c r="A46" s="347"/>
      <c r="B46" s="21"/>
      <c r="C46" s="21"/>
      <c r="D46" s="37"/>
      <c r="E46" s="37"/>
      <c r="F46" s="37"/>
      <c r="G46" s="37"/>
      <c r="H46" s="37"/>
      <c r="I46" s="37"/>
      <c r="J46" s="38">
        <f t="shared" si="4"/>
        <v>0</v>
      </c>
    </row>
    <row r="47" spans="1:13" ht="15.75" thickBot="1" x14ac:dyDescent="0.3">
      <c r="A47" s="40"/>
      <c r="B47" s="21"/>
      <c r="C47" s="21"/>
      <c r="D47" s="37"/>
      <c r="E47" s="37"/>
      <c r="F47" s="37"/>
      <c r="G47" s="37"/>
      <c r="H47" s="37"/>
      <c r="I47" s="37"/>
      <c r="J47" s="38">
        <f t="shared" si="4"/>
        <v>0</v>
      </c>
    </row>
    <row r="48" spans="1:13" ht="15.75" thickBot="1" x14ac:dyDescent="0.3">
      <c r="A48" s="40"/>
      <c r="B48" s="21"/>
      <c r="C48" s="21"/>
      <c r="D48" s="37"/>
      <c r="E48" s="37"/>
      <c r="F48" s="37"/>
      <c r="G48" s="37"/>
      <c r="H48" s="37"/>
      <c r="I48" s="37"/>
      <c r="J48" s="38">
        <f t="shared" si="4"/>
        <v>0</v>
      </c>
    </row>
    <row r="49" spans="1:10" ht="15.75" thickBot="1" x14ac:dyDescent="0.3">
      <c r="A49" s="347"/>
      <c r="B49" s="21"/>
      <c r="C49" s="21"/>
      <c r="D49" s="37"/>
      <c r="E49" s="37"/>
      <c r="F49" s="37"/>
      <c r="G49" s="37"/>
      <c r="H49" s="37"/>
      <c r="I49" s="37"/>
      <c r="J49" s="38">
        <f t="shared" si="4"/>
        <v>0</v>
      </c>
    </row>
    <row r="50" spans="1:10" ht="15.75" thickBot="1" x14ac:dyDescent="0.3">
      <c r="A50" s="347"/>
      <c r="B50" s="21"/>
      <c r="C50" s="21"/>
      <c r="D50" s="37"/>
      <c r="E50" s="37"/>
      <c r="F50" s="37"/>
      <c r="G50" s="37"/>
      <c r="H50" s="37"/>
      <c r="I50" s="37"/>
      <c r="J50" s="38">
        <f t="shared" si="4"/>
        <v>0</v>
      </c>
    </row>
    <row r="51" spans="1:10" ht="15.75" thickBot="1" x14ac:dyDescent="0.3">
      <c r="A51" s="347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347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347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56"/>
      <c r="B54" s="21"/>
      <c r="C54" s="21"/>
      <c r="D54" s="37"/>
      <c r="E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37"/>
      <c r="E56" s="37"/>
      <c r="F56" s="37"/>
      <c r="G56" s="37"/>
      <c r="H56" s="37"/>
      <c r="I56" s="37"/>
      <c r="J56" s="38">
        <f t="shared" si="4"/>
        <v>0</v>
      </c>
    </row>
    <row r="57" spans="1:10" ht="15.75" thickBot="1" x14ac:dyDescent="0.3">
      <c r="A57" s="40"/>
      <c r="B57" s="21"/>
      <c r="C57" s="21"/>
      <c r="D57" s="57"/>
      <c r="E57" s="57"/>
      <c r="F57" s="57"/>
      <c r="G57" s="57"/>
      <c r="H57" s="57"/>
      <c r="I57" s="57"/>
      <c r="J57" s="38">
        <f t="shared" si="4"/>
        <v>0</v>
      </c>
    </row>
    <row r="58" spans="1:10" ht="19.5" thickBot="1" x14ac:dyDescent="0.35">
      <c r="A58" s="23" t="s">
        <v>9</v>
      </c>
      <c r="B58" s="4"/>
      <c r="C58" s="24"/>
      <c r="D58" s="25">
        <f t="shared" ref="D58:J58" si="5">SUM(D44:D57)</f>
        <v>0</v>
      </c>
      <c r="E58" s="25">
        <f t="shared" si="5"/>
        <v>0</v>
      </c>
      <c r="F58" s="25">
        <f t="shared" si="5"/>
        <v>120</v>
      </c>
      <c r="G58" s="25">
        <f t="shared" si="5"/>
        <v>10</v>
      </c>
      <c r="H58" s="25">
        <f t="shared" si="5"/>
        <v>0</v>
      </c>
      <c r="I58" s="25">
        <f t="shared" si="5"/>
        <v>0</v>
      </c>
      <c r="J58" s="25">
        <f t="shared" si="5"/>
        <v>130</v>
      </c>
    </row>
    <row r="59" spans="1:10" ht="15.75" x14ac:dyDescent="0.25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6.5" thickBot="1" x14ac:dyDescent="0.3">
      <c r="A60" s="58"/>
      <c r="B60" s="58"/>
      <c r="C60" s="59"/>
      <c r="D60" s="60"/>
      <c r="E60" s="60"/>
      <c r="F60" s="60"/>
      <c r="G60" s="60"/>
      <c r="H60" s="60"/>
      <c r="I60" s="60"/>
      <c r="J60" s="60"/>
    </row>
    <row r="61" spans="1:10" ht="19.5" thickBot="1" x14ac:dyDescent="0.35">
      <c r="A61" s="554" t="s">
        <v>23</v>
      </c>
      <c r="B61" s="555"/>
      <c r="C61" s="61"/>
      <c r="D61" s="62"/>
      <c r="E61" s="62"/>
      <c r="F61" s="62"/>
      <c r="G61" s="62"/>
      <c r="H61" s="62"/>
      <c r="I61" s="62"/>
      <c r="J61" s="26">
        <f>+J23+J58</f>
        <v>1136</v>
      </c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x14ac:dyDescent="0.25">
      <c r="A63" s="2"/>
      <c r="B63" s="2"/>
      <c r="C63" s="63"/>
      <c r="D63" s="3"/>
      <c r="E63" s="3"/>
      <c r="F63" s="3"/>
      <c r="G63" s="3"/>
      <c r="H63" s="3"/>
      <c r="I63" s="3"/>
      <c r="J63" s="3"/>
    </row>
    <row r="64" spans="1:10" ht="16.5" thickBot="1" x14ac:dyDescent="0.3">
      <c r="A64" s="64" t="s">
        <v>24</v>
      </c>
      <c r="B64" s="2"/>
      <c r="C64" s="63"/>
      <c r="D64" s="3"/>
      <c r="E64" s="3"/>
      <c r="F64" s="3"/>
      <c r="G64" s="3"/>
      <c r="H64" s="3"/>
      <c r="I64" s="3"/>
      <c r="J64" s="3"/>
    </row>
    <row r="65" spans="1:10" ht="19.5" thickBot="1" x14ac:dyDescent="0.35">
      <c r="A65" s="65" t="s">
        <v>25</v>
      </c>
      <c r="B65" s="66"/>
      <c r="C65" s="67"/>
      <c r="D65" s="68"/>
      <c r="E65" s="68"/>
      <c r="F65" s="68"/>
      <c r="G65" s="68"/>
      <c r="H65" s="68"/>
      <c r="I65" s="68"/>
      <c r="J65" s="26"/>
    </row>
    <row r="66" spans="1:10" ht="19.5" thickBot="1" x14ac:dyDescent="0.35">
      <c r="A66" s="65" t="s">
        <v>26</v>
      </c>
      <c r="B66" s="66"/>
      <c r="C66" s="69"/>
      <c r="D66" s="68"/>
      <c r="E66" s="68"/>
      <c r="F66" s="68"/>
      <c r="G66" s="68"/>
      <c r="H66" s="68"/>
      <c r="I66" s="68"/>
      <c r="J66" s="26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8.75" x14ac:dyDescent="0.3">
      <c r="A68" s="70"/>
      <c r="B68" s="70"/>
      <c r="C68" s="71"/>
      <c r="D68" s="72"/>
      <c r="E68" s="72"/>
      <c r="F68" s="72"/>
      <c r="G68" s="72"/>
      <c r="H68" s="72"/>
      <c r="I68" s="72"/>
      <c r="J68" s="30"/>
    </row>
    <row r="69" spans="1:10" ht="16.5" thickBot="1" x14ac:dyDescent="0.3">
      <c r="A69" s="73" t="s">
        <v>27</v>
      </c>
      <c r="B69" s="74"/>
      <c r="C69" s="63"/>
      <c r="D69" s="3"/>
      <c r="E69" s="3"/>
      <c r="F69" s="3"/>
      <c r="G69" s="3"/>
      <c r="H69" s="3"/>
      <c r="I69" s="3"/>
      <c r="J69" s="3"/>
    </row>
    <row r="70" spans="1:10" ht="19.5" thickBot="1" x14ac:dyDescent="0.35">
      <c r="A70" s="75" t="s">
        <v>28</v>
      </c>
      <c r="B70" s="76"/>
      <c r="C70" s="77"/>
      <c r="D70" s="78"/>
      <c r="E70" s="78"/>
      <c r="F70" s="78"/>
      <c r="G70" s="78"/>
      <c r="H70" s="78"/>
      <c r="I70" s="78"/>
      <c r="J70" s="79">
        <v>505.5</v>
      </c>
    </row>
    <row r="71" spans="1:10" x14ac:dyDescent="0.25">
      <c r="A71" s="80"/>
      <c r="B71" s="2"/>
      <c r="C71" s="63"/>
      <c r="D71" s="3"/>
      <c r="E71" s="3"/>
      <c r="F71" s="3"/>
      <c r="G71" s="3"/>
      <c r="H71" s="3"/>
      <c r="I71" s="3"/>
      <c r="J71" s="3"/>
    </row>
    <row r="72" spans="1:10" ht="16.5" thickBot="1" x14ac:dyDescent="0.3">
      <c r="A72" s="73"/>
      <c r="B72" s="74"/>
      <c r="C72" s="63"/>
      <c r="D72" s="3"/>
      <c r="E72" s="3"/>
      <c r="F72" s="3"/>
      <c r="G72" s="3"/>
      <c r="H72" s="3"/>
      <c r="I72" s="3"/>
      <c r="J72" s="3"/>
    </row>
    <row r="73" spans="1:10" ht="19.5" thickBot="1" x14ac:dyDescent="0.35">
      <c r="A73" s="75" t="s">
        <v>29</v>
      </c>
      <c r="B73" s="76"/>
      <c r="C73" s="81"/>
      <c r="D73" s="78"/>
      <c r="E73" s="78"/>
      <c r="F73" s="78"/>
      <c r="G73" s="78"/>
      <c r="H73" s="78"/>
      <c r="I73" s="78"/>
      <c r="J73" s="82"/>
    </row>
    <row r="74" spans="1:10" ht="15.75" thickBot="1" x14ac:dyDescent="0.3">
      <c r="A74" s="80"/>
      <c r="B74" s="2"/>
      <c r="C74" s="63"/>
      <c r="D74" s="3"/>
      <c r="E74" s="3"/>
      <c r="F74" s="3"/>
      <c r="G74" s="3"/>
      <c r="H74" s="3"/>
      <c r="I74" s="3"/>
      <c r="J74" s="3"/>
    </row>
    <row r="75" spans="1:10" ht="21.75" thickBot="1" x14ac:dyDescent="0.4">
      <c r="A75" s="556" t="s">
        <v>30</v>
      </c>
      <c r="B75" s="557"/>
      <c r="C75" s="83"/>
      <c r="D75" s="84"/>
      <c r="E75" s="84"/>
      <c r="F75" s="84"/>
      <c r="G75" s="84"/>
      <c r="H75" s="84"/>
      <c r="I75" s="84"/>
      <c r="J75" s="85">
        <f>SUM(J61:J74)</f>
        <v>1641.5</v>
      </c>
    </row>
    <row r="76" spans="1:10" x14ac:dyDescent="0.25">
      <c r="A76" s="2"/>
      <c r="B76" s="2"/>
      <c r="C76" s="63"/>
      <c r="D76" s="3"/>
      <c r="E76" s="3"/>
      <c r="F76" s="3"/>
      <c r="G76" s="3"/>
      <c r="H76" s="3"/>
      <c r="I76" s="3"/>
      <c r="J76" s="3"/>
    </row>
    <row r="77" spans="1:10" ht="21" x14ac:dyDescent="0.35">
      <c r="A77" s="553" t="s">
        <v>334</v>
      </c>
      <c r="B77" s="553"/>
      <c r="C77" s="553"/>
      <c r="D77" s="553"/>
      <c r="E77" s="553"/>
      <c r="F77" s="553"/>
      <c r="G77" s="553"/>
      <c r="H77" s="553"/>
      <c r="I77" s="553"/>
      <c r="J77" s="553"/>
    </row>
    <row r="78" spans="1:10" ht="21.75" thickBot="1" x14ac:dyDescent="0.4">
      <c r="A78" s="346" t="s">
        <v>31</v>
      </c>
      <c r="B78" s="346"/>
      <c r="C78" s="346"/>
      <c r="D78" s="346"/>
      <c r="E78" s="346"/>
      <c r="F78" s="346"/>
      <c r="G78" s="346"/>
      <c r="H78" s="346"/>
      <c r="I78" s="346"/>
      <c r="J78" s="87"/>
    </row>
    <row r="79" spans="1:10" ht="15.75" thickBot="1" x14ac:dyDescent="0.3">
      <c r="A79" s="88" t="s">
        <v>32</v>
      </c>
      <c r="B79" s="89" t="s">
        <v>33</v>
      </c>
      <c r="C79" s="558" t="s">
        <v>2</v>
      </c>
      <c r="D79" s="559"/>
      <c r="E79" s="559"/>
      <c r="F79" s="559"/>
      <c r="G79" s="559"/>
      <c r="H79" s="559"/>
      <c r="I79" s="560"/>
      <c r="J79" s="90" t="s">
        <v>9</v>
      </c>
    </row>
    <row r="80" spans="1:10" ht="15.75" thickBot="1" x14ac:dyDescent="0.3">
      <c r="A80" s="91" t="s">
        <v>348</v>
      </c>
      <c r="B80" s="92" t="s">
        <v>349</v>
      </c>
      <c r="C80" s="550" t="s">
        <v>350</v>
      </c>
      <c r="D80" s="551"/>
      <c r="E80" s="551"/>
      <c r="F80" s="551"/>
      <c r="G80" s="551"/>
      <c r="H80" s="551"/>
      <c r="I80" s="551"/>
      <c r="J80" s="22">
        <v>70</v>
      </c>
    </row>
    <row r="81" spans="1:10" ht="37.5" customHeight="1" thickBot="1" x14ac:dyDescent="0.3">
      <c r="A81" s="40" t="s">
        <v>166</v>
      </c>
      <c r="B81" s="92" t="s">
        <v>370</v>
      </c>
      <c r="C81" s="569" t="s">
        <v>351</v>
      </c>
      <c r="D81" s="570"/>
      <c r="E81" s="570"/>
      <c r="F81" s="570"/>
      <c r="G81" s="570"/>
      <c r="H81" s="571"/>
      <c r="I81" s="571"/>
      <c r="J81" s="22">
        <v>96</v>
      </c>
    </row>
    <row r="82" spans="1:10" ht="15.75" thickBot="1" x14ac:dyDescent="0.3">
      <c r="A82" s="40"/>
      <c r="B82" s="92"/>
      <c r="C82" s="561"/>
      <c r="D82" s="562"/>
      <c r="E82" s="562"/>
      <c r="F82" s="562"/>
      <c r="G82" s="562"/>
      <c r="H82" s="562"/>
      <c r="I82" s="562"/>
      <c r="J82" s="93"/>
    </row>
    <row r="83" spans="1:10" ht="15.75" thickBot="1" x14ac:dyDescent="0.3">
      <c r="A83" s="40"/>
      <c r="B83" s="92"/>
      <c r="C83" s="550"/>
      <c r="D83" s="551"/>
      <c r="E83" s="551"/>
      <c r="F83" s="551"/>
      <c r="G83" s="551"/>
      <c r="H83" s="552"/>
      <c r="I83" s="552"/>
      <c r="J83" s="22"/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22"/>
    </row>
    <row r="85" spans="1:10" ht="15.75" thickBot="1" x14ac:dyDescent="0.3">
      <c r="A85" s="40"/>
      <c r="B85" s="92"/>
      <c r="C85" s="550"/>
      <c r="D85" s="551"/>
      <c r="E85" s="551"/>
      <c r="F85" s="551"/>
      <c r="G85" s="551"/>
      <c r="H85" s="552"/>
      <c r="I85" s="552"/>
      <c r="J85" s="22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22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22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5.75" thickBot="1" x14ac:dyDescent="0.3">
      <c r="A92" s="40"/>
      <c r="B92" s="92"/>
      <c r="C92" s="550"/>
      <c r="D92" s="551"/>
      <c r="E92" s="551"/>
      <c r="F92" s="551"/>
      <c r="G92" s="551"/>
      <c r="H92" s="552"/>
      <c r="I92" s="552"/>
      <c r="J92" s="37"/>
    </row>
    <row r="93" spans="1:10" ht="19.5" thickBot="1" x14ac:dyDescent="0.35">
      <c r="A93" s="94" t="s">
        <v>34</v>
      </c>
      <c r="B93" s="554"/>
      <c r="C93" s="563"/>
      <c r="D93" s="563"/>
      <c r="E93" s="563"/>
      <c r="F93" s="563"/>
      <c r="G93" s="563"/>
      <c r="H93" s="563"/>
      <c r="I93" s="563"/>
      <c r="J93" s="95">
        <f>SUM(J80:J92)</f>
        <v>166</v>
      </c>
    </row>
    <row r="94" spans="1:10" ht="18.75" x14ac:dyDescent="0.3">
      <c r="A94" s="27"/>
      <c r="B94" s="27"/>
      <c r="C94" s="96"/>
      <c r="D94" s="96"/>
      <c r="E94" s="96"/>
      <c r="F94" s="97"/>
      <c r="G94" s="96"/>
      <c r="H94" s="96"/>
      <c r="I94" s="96"/>
      <c r="J94" s="30"/>
    </row>
    <row r="95" spans="1:10" ht="18.75" x14ac:dyDescent="0.3">
      <c r="A95" s="27"/>
      <c r="B95" s="27"/>
      <c r="C95" s="96"/>
      <c r="D95" s="96"/>
      <c r="E95" s="96"/>
      <c r="F95" s="97"/>
      <c r="G95" s="96"/>
      <c r="H95" s="96"/>
      <c r="I95" s="96"/>
      <c r="J95" s="30"/>
    </row>
    <row r="96" spans="1:10" ht="18.75" x14ac:dyDescent="0.3">
      <c r="A96" s="58" t="s">
        <v>35</v>
      </c>
      <c r="B96" s="27"/>
      <c r="C96" s="2"/>
      <c r="D96" s="3"/>
      <c r="F96" s="3"/>
      <c r="J96" s="3"/>
    </row>
    <row r="97" spans="1:10" x14ac:dyDescent="0.25">
      <c r="A97" s="2" t="s">
        <v>36</v>
      </c>
      <c r="B97" s="63">
        <f>+J75</f>
        <v>1641.5</v>
      </c>
      <c r="C97" s="98"/>
      <c r="D97" s="3"/>
      <c r="F97" s="3"/>
      <c r="J97" s="3"/>
    </row>
    <row r="98" spans="1:10" ht="15.75" thickBot="1" x14ac:dyDescent="0.3">
      <c r="A98" s="2" t="s">
        <v>34</v>
      </c>
      <c r="B98" s="99">
        <f>+J93</f>
        <v>166</v>
      </c>
      <c r="C98" s="100"/>
      <c r="D98" s="3"/>
      <c r="F98" s="3"/>
      <c r="G98" s="101"/>
      <c r="H98" s="101"/>
      <c r="I98" s="102"/>
      <c r="J98" s="102"/>
    </row>
    <row r="99" spans="1:10" ht="17.25" thickTop="1" thickBot="1" x14ac:dyDescent="0.3">
      <c r="A99" s="58" t="s">
        <v>37</v>
      </c>
      <c r="B99" s="103">
        <f>++B97-B98</f>
        <v>1475.5</v>
      </c>
      <c r="C99" s="104"/>
      <c r="D99" s="105"/>
      <c r="E99" s="106"/>
      <c r="F99" s="105"/>
      <c r="G99" s="107"/>
      <c r="H99" s="107"/>
      <c r="I99" s="3"/>
    </row>
    <row r="100" spans="1:10" ht="15.75" thickTop="1" x14ac:dyDescent="0.25"/>
  </sheetData>
  <mergeCells count="20">
    <mergeCell ref="A1:J1"/>
    <mergeCell ref="A61:B61"/>
    <mergeCell ref="A75:B75"/>
    <mergeCell ref="A77:J77"/>
    <mergeCell ref="C79:I79"/>
    <mergeCell ref="B93:I93"/>
    <mergeCell ref="A44:A45"/>
    <mergeCell ref="C87:I87"/>
    <mergeCell ref="C88:I88"/>
    <mergeCell ref="C89:I89"/>
    <mergeCell ref="C90:I90"/>
    <mergeCell ref="C91:I91"/>
    <mergeCell ref="C92:I92"/>
    <mergeCell ref="C81:I81"/>
    <mergeCell ref="C82:I82"/>
    <mergeCell ref="C83:I83"/>
    <mergeCell ref="C84:I84"/>
    <mergeCell ref="C85:I85"/>
    <mergeCell ref="C86:I86"/>
    <mergeCell ref="C80:I80"/>
  </mergeCells>
  <phoneticPr fontId="13" type="noConversion"/>
  <pageMargins left="0.17" right="0.17" top="0.12" bottom="0.17" header="0.12" footer="0.17"/>
  <pageSetup paperSize="9" scale="4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B2FD-6A8F-4539-8078-447D427A46C7}">
  <dimension ref="A1:M99"/>
  <sheetViews>
    <sheetView topLeftCell="A22" workbookViewId="0">
      <selection activeCell="A22" sqref="A1:XFD1048576"/>
    </sheetView>
  </sheetViews>
  <sheetFormatPr baseColWidth="10" defaultRowHeight="15" x14ac:dyDescent="0.25"/>
  <cols>
    <col min="1" max="1" width="32.140625" bestFit="1" customWidth="1"/>
    <col min="2" max="2" width="15.42578125" bestFit="1" customWidth="1"/>
  </cols>
  <sheetData>
    <row r="1" spans="1:10" ht="21" x14ac:dyDescent="0.35">
      <c r="A1" s="553" t="s">
        <v>352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10</v>
      </c>
      <c r="B4" s="6" t="s">
        <v>359</v>
      </c>
      <c r="C4" s="7">
        <v>46054</v>
      </c>
      <c r="D4" s="8"/>
      <c r="E4" s="8"/>
      <c r="F4" s="8"/>
      <c r="G4" s="8"/>
      <c r="H4" s="8"/>
      <c r="I4" s="8">
        <v>10</v>
      </c>
      <c r="J4" s="5">
        <f>SUM(D4:I4)</f>
        <v>10</v>
      </c>
    </row>
    <row r="5" spans="1:10" ht="15.75" thickBot="1" x14ac:dyDescent="0.3">
      <c r="A5" s="6" t="s">
        <v>358</v>
      </c>
      <c r="B5" s="6" t="s">
        <v>360</v>
      </c>
      <c r="C5" s="7">
        <v>46054</v>
      </c>
      <c r="D5" s="8"/>
      <c r="E5" s="8"/>
      <c r="F5" s="8"/>
      <c r="G5" s="8"/>
      <c r="H5" s="8"/>
      <c r="I5" s="8">
        <v>10</v>
      </c>
      <c r="J5" s="5">
        <f t="shared" ref="J5:J21" si="0">SUM(D5:I5)</f>
        <v>10</v>
      </c>
    </row>
    <row r="6" spans="1:10" ht="15.75" thickBot="1" x14ac:dyDescent="0.3">
      <c r="A6" s="6"/>
      <c r="B6" s="6"/>
      <c r="C6" s="7"/>
      <c r="D6" s="8"/>
      <c r="E6" s="8"/>
      <c r="F6" s="8"/>
      <c r="G6" s="8"/>
      <c r="H6" s="8"/>
      <c r="I6" s="8"/>
      <c r="J6" s="5">
        <f t="shared" si="0"/>
        <v>0</v>
      </c>
    </row>
    <row r="7" spans="1:10" ht="15.75" thickBot="1" x14ac:dyDescent="0.3">
      <c r="A7" s="6"/>
      <c r="B7" s="6"/>
      <c r="C7" s="7"/>
      <c r="D7" s="8"/>
      <c r="E7" s="8"/>
      <c r="F7" s="8"/>
      <c r="G7" s="8"/>
      <c r="H7" s="8"/>
      <c r="I7" s="8"/>
      <c r="J7" s="5">
        <f t="shared" si="0"/>
        <v>0</v>
      </c>
    </row>
    <row r="8" spans="1:10" ht="15.75" thickBot="1" x14ac:dyDescent="0.3">
      <c r="A8" s="6"/>
      <c r="B8" s="6"/>
      <c r="C8" s="7"/>
      <c r="D8" s="8"/>
      <c r="E8" s="8"/>
      <c r="F8" s="8"/>
      <c r="G8" s="8"/>
      <c r="H8" s="8"/>
      <c r="I8" s="8"/>
      <c r="J8" s="5">
        <f t="shared" si="0"/>
        <v>0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9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9"/>
      <c r="B12" s="369"/>
      <c r="C12" s="7"/>
      <c r="D12" s="8"/>
      <c r="E12" s="8"/>
      <c r="F12" s="8"/>
      <c r="G12" s="8"/>
      <c r="H12" s="8"/>
      <c r="I12" s="11"/>
      <c r="J12" s="12">
        <f t="shared" si="0"/>
        <v>0</v>
      </c>
    </row>
    <row r="13" spans="1:10" ht="15.75" thickBot="1" x14ac:dyDescent="0.3">
      <c r="A13" s="6"/>
      <c r="B13" s="6"/>
      <c r="C13" s="7"/>
      <c r="D13" s="8"/>
      <c r="E13" s="8"/>
      <c r="F13" s="8"/>
      <c r="G13" s="8"/>
      <c r="H13" s="8"/>
      <c r="I13" s="8"/>
      <c r="J13" s="5">
        <f t="shared" si="0"/>
        <v>0</v>
      </c>
    </row>
    <row r="14" spans="1:10" ht="15.75" thickBot="1" x14ac:dyDescent="0.3">
      <c r="A14" s="13"/>
      <c r="B14" s="370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5"/>
      <c r="B15" s="13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368"/>
      <c r="B16" s="368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17"/>
      <c r="B17" s="368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368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8"/>
      <c r="B19" s="368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371"/>
      <c r="B20" s="371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368"/>
      <c r="B21" s="367"/>
      <c r="C21" s="21"/>
      <c r="D21" s="22"/>
      <c r="E21" s="22"/>
      <c r="F21" s="22"/>
      <c r="G21" s="22"/>
      <c r="H21" s="22"/>
      <c r="I21" s="22"/>
      <c r="J21" s="5">
        <f t="shared" si="0"/>
        <v>0</v>
      </c>
    </row>
    <row r="22" spans="1:13" ht="19.5" thickBot="1" x14ac:dyDescent="0.35">
      <c r="A22" s="23" t="s">
        <v>9</v>
      </c>
      <c r="B22" s="4"/>
      <c r="C22" s="24"/>
      <c r="D22" s="25">
        <f t="shared" ref="D22:J22" si="1">SUM(D4:D21)</f>
        <v>0</v>
      </c>
      <c r="E22" s="25">
        <f t="shared" si="1"/>
        <v>0</v>
      </c>
      <c r="F22" s="25">
        <f t="shared" si="1"/>
        <v>0</v>
      </c>
      <c r="G22" s="25">
        <f t="shared" si="1"/>
        <v>0</v>
      </c>
      <c r="H22" s="25">
        <f t="shared" si="1"/>
        <v>0</v>
      </c>
      <c r="I22" s="25">
        <f t="shared" si="1"/>
        <v>20</v>
      </c>
      <c r="J22" s="26">
        <f t="shared" si="1"/>
        <v>20</v>
      </c>
    </row>
    <row r="23" spans="1:13" ht="19.5" thickBot="1" x14ac:dyDescent="0.35">
      <c r="A23" s="27"/>
      <c r="B23" s="28"/>
      <c r="C23" s="29"/>
      <c r="D23" s="30"/>
      <c r="E23" s="30"/>
      <c r="F23" s="30"/>
      <c r="G23" s="30"/>
      <c r="H23" s="30"/>
      <c r="I23" s="30"/>
      <c r="J23" s="30"/>
    </row>
    <row r="24" spans="1:13" ht="24" thickBot="1" x14ac:dyDescent="0.4">
      <c r="A24" s="31" t="s">
        <v>12</v>
      </c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15.75" thickBot="1" x14ac:dyDescent="0.3">
      <c r="A25" s="32" t="s">
        <v>13</v>
      </c>
      <c r="B25" s="4" t="s">
        <v>1</v>
      </c>
      <c r="C25" s="33" t="s">
        <v>14</v>
      </c>
      <c r="D25" s="33" t="s">
        <v>3</v>
      </c>
      <c r="E25" s="33" t="s">
        <v>4</v>
      </c>
      <c r="F25" s="4" t="s">
        <v>5</v>
      </c>
      <c r="G25" s="4" t="s">
        <v>6</v>
      </c>
      <c r="H25" s="4" t="s">
        <v>15</v>
      </c>
      <c r="I25" s="4" t="s">
        <v>8</v>
      </c>
      <c r="J25" s="34" t="s">
        <v>9</v>
      </c>
    </row>
    <row r="26" spans="1:13" ht="15.75" thickBot="1" x14ac:dyDescent="0.3">
      <c r="A26" s="371"/>
      <c r="B26" s="21"/>
      <c r="C26" s="21"/>
      <c r="D26" s="35"/>
      <c r="E26" s="36"/>
      <c r="F26" s="35"/>
      <c r="G26" s="35"/>
      <c r="H26" s="37"/>
      <c r="I26" s="37"/>
      <c r="J26" s="38">
        <f>SUM(D26:I26)</f>
        <v>0</v>
      </c>
    </row>
    <row r="27" spans="1:13" ht="15.75" thickBot="1" x14ac:dyDescent="0.3">
      <c r="A27" s="371"/>
      <c r="B27" s="21"/>
      <c r="C27" s="21"/>
      <c r="D27" s="35"/>
      <c r="E27" s="35"/>
      <c r="F27" s="35"/>
      <c r="G27" s="35"/>
      <c r="H27" s="37"/>
      <c r="I27" s="37"/>
      <c r="J27" s="38">
        <f t="shared" ref="J27:J29" si="2">SUM(D27:I27)</f>
        <v>0</v>
      </c>
    </row>
    <row r="28" spans="1:13" ht="15.75" thickBot="1" x14ac:dyDescent="0.3">
      <c r="A28" s="371"/>
      <c r="B28" s="368"/>
      <c r="C28" s="7"/>
      <c r="D28" s="39"/>
      <c r="E28" s="39"/>
      <c r="F28" s="39"/>
      <c r="G28" s="39"/>
      <c r="H28" s="8"/>
      <c r="I28" s="8"/>
      <c r="J28" s="38">
        <f t="shared" si="2"/>
        <v>0</v>
      </c>
    </row>
    <row r="29" spans="1:13" ht="15.75" thickBot="1" x14ac:dyDescent="0.3">
      <c r="A29" s="4"/>
      <c r="B29" s="40"/>
      <c r="C29" s="7"/>
      <c r="D29" s="39"/>
      <c r="E29" s="39"/>
      <c r="F29" s="39"/>
      <c r="G29" s="39"/>
      <c r="H29" s="8"/>
      <c r="I29" s="8"/>
      <c r="J29" s="38">
        <f t="shared" si="2"/>
        <v>0</v>
      </c>
      <c r="L29" s="41" t="s">
        <v>16</v>
      </c>
      <c r="M29" s="42">
        <f>J30+J38</f>
        <v>0</v>
      </c>
    </row>
    <row r="30" spans="1:13" ht="15.75" thickBot="1" x14ac:dyDescent="0.3">
      <c r="A30" s="4" t="s">
        <v>9</v>
      </c>
      <c r="B30" s="43"/>
      <c r="C30" s="44"/>
      <c r="D30" s="45"/>
      <c r="E30" s="45"/>
      <c r="F30" s="45"/>
      <c r="G30" s="45"/>
      <c r="H30" s="45"/>
      <c r="I30" s="45"/>
      <c r="J30" s="12">
        <f>SUM(J26:J29)</f>
        <v>0</v>
      </c>
    </row>
    <row r="31" spans="1:13" ht="15.75" thickBot="1" x14ac:dyDescent="0.3">
      <c r="A31" s="28"/>
      <c r="B31" s="46"/>
      <c r="C31" s="47"/>
      <c r="D31" s="48"/>
      <c r="E31" s="48"/>
      <c r="F31" s="48"/>
      <c r="G31" s="48"/>
      <c r="H31" s="48"/>
      <c r="I31" s="48"/>
      <c r="J31" s="49"/>
    </row>
    <row r="32" spans="1:13" ht="24" thickBot="1" x14ac:dyDescent="0.4">
      <c r="A32" s="31" t="s">
        <v>12</v>
      </c>
      <c r="B32" s="28"/>
      <c r="C32" s="29"/>
      <c r="D32" s="30"/>
      <c r="E32" s="30"/>
      <c r="F32" s="30"/>
      <c r="G32" s="30"/>
      <c r="H32" s="30"/>
      <c r="I32" s="30"/>
      <c r="J32" s="30"/>
    </row>
    <row r="33" spans="1:13" ht="45.75" thickBot="1" x14ac:dyDescent="0.3">
      <c r="A33" s="50" t="s">
        <v>17</v>
      </c>
      <c r="B33" s="4" t="s">
        <v>18</v>
      </c>
      <c r="C33" s="33" t="s">
        <v>14</v>
      </c>
      <c r="D33" s="33" t="s">
        <v>3</v>
      </c>
      <c r="E33" s="33" t="s">
        <v>4</v>
      </c>
      <c r="F33" s="33" t="s">
        <v>19</v>
      </c>
      <c r="G33" s="33" t="s">
        <v>20</v>
      </c>
      <c r="H33" s="33" t="s">
        <v>15</v>
      </c>
      <c r="I33" s="51" t="s">
        <v>21</v>
      </c>
      <c r="J33" s="34" t="s">
        <v>9</v>
      </c>
    </row>
    <row r="34" spans="1:13" ht="15.75" thickBot="1" x14ac:dyDescent="0.3">
      <c r="A34" s="52"/>
      <c r="B34" s="17"/>
      <c r="C34" s="7"/>
      <c r="D34" s="8"/>
      <c r="E34" s="8"/>
      <c r="F34" s="8"/>
      <c r="G34" s="8"/>
      <c r="H34" s="8"/>
      <c r="I34" s="8"/>
      <c r="J34" s="5">
        <f t="shared" ref="J34:J37" si="3">SUM(D34:I34)</f>
        <v>0</v>
      </c>
    </row>
    <row r="35" spans="1:13" ht="15.75" thickBot="1" x14ac:dyDescent="0.3">
      <c r="A35" s="13"/>
      <c r="B35" s="21"/>
      <c r="C35" s="7"/>
      <c r="D35" s="35"/>
      <c r="E35" s="35"/>
      <c r="F35" s="35"/>
      <c r="G35" s="35"/>
      <c r="H35" s="37"/>
      <c r="I35" s="37"/>
      <c r="J35" s="38">
        <f t="shared" si="3"/>
        <v>0</v>
      </c>
    </row>
    <row r="36" spans="1:13" ht="15.75" thickBot="1" x14ac:dyDescent="0.3">
      <c r="A36" s="371"/>
      <c r="B36" s="368"/>
      <c r="C36" s="7"/>
      <c r="D36" s="39"/>
      <c r="E36" s="39"/>
      <c r="F36" s="39"/>
      <c r="G36" s="39"/>
      <c r="H36" s="8"/>
      <c r="I36" s="8"/>
      <c r="J36" s="38">
        <f t="shared" si="3"/>
        <v>0</v>
      </c>
    </row>
    <row r="37" spans="1:13" ht="15.75" thickBot="1" x14ac:dyDescent="0.3">
      <c r="A37" s="4"/>
      <c r="B37" s="40"/>
      <c r="C37" s="7"/>
      <c r="D37" s="39"/>
      <c r="E37" s="39"/>
      <c r="F37" s="39"/>
      <c r="G37" s="39"/>
      <c r="H37" s="8"/>
      <c r="I37" s="8"/>
      <c r="J37" s="38">
        <f t="shared" si="3"/>
        <v>0</v>
      </c>
      <c r="L37" s="53"/>
      <c r="M37" s="54"/>
    </row>
    <row r="38" spans="1:13" ht="15.75" thickBot="1" x14ac:dyDescent="0.3">
      <c r="A38" s="4" t="s">
        <v>9</v>
      </c>
      <c r="B38" s="43"/>
      <c r="C38" s="44"/>
      <c r="D38" s="45"/>
      <c r="E38" s="45"/>
      <c r="F38" s="45"/>
      <c r="G38" s="45"/>
      <c r="H38" s="45"/>
      <c r="I38" s="45"/>
      <c r="J38" s="12">
        <f>SUM(J34:J37)</f>
        <v>0</v>
      </c>
    </row>
    <row r="39" spans="1:13" x14ac:dyDescent="0.25">
      <c r="A39" s="28"/>
      <c r="B39" s="46"/>
      <c r="C39" s="47"/>
      <c r="D39" s="48"/>
      <c r="E39" s="48"/>
      <c r="F39" s="48"/>
      <c r="G39" s="48"/>
      <c r="H39" s="48"/>
      <c r="I39" s="48"/>
      <c r="J39" s="49"/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ht="15.75" thickBot="1" x14ac:dyDescent="0.3">
      <c r="A41" s="2"/>
      <c r="B41" s="2"/>
      <c r="C41" s="2"/>
      <c r="J41" s="3"/>
    </row>
    <row r="42" spans="1:13" ht="45.75" thickBot="1" x14ac:dyDescent="0.3">
      <c r="A42" s="33" t="s">
        <v>22</v>
      </c>
      <c r="B42" s="4" t="s">
        <v>18</v>
      </c>
      <c r="C42" s="33" t="s">
        <v>14</v>
      </c>
      <c r="D42" s="33" t="s">
        <v>3</v>
      </c>
      <c r="E42" s="33" t="s">
        <v>4</v>
      </c>
      <c r="F42" s="33" t="s">
        <v>19</v>
      </c>
      <c r="G42" s="33" t="s">
        <v>20</v>
      </c>
      <c r="H42" s="4" t="s">
        <v>21</v>
      </c>
      <c r="I42" s="51" t="s">
        <v>15</v>
      </c>
      <c r="J42" s="34" t="s">
        <v>9</v>
      </c>
    </row>
    <row r="43" spans="1:13" ht="15.75" thickBot="1" x14ac:dyDescent="0.3">
      <c r="A43" s="40"/>
      <c r="B43" s="21"/>
      <c r="C43" s="21"/>
      <c r="D43" s="37"/>
      <c r="E43" s="55"/>
      <c r="F43" s="37"/>
      <c r="G43" s="37"/>
      <c r="H43" s="37"/>
      <c r="I43" s="37"/>
      <c r="J43" s="38">
        <f>SUM(D43:I43)</f>
        <v>0</v>
      </c>
    </row>
    <row r="44" spans="1:13" ht="15.75" thickBot="1" x14ac:dyDescent="0.3">
      <c r="A44" s="40"/>
      <c r="B44" s="21"/>
      <c r="C44" s="21"/>
      <c r="D44" s="37"/>
      <c r="E44" s="37"/>
      <c r="F44" s="37"/>
      <c r="G44" s="37"/>
      <c r="H44" s="37"/>
      <c r="I44" s="37"/>
      <c r="J44" s="38">
        <f t="shared" ref="J44:J56" si="4">SUM(D44:I44)</f>
        <v>0</v>
      </c>
    </row>
    <row r="45" spans="1:13" ht="15.75" thickBot="1" x14ac:dyDescent="0.3">
      <c r="A45" s="368"/>
      <c r="B45" s="21"/>
      <c r="C45" s="21"/>
      <c r="D45" s="37"/>
      <c r="E45" s="37"/>
      <c r="F45" s="37"/>
      <c r="G45" s="37"/>
      <c r="H45" s="37"/>
      <c r="I45" s="37"/>
      <c r="J45" s="38">
        <f t="shared" si="4"/>
        <v>0</v>
      </c>
    </row>
    <row r="46" spans="1:13" ht="15.75" thickBot="1" x14ac:dyDescent="0.3">
      <c r="A46" s="40"/>
      <c r="B46" s="21"/>
      <c r="C46" s="21"/>
      <c r="D46" s="37"/>
      <c r="E46" s="37"/>
      <c r="F46" s="37"/>
      <c r="G46" s="37"/>
      <c r="H46" s="37"/>
      <c r="I46" s="37"/>
      <c r="J46" s="38">
        <f t="shared" si="4"/>
        <v>0</v>
      </c>
    </row>
    <row r="47" spans="1:13" ht="15.75" thickBot="1" x14ac:dyDescent="0.3">
      <c r="A47" s="40"/>
      <c r="B47" s="21"/>
      <c r="C47" s="21"/>
      <c r="D47" s="37"/>
      <c r="E47" s="37"/>
      <c r="F47" s="37"/>
      <c r="G47" s="37"/>
      <c r="H47" s="37"/>
      <c r="I47" s="37"/>
      <c r="J47" s="38">
        <f t="shared" si="4"/>
        <v>0</v>
      </c>
    </row>
    <row r="48" spans="1:13" ht="15.75" thickBot="1" x14ac:dyDescent="0.3">
      <c r="A48" s="368"/>
      <c r="B48" s="21"/>
      <c r="C48" s="21"/>
      <c r="D48" s="37"/>
      <c r="E48" s="37"/>
      <c r="F48" s="37"/>
      <c r="G48" s="37"/>
      <c r="H48" s="37"/>
      <c r="I48" s="37"/>
      <c r="J48" s="38">
        <f t="shared" si="4"/>
        <v>0</v>
      </c>
    </row>
    <row r="49" spans="1:10" ht="15.75" thickBot="1" x14ac:dyDescent="0.3">
      <c r="A49" s="368"/>
      <c r="B49" s="21"/>
      <c r="C49" s="21"/>
      <c r="D49" s="37"/>
      <c r="E49" s="37"/>
      <c r="F49" s="37"/>
      <c r="G49" s="37"/>
      <c r="H49" s="37"/>
      <c r="I49" s="37"/>
      <c r="J49" s="38">
        <f t="shared" si="4"/>
        <v>0</v>
      </c>
    </row>
    <row r="50" spans="1:10" ht="15.75" thickBot="1" x14ac:dyDescent="0.3">
      <c r="A50" s="368"/>
      <c r="B50" s="21"/>
      <c r="C50" s="21"/>
      <c r="D50" s="37"/>
      <c r="E50" s="37"/>
      <c r="F50" s="37"/>
      <c r="G50" s="37"/>
      <c r="H50" s="37"/>
      <c r="I50" s="37"/>
      <c r="J50" s="38">
        <f t="shared" si="4"/>
        <v>0</v>
      </c>
    </row>
    <row r="51" spans="1:10" ht="15.75" thickBot="1" x14ac:dyDescent="0.3">
      <c r="A51" s="368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368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56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40"/>
      <c r="B54" s="21"/>
      <c r="C54" s="21"/>
      <c r="D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E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57"/>
      <c r="E56" s="57"/>
      <c r="F56" s="57"/>
      <c r="G56" s="57"/>
      <c r="H56" s="57"/>
      <c r="I56" s="57"/>
      <c r="J56" s="38">
        <f t="shared" si="4"/>
        <v>0</v>
      </c>
    </row>
    <row r="57" spans="1:10" ht="19.5" thickBot="1" x14ac:dyDescent="0.35">
      <c r="A57" s="23" t="s">
        <v>9</v>
      </c>
      <c r="B57" s="4"/>
      <c r="C57" s="24"/>
      <c r="D57" s="25">
        <f t="shared" ref="D57:J57" si="5">SUM(D43:D56)</f>
        <v>0</v>
      </c>
      <c r="E57" s="25">
        <f t="shared" si="5"/>
        <v>0</v>
      </c>
      <c r="F57" s="25">
        <f t="shared" si="5"/>
        <v>0</v>
      </c>
      <c r="G57" s="25">
        <f t="shared" si="5"/>
        <v>0</v>
      </c>
      <c r="H57" s="25">
        <f t="shared" si="5"/>
        <v>0</v>
      </c>
      <c r="I57" s="25">
        <f t="shared" si="5"/>
        <v>0</v>
      </c>
      <c r="J57" s="25">
        <f t="shared" si="5"/>
        <v>0</v>
      </c>
    </row>
    <row r="58" spans="1:10" ht="15.75" x14ac:dyDescent="0.25">
      <c r="A58" s="58"/>
      <c r="B58" s="58"/>
      <c r="C58" s="59"/>
      <c r="D58" s="60"/>
      <c r="E58" s="60"/>
      <c r="F58" s="60"/>
      <c r="G58" s="60"/>
      <c r="H58" s="60"/>
      <c r="I58" s="60"/>
      <c r="J58" s="60"/>
    </row>
    <row r="59" spans="1:10" ht="16.5" thickBot="1" x14ac:dyDescent="0.3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9.5" thickBot="1" x14ac:dyDescent="0.35">
      <c r="A60" s="554" t="s">
        <v>23</v>
      </c>
      <c r="B60" s="555"/>
      <c r="C60" s="61"/>
      <c r="D60" s="62"/>
      <c r="E60" s="62"/>
      <c r="F60" s="62"/>
      <c r="G60" s="62"/>
      <c r="H60" s="62"/>
      <c r="I60" s="62"/>
      <c r="J60" s="26">
        <f>+J22+J57</f>
        <v>20</v>
      </c>
    </row>
    <row r="61" spans="1:10" x14ac:dyDescent="0.25">
      <c r="A61" s="2"/>
      <c r="B61" s="2"/>
      <c r="C61" s="63"/>
      <c r="D61" s="3"/>
      <c r="E61" s="3"/>
      <c r="F61" s="3"/>
      <c r="G61" s="3"/>
      <c r="H61" s="3"/>
      <c r="I61" s="3"/>
      <c r="J61" s="3"/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ht="16.5" thickBot="1" x14ac:dyDescent="0.3">
      <c r="A63" s="64" t="s">
        <v>24</v>
      </c>
      <c r="B63" s="2"/>
      <c r="C63" s="63"/>
      <c r="D63" s="3"/>
      <c r="E63" s="3"/>
      <c r="F63" s="3"/>
      <c r="G63" s="3"/>
      <c r="H63" s="3"/>
      <c r="I63" s="3"/>
      <c r="J63" s="3"/>
    </row>
    <row r="64" spans="1:10" ht="19.5" thickBot="1" x14ac:dyDescent="0.35">
      <c r="A64" s="65" t="s">
        <v>25</v>
      </c>
      <c r="B64" s="66"/>
      <c r="C64" s="67"/>
      <c r="D64" s="68"/>
      <c r="E64" s="68"/>
      <c r="F64" s="68"/>
      <c r="G64" s="68"/>
      <c r="H64" s="68"/>
      <c r="I64" s="68"/>
      <c r="J64" s="26"/>
    </row>
    <row r="65" spans="1:10" ht="19.5" thickBot="1" x14ac:dyDescent="0.35">
      <c r="A65" s="65" t="s">
        <v>26</v>
      </c>
      <c r="B65" s="66"/>
      <c r="C65" s="69"/>
      <c r="D65" s="68"/>
      <c r="E65" s="68"/>
      <c r="F65" s="68"/>
      <c r="G65" s="68"/>
      <c r="H65" s="68"/>
      <c r="I65" s="68"/>
      <c r="J65" s="26"/>
    </row>
    <row r="66" spans="1:10" ht="18.75" x14ac:dyDescent="0.3">
      <c r="A66" s="70"/>
      <c r="B66" s="70"/>
      <c r="C66" s="71"/>
      <c r="D66" s="72"/>
      <c r="E66" s="72"/>
      <c r="F66" s="72"/>
      <c r="G66" s="72"/>
      <c r="H66" s="72"/>
      <c r="I66" s="72"/>
      <c r="J66" s="30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6.5" thickBot="1" x14ac:dyDescent="0.3">
      <c r="A68" s="73" t="s">
        <v>27</v>
      </c>
      <c r="B68" s="74"/>
      <c r="C68" s="63"/>
      <c r="D68" s="3"/>
      <c r="E68" s="3"/>
      <c r="F68" s="3"/>
      <c r="G68" s="3"/>
      <c r="H68" s="3"/>
      <c r="I68" s="3"/>
      <c r="J68" s="3"/>
    </row>
    <row r="69" spans="1:10" ht="19.5" thickBot="1" x14ac:dyDescent="0.35">
      <c r="A69" s="75" t="s">
        <v>28</v>
      </c>
      <c r="B69" s="76"/>
      <c r="C69" s="77"/>
      <c r="D69" s="78"/>
      <c r="E69" s="78"/>
      <c r="F69" s="78"/>
      <c r="G69" s="78"/>
      <c r="H69" s="78"/>
      <c r="I69" s="78"/>
      <c r="J69" s="79">
        <v>460</v>
      </c>
    </row>
    <row r="70" spans="1:10" x14ac:dyDescent="0.25">
      <c r="A70" s="80"/>
      <c r="B70" s="2"/>
      <c r="C70" s="63"/>
      <c r="D70" s="3"/>
      <c r="E70" s="3"/>
      <c r="F70" s="3"/>
      <c r="G70" s="3"/>
      <c r="H70" s="3"/>
      <c r="I70" s="3"/>
      <c r="J70" s="3"/>
    </row>
    <row r="71" spans="1:10" ht="16.5" thickBot="1" x14ac:dyDescent="0.3">
      <c r="A71" s="73"/>
      <c r="B71" s="74"/>
      <c r="C71" s="63"/>
      <c r="D71" s="3"/>
      <c r="E71" s="3"/>
      <c r="F71" s="3"/>
      <c r="G71" s="3"/>
      <c r="H71" s="3"/>
      <c r="I71" s="3"/>
      <c r="J71" s="3"/>
    </row>
    <row r="72" spans="1:10" ht="19.5" thickBot="1" x14ac:dyDescent="0.35">
      <c r="A72" s="75" t="s">
        <v>29</v>
      </c>
      <c r="B72" s="76"/>
      <c r="C72" s="81"/>
      <c r="D72" s="78"/>
      <c r="E72" s="78"/>
      <c r="F72" s="78"/>
      <c r="G72" s="78"/>
      <c r="H72" s="78"/>
      <c r="I72" s="78"/>
      <c r="J72" s="82"/>
    </row>
    <row r="73" spans="1:10" ht="15.75" thickBot="1" x14ac:dyDescent="0.3">
      <c r="A73" s="80"/>
      <c r="B73" s="2"/>
      <c r="C73" s="63"/>
      <c r="D73" s="3"/>
      <c r="E73" s="3"/>
      <c r="F73" s="3"/>
      <c r="G73" s="3"/>
      <c r="H73" s="3"/>
      <c r="I73" s="3"/>
      <c r="J73" s="3"/>
    </row>
    <row r="74" spans="1:10" ht="21.75" thickBot="1" x14ac:dyDescent="0.4">
      <c r="A74" s="556" t="s">
        <v>30</v>
      </c>
      <c r="B74" s="557"/>
      <c r="C74" s="83"/>
      <c r="D74" s="84"/>
      <c r="E74" s="84"/>
      <c r="F74" s="84"/>
      <c r="G74" s="84"/>
      <c r="H74" s="84"/>
      <c r="I74" s="84"/>
      <c r="J74" s="85">
        <f>SUM(J60:J73)</f>
        <v>480</v>
      </c>
    </row>
    <row r="75" spans="1:10" x14ac:dyDescent="0.25">
      <c r="A75" s="2"/>
      <c r="B75" s="2"/>
      <c r="C75" s="63"/>
      <c r="D75" s="3"/>
      <c r="E75" s="3"/>
      <c r="F75" s="3"/>
      <c r="G75" s="3"/>
      <c r="H75" s="3"/>
      <c r="I75" s="3"/>
      <c r="J75" s="3"/>
    </row>
    <row r="76" spans="1:10" ht="21" x14ac:dyDescent="0.35">
      <c r="A76" s="553" t="s">
        <v>353</v>
      </c>
      <c r="B76" s="553"/>
      <c r="C76" s="553"/>
      <c r="D76" s="553"/>
      <c r="E76" s="553"/>
      <c r="F76" s="553"/>
      <c r="G76" s="553"/>
      <c r="H76" s="553"/>
      <c r="I76" s="553"/>
      <c r="J76" s="553"/>
    </row>
    <row r="77" spans="1:10" ht="21.75" thickBot="1" x14ac:dyDescent="0.4">
      <c r="A77" s="366" t="s">
        <v>31</v>
      </c>
      <c r="B77" s="366"/>
      <c r="C77" s="366"/>
      <c r="D77" s="366"/>
      <c r="E77" s="366"/>
      <c r="F77" s="366"/>
      <c r="G77" s="366"/>
      <c r="H77" s="366"/>
      <c r="I77" s="366"/>
      <c r="J77" s="87"/>
    </row>
    <row r="78" spans="1:10" ht="15.75" thickBot="1" x14ac:dyDescent="0.3">
      <c r="A78" s="88" t="s">
        <v>32</v>
      </c>
      <c r="B78" s="89" t="s">
        <v>33</v>
      </c>
      <c r="C78" s="558" t="s">
        <v>2</v>
      </c>
      <c r="D78" s="559"/>
      <c r="E78" s="559"/>
      <c r="F78" s="559"/>
      <c r="G78" s="559"/>
      <c r="H78" s="559"/>
      <c r="I78" s="560"/>
      <c r="J78" s="90" t="s">
        <v>9</v>
      </c>
    </row>
    <row r="79" spans="1:10" ht="15.75" thickBot="1" x14ac:dyDescent="0.3">
      <c r="A79" s="91"/>
      <c r="B79" s="92"/>
      <c r="C79" s="550"/>
      <c r="D79" s="551"/>
      <c r="E79" s="551"/>
      <c r="F79" s="551"/>
      <c r="G79" s="551"/>
      <c r="H79" s="551"/>
      <c r="I79" s="551"/>
      <c r="J79" s="22"/>
    </row>
    <row r="80" spans="1:10" ht="15.75" thickBot="1" x14ac:dyDescent="0.3">
      <c r="A80" s="40"/>
      <c r="B80" s="92"/>
      <c r="C80" s="550"/>
      <c r="D80" s="551"/>
      <c r="E80" s="551"/>
      <c r="F80" s="551"/>
      <c r="G80" s="551"/>
      <c r="H80" s="552"/>
      <c r="I80" s="552"/>
      <c r="J80" s="22"/>
    </row>
    <row r="81" spans="1:10" ht="15.75" thickBot="1" x14ac:dyDescent="0.3">
      <c r="A81" s="40"/>
      <c r="B81" s="92"/>
      <c r="C81" s="561"/>
      <c r="D81" s="562"/>
      <c r="E81" s="562"/>
      <c r="F81" s="562"/>
      <c r="G81" s="562"/>
      <c r="H81" s="562"/>
      <c r="I81" s="562"/>
      <c r="J81" s="93"/>
    </row>
    <row r="82" spans="1:10" ht="15.75" thickBot="1" x14ac:dyDescent="0.3">
      <c r="A82" s="40"/>
      <c r="B82" s="92"/>
      <c r="C82" s="550"/>
      <c r="D82" s="551"/>
      <c r="E82" s="551"/>
      <c r="F82" s="551"/>
      <c r="G82" s="551"/>
      <c r="H82" s="552"/>
      <c r="I82" s="552"/>
      <c r="J82" s="22"/>
    </row>
    <row r="83" spans="1:10" ht="15.75" thickBot="1" x14ac:dyDescent="0.3">
      <c r="A83" s="40"/>
      <c r="B83" s="92"/>
      <c r="C83" s="550"/>
      <c r="D83" s="551"/>
      <c r="E83" s="551"/>
      <c r="F83" s="551"/>
      <c r="G83" s="551"/>
      <c r="H83" s="552"/>
      <c r="I83" s="552"/>
      <c r="J83" s="22"/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22"/>
    </row>
    <row r="85" spans="1:10" ht="15.75" thickBot="1" x14ac:dyDescent="0.3">
      <c r="A85" s="40"/>
      <c r="B85" s="92"/>
      <c r="C85" s="550"/>
      <c r="D85" s="551"/>
      <c r="E85" s="551"/>
      <c r="F85" s="551"/>
      <c r="G85" s="551"/>
      <c r="H85" s="552"/>
      <c r="I85" s="552"/>
      <c r="J85" s="22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22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37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9.5" thickBot="1" x14ac:dyDescent="0.35">
      <c r="A92" s="94" t="s">
        <v>34</v>
      </c>
      <c r="B92" s="554"/>
      <c r="C92" s="563"/>
      <c r="D92" s="563"/>
      <c r="E92" s="563"/>
      <c r="F92" s="563"/>
      <c r="G92" s="563"/>
      <c r="H92" s="563"/>
      <c r="I92" s="563"/>
      <c r="J92" s="95">
        <f>SUM(J79:J91)</f>
        <v>0</v>
      </c>
    </row>
    <row r="93" spans="1:10" ht="18.75" x14ac:dyDescent="0.3">
      <c r="A93" s="27"/>
      <c r="B93" s="27"/>
      <c r="C93" s="96"/>
      <c r="D93" s="96"/>
      <c r="E93" s="96"/>
      <c r="F93" s="97"/>
      <c r="G93" s="96"/>
      <c r="H93" s="96"/>
      <c r="I93" s="96"/>
      <c r="J93" s="30"/>
    </row>
    <row r="94" spans="1:10" ht="18.75" x14ac:dyDescent="0.3">
      <c r="A94" s="27"/>
      <c r="B94" s="27"/>
      <c r="C94" s="96"/>
      <c r="D94" s="96"/>
      <c r="E94" s="96"/>
      <c r="F94" s="97"/>
      <c r="G94" s="96"/>
      <c r="H94" s="96"/>
      <c r="I94" s="96"/>
      <c r="J94" s="30"/>
    </row>
    <row r="95" spans="1:10" ht="18.75" x14ac:dyDescent="0.3">
      <c r="A95" s="58" t="s">
        <v>35</v>
      </c>
      <c r="B95" s="27"/>
      <c r="C95" s="2"/>
      <c r="D95" s="3"/>
      <c r="F95" s="3"/>
      <c r="J95" s="3"/>
    </row>
    <row r="96" spans="1:10" x14ac:dyDescent="0.25">
      <c r="A96" s="2" t="s">
        <v>36</v>
      </c>
      <c r="B96" s="63">
        <f>+J74</f>
        <v>480</v>
      </c>
      <c r="C96" s="98"/>
      <c r="D96" s="3"/>
      <c r="F96" s="3"/>
      <c r="J96" s="3"/>
    </row>
    <row r="97" spans="1:10" ht="15.75" thickBot="1" x14ac:dyDescent="0.3">
      <c r="A97" s="2" t="s">
        <v>34</v>
      </c>
      <c r="B97" s="99">
        <f>+J92</f>
        <v>0</v>
      </c>
      <c r="C97" s="100"/>
      <c r="D97" s="3"/>
      <c r="F97" s="3"/>
      <c r="G97" s="101"/>
      <c r="H97" s="101"/>
      <c r="I97" s="102"/>
      <c r="J97" s="102"/>
    </row>
    <row r="98" spans="1:10" ht="17.25" thickTop="1" thickBot="1" x14ac:dyDescent="0.3">
      <c r="A98" s="58" t="s">
        <v>37</v>
      </c>
      <c r="B98" s="103">
        <f>++B96-B97</f>
        <v>480</v>
      </c>
      <c r="C98" s="104"/>
      <c r="D98" s="105"/>
      <c r="E98" s="106"/>
      <c r="F98" s="105"/>
      <c r="G98" s="107"/>
      <c r="H98" s="107"/>
      <c r="I98" s="3"/>
    </row>
    <row r="99" spans="1:10" ht="15.75" thickTop="1" x14ac:dyDescent="0.25"/>
  </sheetData>
  <mergeCells count="19">
    <mergeCell ref="B92:I92"/>
    <mergeCell ref="C86:I86"/>
    <mergeCell ref="C87:I87"/>
    <mergeCell ref="C88:I88"/>
    <mergeCell ref="C89:I89"/>
    <mergeCell ref="C90:I90"/>
    <mergeCell ref="C91:I91"/>
    <mergeCell ref="C85:I85"/>
    <mergeCell ref="A1:J1"/>
    <mergeCell ref="A60:B60"/>
    <mergeCell ref="A74:B74"/>
    <mergeCell ref="A76:J76"/>
    <mergeCell ref="C78:I78"/>
    <mergeCell ref="C79:I79"/>
    <mergeCell ref="C80:I80"/>
    <mergeCell ref="C81:I81"/>
    <mergeCell ref="C82:I82"/>
    <mergeCell ref="C83:I83"/>
    <mergeCell ref="C84:I84"/>
  </mergeCells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C48-67F5-4523-BC5F-C5777136F985}">
  <sheetPr>
    <pageSetUpPr fitToPage="1"/>
  </sheetPr>
  <dimension ref="A1:M98"/>
  <sheetViews>
    <sheetView topLeftCell="A7" workbookViewId="0">
      <selection activeCell="J47" sqref="J47:J48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9" max="9" width="14.42578125" customWidth="1"/>
    <col min="10" max="10" width="14" bestFit="1" customWidth="1"/>
  </cols>
  <sheetData>
    <row r="1" spans="1:10" ht="21" x14ac:dyDescent="0.35">
      <c r="A1" s="553" t="s">
        <v>354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317" t="s">
        <v>10</v>
      </c>
      <c r="B4" s="317" t="s">
        <v>363</v>
      </c>
      <c r="C4" s="7">
        <v>46054</v>
      </c>
      <c r="D4" s="4"/>
      <c r="E4" s="4"/>
      <c r="F4" s="4"/>
      <c r="G4" s="4"/>
      <c r="H4" s="4"/>
      <c r="I4" s="8">
        <v>10</v>
      </c>
      <c r="J4" s="5">
        <f>SUM(D4:I4)</f>
        <v>10</v>
      </c>
    </row>
    <row r="5" spans="1:10" ht="15.75" thickBot="1" x14ac:dyDescent="0.3">
      <c r="A5" s="6" t="s">
        <v>361</v>
      </c>
      <c r="B5" s="6" t="s">
        <v>362</v>
      </c>
      <c r="C5" s="7">
        <v>46054</v>
      </c>
      <c r="D5" s="8"/>
      <c r="E5" s="8"/>
      <c r="F5" s="8"/>
      <c r="G5" s="8">
        <v>100</v>
      </c>
      <c r="H5" s="8"/>
      <c r="I5" s="8"/>
      <c r="J5" s="5">
        <f t="shared" ref="J5:J22" si="0">SUM(D5:I5)</f>
        <v>100</v>
      </c>
    </row>
    <row r="6" spans="1:10" ht="15.75" thickBot="1" x14ac:dyDescent="0.3">
      <c r="A6" s="6" t="s">
        <v>7</v>
      </c>
      <c r="B6" s="6" t="s">
        <v>390</v>
      </c>
      <c r="C6" s="7">
        <v>46054</v>
      </c>
      <c r="D6" s="8"/>
      <c r="E6" s="8"/>
      <c r="F6" s="8"/>
      <c r="G6" s="8"/>
      <c r="H6" s="8">
        <v>56</v>
      </c>
      <c r="I6" s="8"/>
      <c r="J6" s="5">
        <f t="shared" si="0"/>
        <v>56</v>
      </c>
    </row>
    <row r="7" spans="1:10" ht="15.75" thickBot="1" x14ac:dyDescent="0.3">
      <c r="A7" s="6" t="s">
        <v>7</v>
      </c>
      <c r="B7" s="6" t="s">
        <v>391</v>
      </c>
      <c r="C7" s="7">
        <v>46054</v>
      </c>
      <c r="D7" s="8"/>
      <c r="E7" s="8"/>
      <c r="F7" s="8"/>
      <c r="G7" s="8"/>
      <c r="H7" s="8">
        <v>54</v>
      </c>
      <c r="I7" s="8"/>
      <c r="J7" s="5">
        <f t="shared" si="0"/>
        <v>54</v>
      </c>
    </row>
    <row r="8" spans="1:10" ht="15.75" thickBot="1" x14ac:dyDescent="0.3">
      <c r="A8" s="6"/>
      <c r="B8" s="6"/>
      <c r="C8" s="7"/>
      <c r="D8" s="8"/>
      <c r="E8" s="8"/>
      <c r="F8" s="8"/>
      <c r="G8" s="8"/>
      <c r="H8" s="8"/>
      <c r="I8" s="8"/>
      <c r="J8" s="5">
        <f t="shared" si="0"/>
        <v>0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6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9"/>
      <c r="B12" s="6"/>
      <c r="C12" s="7"/>
      <c r="D12" s="8"/>
      <c r="E12" s="8"/>
      <c r="F12" s="8"/>
      <c r="G12" s="8"/>
      <c r="H12" s="8"/>
      <c r="I12" s="8"/>
      <c r="J12" s="5">
        <f t="shared" si="0"/>
        <v>0</v>
      </c>
    </row>
    <row r="13" spans="1:10" ht="15.75" thickBot="1" x14ac:dyDescent="0.3">
      <c r="A13" s="9"/>
      <c r="B13" s="369"/>
      <c r="C13" s="7"/>
      <c r="D13" s="8"/>
      <c r="E13" s="8"/>
      <c r="F13" s="8"/>
      <c r="G13" s="8"/>
      <c r="H13" s="8"/>
      <c r="I13" s="11"/>
      <c r="J13" s="5">
        <f t="shared" si="0"/>
        <v>0</v>
      </c>
    </row>
    <row r="14" spans="1:10" ht="15.75" thickBot="1" x14ac:dyDescent="0.3">
      <c r="A14" s="6"/>
      <c r="B14" s="6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3"/>
      <c r="B15" s="370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15"/>
      <c r="B16" s="13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368"/>
      <c r="B17" s="368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368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7"/>
      <c r="B19" s="368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18"/>
      <c r="B20" s="368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371"/>
      <c r="B21" s="371"/>
      <c r="C21" s="7"/>
      <c r="D21" s="8"/>
      <c r="E21" s="8"/>
      <c r="F21" s="8"/>
      <c r="G21" s="8"/>
      <c r="H21" s="8"/>
      <c r="I21" s="8"/>
      <c r="J21" s="5">
        <f t="shared" si="0"/>
        <v>0</v>
      </c>
    </row>
    <row r="22" spans="1:13" ht="15.75" thickBot="1" x14ac:dyDescent="0.3">
      <c r="A22" s="368"/>
      <c r="B22" s="367"/>
      <c r="C22" s="21"/>
      <c r="D22" s="22"/>
      <c r="E22" s="22"/>
      <c r="F22" s="22"/>
      <c r="G22" s="22"/>
      <c r="H22" s="22"/>
      <c r="I22" s="22"/>
      <c r="J22" s="5">
        <f t="shared" si="0"/>
        <v>0</v>
      </c>
    </row>
    <row r="23" spans="1:13" ht="19.5" thickBot="1" x14ac:dyDescent="0.35">
      <c r="A23" s="23" t="s">
        <v>9</v>
      </c>
      <c r="B23" s="4"/>
      <c r="C23" s="24"/>
      <c r="D23" s="25">
        <f>SUM(D4:D22)</f>
        <v>0</v>
      </c>
      <c r="E23" s="25">
        <f t="shared" ref="E23:I23" si="1">SUM(E4:E22)</f>
        <v>0</v>
      </c>
      <c r="F23" s="25">
        <f t="shared" si="1"/>
        <v>0</v>
      </c>
      <c r="G23" s="25">
        <f t="shared" si="1"/>
        <v>100</v>
      </c>
      <c r="H23" s="25">
        <f t="shared" si="1"/>
        <v>110</v>
      </c>
      <c r="I23" s="25">
        <f t="shared" si="1"/>
        <v>10</v>
      </c>
      <c r="J23" s="26">
        <f>SUM(J4:J22)</f>
        <v>220</v>
      </c>
    </row>
    <row r="24" spans="1:13" ht="19.5" thickBot="1" x14ac:dyDescent="0.35">
      <c r="A24" s="27"/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24" thickBot="1" x14ac:dyDescent="0.4">
      <c r="A25" s="31" t="s">
        <v>12</v>
      </c>
      <c r="B25" s="28"/>
      <c r="C25" s="29"/>
      <c r="D25" s="30"/>
      <c r="E25" s="30"/>
      <c r="F25" s="30"/>
      <c r="G25" s="30"/>
      <c r="H25" s="30"/>
      <c r="I25" s="30"/>
      <c r="J25" s="30"/>
    </row>
    <row r="26" spans="1:13" ht="15.75" thickBot="1" x14ac:dyDescent="0.3">
      <c r="A26" s="32" t="s">
        <v>13</v>
      </c>
      <c r="B26" s="4" t="s">
        <v>1</v>
      </c>
      <c r="C26" s="33" t="s">
        <v>14</v>
      </c>
      <c r="D26" s="33" t="s">
        <v>3</v>
      </c>
      <c r="E26" s="33" t="s">
        <v>4</v>
      </c>
      <c r="F26" s="4" t="s">
        <v>5</v>
      </c>
      <c r="G26" s="4" t="s">
        <v>6</v>
      </c>
      <c r="H26" s="4" t="s">
        <v>15</v>
      </c>
      <c r="I26" s="4" t="s">
        <v>8</v>
      </c>
      <c r="J26" s="34" t="s">
        <v>9</v>
      </c>
    </row>
    <row r="27" spans="1:13" ht="15.75" thickBot="1" x14ac:dyDescent="0.3">
      <c r="A27" s="371" t="s">
        <v>381</v>
      </c>
      <c r="B27" s="21" t="s">
        <v>382</v>
      </c>
      <c r="C27" s="21">
        <v>46054</v>
      </c>
      <c r="D27" s="35"/>
      <c r="E27" s="36"/>
      <c r="F27" s="35"/>
      <c r="G27" s="35">
        <v>60</v>
      </c>
      <c r="H27" s="37"/>
      <c r="I27" s="37"/>
      <c r="J27" s="38">
        <f>SUM(D27:I27)</f>
        <v>60</v>
      </c>
    </row>
    <row r="28" spans="1:13" ht="15.75" thickBot="1" x14ac:dyDescent="0.3">
      <c r="A28" s="371"/>
      <c r="B28" s="21"/>
      <c r="C28" s="21"/>
      <c r="D28" s="35"/>
      <c r="E28" s="35"/>
      <c r="F28" s="35"/>
      <c r="G28" s="35"/>
      <c r="H28" s="37"/>
      <c r="I28" s="37"/>
      <c r="J28" s="38">
        <f t="shared" ref="J28:J30" si="2">SUM(D28:I28)</f>
        <v>0</v>
      </c>
    </row>
    <row r="29" spans="1:13" ht="15.75" thickBot="1" x14ac:dyDescent="0.3">
      <c r="A29" s="371"/>
      <c r="B29" s="368"/>
      <c r="C29" s="7"/>
      <c r="D29" s="39"/>
      <c r="E29" s="39"/>
      <c r="F29" s="39"/>
      <c r="G29" s="39"/>
      <c r="H29" s="8"/>
      <c r="I29" s="8"/>
      <c r="J29" s="38">
        <f t="shared" si="2"/>
        <v>0</v>
      </c>
    </row>
    <row r="30" spans="1:13" ht="15.75" thickBot="1" x14ac:dyDescent="0.3">
      <c r="A30" s="4"/>
      <c r="B30" s="40"/>
      <c r="C30" s="7"/>
      <c r="D30" s="39"/>
      <c r="E30" s="39"/>
      <c r="F30" s="39"/>
      <c r="G30" s="39"/>
      <c r="H30" s="8"/>
      <c r="I30" s="8"/>
      <c r="J30" s="38">
        <f t="shared" si="2"/>
        <v>0</v>
      </c>
      <c r="L30" s="41" t="s">
        <v>16</v>
      </c>
      <c r="M30" s="42">
        <f>J31+J39</f>
        <v>60</v>
      </c>
    </row>
    <row r="31" spans="1:13" ht="15.75" thickBot="1" x14ac:dyDescent="0.3">
      <c r="A31" s="4" t="s">
        <v>9</v>
      </c>
      <c r="B31" s="43"/>
      <c r="C31" s="44"/>
      <c r="D31" s="45"/>
      <c r="E31" s="45"/>
      <c r="F31" s="45"/>
      <c r="G31" s="45"/>
      <c r="H31" s="45"/>
      <c r="I31" s="45"/>
      <c r="J31" s="12">
        <f>SUM(J27:J30)</f>
        <v>60</v>
      </c>
    </row>
    <row r="32" spans="1:13" ht="15.75" thickBot="1" x14ac:dyDescent="0.3">
      <c r="A32" s="28"/>
      <c r="B32" s="46"/>
      <c r="C32" s="47"/>
      <c r="D32" s="48"/>
      <c r="E32" s="48"/>
      <c r="F32" s="48"/>
      <c r="G32" s="48"/>
      <c r="H32" s="48"/>
      <c r="I32" s="48"/>
      <c r="J32" s="49"/>
    </row>
    <row r="33" spans="1:13" ht="24" thickBot="1" x14ac:dyDescent="0.4">
      <c r="A33" s="31" t="s">
        <v>12</v>
      </c>
      <c r="B33" s="28"/>
      <c r="C33" s="29"/>
      <c r="D33" s="30"/>
      <c r="E33" s="30"/>
      <c r="F33" s="30"/>
      <c r="G33" s="30"/>
      <c r="H33" s="30"/>
      <c r="I33" s="30"/>
      <c r="J33" s="30"/>
    </row>
    <row r="34" spans="1:13" ht="45.75" thickBot="1" x14ac:dyDescent="0.3">
      <c r="A34" s="50" t="s">
        <v>17</v>
      </c>
      <c r="B34" s="4" t="s">
        <v>18</v>
      </c>
      <c r="C34" s="33" t="s">
        <v>14</v>
      </c>
      <c r="D34" s="33" t="s">
        <v>3</v>
      </c>
      <c r="E34" s="33" t="s">
        <v>4</v>
      </c>
      <c r="F34" s="33" t="s">
        <v>19</v>
      </c>
      <c r="G34" s="33" t="s">
        <v>20</v>
      </c>
      <c r="H34" s="33" t="s">
        <v>15</v>
      </c>
      <c r="I34" s="51" t="s">
        <v>21</v>
      </c>
      <c r="J34" s="34" t="s">
        <v>9</v>
      </c>
    </row>
    <row r="35" spans="1:13" ht="15.75" thickBot="1" x14ac:dyDescent="0.3">
      <c r="A35" s="52"/>
      <c r="B35" s="17"/>
      <c r="C35" s="7"/>
      <c r="D35" s="8"/>
      <c r="E35" s="8"/>
      <c r="F35" s="8"/>
      <c r="G35" s="8"/>
      <c r="H35" s="8"/>
      <c r="I35" s="8"/>
      <c r="J35" s="5">
        <f t="shared" ref="J35:J38" si="3">SUM(D35:I35)</f>
        <v>0</v>
      </c>
    </row>
    <row r="36" spans="1:13" ht="15.75" thickBot="1" x14ac:dyDescent="0.3">
      <c r="A36" s="13"/>
      <c r="B36" s="21"/>
      <c r="C36" s="7"/>
      <c r="D36" s="35"/>
      <c r="E36" s="35"/>
      <c r="F36" s="35"/>
      <c r="G36" s="35"/>
      <c r="H36" s="37"/>
      <c r="I36" s="37"/>
      <c r="J36" s="38">
        <f t="shared" si="3"/>
        <v>0</v>
      </c>
    </row>
    <row r="37" spans="1:13" ht="15.75" thickBot="1" x14ac:dyDescent="0.3">
      <c r="A37" s="371"/>
      <c r="B37" s="368"/>
      <c r="C37" s="7"/>
      <c r="D37" s="39"/>
      <c r="E37" s="39"/>
      <c r="F37" s="39"/>
      <c r="G37" s="39"/>
      <c r="H37" s="8"/>
      <c r="I37" s="8"/>
      <c r="J37" s="38">
        <f t="shared" si="3"/>
        <v>0</v>
      </c>
    </row>
    <row r="38" spans="1:13" ht="15.75" thickBot="1" x14ac:dyDescent="0.3">
      <c r="A38" s="4"/>
      <c r="B38" s="40"/>
      <c r="C38" s="7"/>
      <c r="D38" s="39"/>
      <c r="E38" s="39"/>
      <c r="F38" s="39"/>
      <c r="G38" s="39"/>
      <c r="H38" s="8"/>
      <c r="I38" s="8"/>
      <c r="J38" s="38">
        <f t="shared" si="3"/>
        <v>0</v>
      </c>
      <c r="L38" s="53"/>
      <c r="M38" s="54"/>
    </row>
    <row r="39" spans="1:13" ht="15.75" thickBot="1" x14ac:dyDescent="0.3">
      <c r="A39" s="4" t="s">
        <v>9</v>
      </c>
      <c r="B39" s="43"/>
      <c r="C39" s="44"/>
      <c r="D39" s="45"/>
      <c r="E39" s="45"/>
      <c r="F39" s="45"/>
      <c r="G39" s="45"/>
      <c r="H39" s="45"/>
      <c r="I39" s="45"/>
      <c r="J39" s="12">
        <f>SUM(J35:J38)</f>
        <v>0</v>
      </c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x14ac:dyDescent="0.25">
      <c r="A41" s="28"/>
      <c r="B41" s="46"/>
      <c r="C41" s="47"/>
      <c r="D41" s="48"/>
      <c r="E41" s="48"/>
      <c r="F41" s="48"/>
      <c r="G41" s="48"/>
      <c r="H41" s="48"/>
      <c r="I41" s="48"/>
      <c r="J41" s="49"/>
    </row>
    <row r="42" spans="1:13" ht="15.75" thickBot="1" x14ac:dyDescent="0.3">
      <c r="A42" s="2"/>
      <c r="B42" s="2"/>
      <c r="C42" s="2"/>
      <c r="J42" s="3"/>
    </row>
    <row r="43" spans="1:13" ht="45.75" thickBot="1" x14ac:dyDescent="0.3">
      <c r="A43" s="33" t="s">
        <v>22</v>
      </c>
      <c r="B43" s="4" t="s">
        <v>18</v>
      </c>
      <c r="C43" s="33" t="s">
        <v>14</v>
      </c>
      <c r="D43" s="33" t="s">
        <v>3</v>
      </c>
      <c r="E43" s="33" t="s">
        <v>4</v>
      </c>
      <c r="F43" s="33" t="s">
        <v>19</v>
      </c>
      <c r="G43" s="33" t="s">
        <v>20</v>
      </c>
      <c r="H43" s="4" t="s">
        <v>21</v>
      </c>
      <c r="I43" s="51" t="s">
        <v>377</v>
      </c>
      <c r="J43" s="34" t="s">
        <v>9</v>
      </c>
    </row>
    <row r="44" spans="1:13" ht="15.75" thickBot="1" x14ac:dyDescent="0.3">
      <c r="A44" s="564" t="s">
        <v>371</v>
      </c>
      <c r="B44" s="566" t="s">
        <v>372</v>
      </c>
      <c r="C44" s="21">
        <v>45992</v>
      </c>
      <c r="D44" s="37">
        <v>330.9</v>
      </c>
      <c r="E44" s="55">
        <v>28</v>
      </c>
      <c r="F44" s="37"/>
      <c r="G44" s="37"/>
      <c r="H44" s="37"/>
      <c r="I44" s="37"/>
      <c r="J44" s="38">
        <f>SUM(D44:I44)</f>
        <v>358.9</v>
      </c>
    </row>
    <row r="45" spans="1:13" ht="15.75" thickBot="1" x14ac:dyDescent="0.3">
      <c r="A45" s="565"/>
      <c r="B45" s="567"/>
      <c r="C45" s="21">
        <v>45658</v>
      </c>
      <c r="D45" s="37"/>
      <c r="E45" s="37"/>
      <c r="F45" s="37"/>
      <c r="G45" s="37"/>
      <c r="H45" s="37">
        <v>10</v>
      </c>
      <c r="I45" s="37"/>
      <c r="J45" s="38">
        <f t="shared" ref="J45:J57" si="4">SUM(D45:I45)</f>
        <v>10</v>
      </c>
    </row>
    <row r="46" spans="1:13" ht="15.75" thickBot="1" x14ac:dyDescent="0.3">
      <c r="A46" s="368" t="s">
        <v>373</v>
      </c>
      <c r="B46" s="21" t="s">
        <v>374</v>
      </c>
      <c r="C46" s="21">
        <v>45992</v>
      </c>
      <c r="D46" s="37">
        <v>89.9</v>
      </c>
      <c r="E46" s="37">
        <v>23.4</v>
      </c>
      <c r="F46" s="37"/>
      <c r="G46" s="37"/>
      <c r="H46" s="37"/>
      <c r="I46" s="37"/>
      <c r="J46" s="38">
        <f t="shared" si="4"/>
        <v>113.30000000000001</v>
      </c>
    </row>
    <row r="47" spans="1:13" ht="15.75" thickBot="1" x14ac:dyDescent="0.3">
      <c r="A47" s="564" t="s">
        <v>375</v>
      </c>
      <c r="B47" s="566" t="s">
        <v>376</v>
      </c>
      <c r="C47" s="21">
        <v>45992</v>
      </c>
      <c r="D47" s="37">
        <v>19.2</v>
      </c>
      <c r="E47" s="37">
        <v>91.7</v>
      </c>
      <c r="F47" s="37"/>
      <c r="G47" s="37"/>
      <c r="H47" s="37"/>
      <c r="I47" s="37"/>
      <c r="J47" s="38">
        <f t="shared" si="4"/>
        <v>110.9</v>
      </c>
    </row>
    <row r="48" spans="1:13" ht="15.75" thickBot="1" x14ac:dyDescent="0.3">
      <c r="A48" s="565"/>
      <c r="B48" s="567"/>
      <c r="C48" s="21">
        <v>45658</v>
      </c>
      <c r="D48" s="37"/>
      <c r="E48" s="37"/>
      <c r="F48" s="37">
        <v>56</v>
      </c>
      <c r="G48" s="37">
        <v>5</v>
      </c>
      <c r="H48" s="37">
        <v>10</v>
      </c>
      <c r="I48" s="37">
        <v>28.3</v>
      </c>
      <c r="J48" s="38">
        <f t="shared" si="4"/>
        <v>99.3</v>
      </c>
    </row>
    <row r="49" spans="1:10" ht="15.75" thickBot="1" x14ac:dyDescent="0.3">
      <c r="A49" s="368"/>
      <c r="B49" s="21"/>
      <c r="C49" s="21"/>
      <c r="D49" s="37"/>
      <c r="E49" s="37"/>
      <c r="F49" s="37"/>
      <c r="G49" s="37"/>
      <c r="H49" s="37"/>
      <c r="I49" s="37"/>
      <c r="J49" s="38">
        <f t="shared" si="4"/>
        <v>0</v>
      </c>
    </row>
    <row r="50" spans="1:10" ht="15.75" thickBot="1" x14ac:dyDescent="0.3">
      <c r="A50" s="368"/>
      <c r="B50" s="21"/>
      <c r="C50" s="21"/>
      <c r="D50" s="37"/>
      <c r="E50" s="37"/>
      <c r="F50" s="37"/>
      <c r="G50" s="37"/>
      <c r="H50" s="37"/>
      <c r="I50" s="37"/>
      <c r="J50" s="38">
        <f t="shared" si="4"/>
        <v>0</v>
      </c>
    </row>
    <row r="51" spans="1:10" ht="15.75" thickBot="1" x14ac:dyDescent="0.3">
      <c r="A51" s="368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368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368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56"/>
      <c r="B54" s="21"/>
      <c r="C54" s="21"/>
      <c r="D54" s="37"/>
      <c r="E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37"/>
      <c r="E56" s="37"/>
      <c r="F56" s="37"/>
      <c r="G56" s="37"/>
      <c r="H56" s="37"/>
      <c r="I56" s="37"/>
      <c r="J56" s="38">
        <f t="shared" si="4"/>
        <v>0</v>
      </c>
    </row>
    <row r="57" spans="1:10" ht="15.75" thickBot="1" x14ac:dyDescent="0.3">
      <c r="A57" s="40"/>
      <c r="B57" s="21"/>
      <c r="C57" s="21"/>
      <c r="D57" s="57"/>
      <c r="E57" s="57"/>
      <c r="F57" s="57"/>
      <c r="G57" s="57"/>
      <c r="H57" s="57"/>
      <c r="I57" s="57"/>
      <c r="J57" s="38">
        <f t="shared" si="4"/>
        <v>0</v>
      </c>
    </row>
    <row r="58" spans="1:10" ht="19.5" thickBot="1" x14ac:dyDescent="0.35">
      <c r="A58" s="23" t="s">
        <v>9</v>
      </c>
      <c r="B58" s="4"/>
      <c r="C58" s="24"/>
      <c r="D58" s="25">
        <f t="shared" ref="D58:J58" si="5">SUM(D44:D57)</f>
        <v>439.99999999999994</v>
      </c>
      <c r="E58" s="25">
        <f t="shared" si="5"/>
        <v>143.1</v>
      </c>
      <c r="F58" s="25">
        <f t="shared" si="5"/>
        <v>56</v>
      </c>
      <c r="G58" s="25">
        <f t="shared" si="5"/>
        <v>5</v>
      </c>
      <c r="H58" s="25">
        <f t="shared" si="5"/>
        <v>20</v>
      </c>
      <c r="I58" s="25">
        <f t="shared" si="5"/>
        <v>28.3</v>
      </c>
      <c r="J58" s="25">
        <f t="shared" si="5"/>
        <v>692.4</v>
      </c>
    </row>
    <row r="59" spans="1:10" ht="15.75" x14ac:dyDescent="0.25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6.5" thickBot="1" x14ac:dyDescent="0.3">
      <c r="A60" s="58"/>
      <c r="B60" s="58"/>
      <c r="C60" s="59"/>
      <c r="D60" s="60"/>
      <c r="E60" s="60"/>
      <c r="F60" s="60"/>
      <c r="G60" s="60"/>
      <c r="H60" s="60"/>
      <c r="I60" s="60"/>
      <c r="J60" s="60"/>
    </row>
    <row r="61" spans="1:10" ht="19.5" thickBot="1" x14ac:dyDescent="0.35">
      <c r="A61" s="554" t="s">
        <v>23</v>
      </c>
      <c r="B61" s="555"/>
      <c r="C61" s="61"/>
      <c r="D61" s="62"/>
      <c r="E61" s="62"/>
      <c r="F61" s="62"/>
      <c r="G61" s="62"/>
      <c r="H61" s="62"/>
      <c r="I61" s="62"/>
      <c r="J61" s="26">
        <f>+J23+J58</f>
        <v>912.4</v>
      </c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x14ac:dyDescent="0.25">
      <c r="A63" s="2"/>
      <c r="B63" s="2"/>
      <c r="C63" s="63"/>
      <c r="D63" s="3"/>
      <c r="E63" s="3"/>
      <c r="F63" s="3"/>
      <c r="G63" s="3"/>
      <c r="H63" s="3"/>
      <c r="I63" s="3"/>
      <c r="J63" s="3"/>
    </row>
    <row r="64" spans="1:10" ht="16.5" thickBot="1" x14ac:dyDescent="0.3">
      <c r="A64" s="64" t="s">
        <v>24</v>
      </c>
      <c r="B64" s="2"/>
      <c r="C64" s="63"/>
      <c r="D64" s="3"/>
      <c r="E64" s="3"/>
      <c r="F64" s="3"/>
      <c r="G64" s="3"/>
      <c r="H64" s="3"/>
      <c r="I64" s="3"/>
      <c r="J64" s="3"/>
    </row>
    <row r="65" spans="1:10" ht="19.5" thickBot="1" x14ac:dyDescent="0.35">
      <c r="A65" s="65" t="s">
        <v>25</v>
      </c>
      <c r="B65" s="66"/>
      <c r="C65" s="67"/>
      <c r="D65" s="68"/>
      <c r="E65" s="68"/>
      <c r="F65" s="68"/>
      <c r="G65" s="68"/>
      <c r="H65" s="68"/>
      <c r="I65" s="68"/>
      <c r="J65" s="26"/>
    </row>
    <row r="66" spans="1:10" ht="19.5" thickBot="1" x14ac:dyDescent="0.35">
      <c r="A66" s="65" t="s">
        <v>26</v>
      </c>
      <c r="B66" s="66"/>
      <c r="C66" s="69"/>
      <c r="D66" s="68"/>
      <c r="E66" s="68"/>
      <c r="F66" s="68"/>
      <c r="G66" s="68"/>
      <c r="H66" s="68"/>
      <c r="I66" s="68"/>
      <c r="J66" s="26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8.75" x14ac:dyDescent="0.3">
      <c r="A68" s="70"/>
      <c r="B68" s="70"/>
      <c r="C68" s="71"/>
      <c r="D68" s="72"/>
      <c r="E68" s="72"/>
      <c r="F68" s="72"/>
      <c r="G68" s="72"/>
      <c r="H68" s="72"/>
      <c r="I68" s="72"/>
      <c r="J68" s="30"/>
    </row>
    <row r="69" spans="1:10" ht="16.5" thickBot="1" x14ac:dyDescent="0.3">
      <c r="A69" s="73" t="s">
        <v>27</v>
      </c>
      <c r="B69" s="74"/>
      <c r="C69" s="63"/>
      <c r="D69" s="3"/>
      <c r="E69" s="3"/>
      <c r="F69" s="3"/>
      <c r="G69" s="3"/>
      <c r="H69" s="3"/>
      <c r="I69" s="3"/>
      <c r="J69" s="3"/>
    </row>
    <row r="70" spans="1:10" ht="19.5" thickBot="1" x14ac:dyDescent="0.35">
      <c r="A70" s="75" t="s">
        <v>28</v>
      </c>
      <c r="B70" s="76"/>
      <c r="C70" s="77"/>
      <c r="D70" s="78"/>
      <c r="E70" s="78"/>
      <c r="F70" s="78"/>
      <c r="G70" s="78"/>
      <c r="H70" s="78"/>
      <c r="I70" s="78"/>
      <c r="J70" s="79">
        <v>323</v>
      </c>
    </row>
    <row r="71" spans="1:10" x14ac:dyDescent="0.25">
      <c r="A71" s="80"/>
      <c r="B71" s="2"/>
      <c r="C71" s="63"/>
      <c r="D71" s="3"/>
      <c r="E71" s="3"/>
      <c r="F71" s="3"/>
      <c r="G71" s="3"/>
      <c r="H71" s="3"/>
      <c r="I71" s="3"/>
      <c r="J71" s="3"/>
    </row>
    <row r="72" spans="1:10" ht="16.5" thickBot="1" x14ac:dyDescent="0.3">
      <c r="A72" s="73"/>
      <c r="B72" s="74"/>
      <c r="C72" s="63"/>
      <c r="D72" s="3"/>
      <c r="E72" s="3"/>
      <c r="F72" s="3"/>
      <c r="G72" s="3"/>
      <c r="H72" s="3"/>
      <c r="I72" s="3"/>
      <c r="J72" s="3"/>
    </row>
    <row r="73" spans="1:10" ht="19.5" thickBot="1" x14ac:dyDescent="0.35">
      <c r="A73" s="75" t="s">
        <v>29</v>
      </c>
      <c r="B73" s="76"/>
      <c r="C73" s="81"/>
      <c r="D73" s="78"/>
      <c r="E73" s="78"/>
      <c r="F73" s="78"/>
      <c r="G73" s="78"/>
      <c r="H73" s="78"/>
      <c r="I73" s="78"/>
      <c r="J73" s="82"/>
    </row>
    <row r="74" spans="1:10" ht="15.75" thickBot="1" x14ac:dyDescent="0.3">
      <c r="A74" s="80"/>
      <c r="B74" s="2"/>
      <c r="C74" s="63"/>
      <c r="D74" s="3"/>
      <c r="E74" s="3"/>
      <c r="F74" s="3"/>
      <c r="G74" s="3"/>
      <c r="H74" s="3"/>
      <c r="I74" s="3"/>
      <c r="J74" s="3"/>
    </row>
    <row r="75" spans="1:10" ht="21.75" thickBot="1" x14ac:dyDescent="0.4">
      <c r="A75" s="556" t="s">
        <v>30</v>
      </c>
      <c r="B75" s="557"/>
      <c r="C75" s="83"/>
      <c r="D75" s="84"/>
      <c r="E75" s="84"/>
      <c r="F75" s="84"/>
      <c r="G75" s="84"/>
      <c r="H75" s="84"/>
      <c r="I75" s="84"/>
      <c r="J75" s="85">
        <f>SUM(J61:J74)</f>
        <v>1235.4000000000001</v>
      </c>
    </row>
    <row r="76" spans="1:10" x14ac:dyDescent="0.25">
      <c r="A76" s="2"/>
      <c r="B76" s="2"/>
      <c r="C76" s="63"/>
      <c r="D76" s="3"/>
      <c r="E76" s="3"/>
      <c r="F76" s="3"/>
      <c r="G76" s="3"/>
      <c r="H76" s="3"/>
      <c r="I76" s="3"/>
      <c r="J76" s="3"/>
    </row>
    <row r="77" spans="1:10" ht="21" x14ac:dyDescent="0.35">
      <c r="A77" s="553" t="s">
        <v>355</v>
      </c>
      <c r="B77" s="553"/>
      <c r="C77" s="553"/>
      <c r="D77" s="553"/>
      <c r="E77" s="553"/>
      <c r="F77" s="553"/>
      <c r="G77" s="553"/>
      <c r="H77" s="553"/>
      <c r="I77" s="553"/>
      <c r="J77" s="553"/>
    </row>
    <row r="78" spans="1:10" ht="21.75" thickBot="1" x14ac:dyDescent="0.4">
      <c r="A78" s="366" t="s">
        <v>31</v>
      </c>
      <c r="B78" s="366"/>
      <c r="C78" s="366"/>
      <c r="D78" s="366"/>
      <c r="E78" s="366"/>
      <c r="F78" s="366"/>
      <c r="G78" s="366"/>
      <c r="H78" s="366"/>
      <c r="I78" s="366"/>
      <c r="J78" s="87"/>
    </row>
    <row r="79" spans="1:10" ht="15.75" thickBot="1" x14ac:dyDescent="0.3">
      <c r="A79" s="88" t="s">
        <v>32</v>
      </c>
      <c r="B79" s="89" t="s">
        <v>33</v>
      </c>
      <c r="C79" s="558" t="s">
        <v>2</v>
      </c>
      <c r="D79" s="559"/>
      <c r="E79" s="559"/>
      <c r="F79" s="559"/>
      <c r="G79" s="559"/>
      <c r="H79" s="559"/>
      <c r="I79" s="560"/>
      <c r="J79" s="90" t="s">
        <v>9</v>
      </c>
    </row>
    <row r="80" spans="1:10" ht="15.75" thickBot="1" x14ac:dyDescent="0.3">
      <c r="A80" s="91" t="s">
        <v>263</v>
      </c>
      <c r="B80" s="92" t="s">
        <v>364</v>
      </c>
      <c r="C80" s="550" t="s">
        <v>389</v>
      </c>
      <c r="D80" s="551"/>
      <c r="E80" s="551"/>
      <c r="F80" s="551"/>
      <c r="G80" s="551"/>
      <c r="H80" s="551"/>
      <c r="I80" s="551"/>
      <c r="J80" s="22">
        <v>750</v>
      </c>
    </row>
    <row r="81" spans="1:10" ht="15.75" thickBot="1" x14ac:dyDescent="0.3">
      <c r="A81" s="40" t="s">
        <v>365</v>
      </c>
      <c r="B81" s="92">
        <v>620073</v>
      </c>
      <c r="C81" s="550" t="s">
        <v>366</v>
      </c>
      <c r="D81" s="551"/>
      <c r="E81" s="551"/>
      <c r="F81" s="551"/>
      <c r="G81" s="551"/>
      <c r="H81" s="552"/>
      <c r="I81" s="552"/>
      <c r="J81" s="22">
        <v>1651.5</v>
      </c>
    </row>
    <row r="82" spans="1:10" ht="15.75" thickBot="1" x14ac:dyDescent="0.3">
      <c r="A82" s="40" t="s">
        <v>383</v>
      </c>
      <c r="B82" s="92" t="s">
        <v>384</v>
      </c>
      <c r="C82" s="550" t="s">
        <v>385</v>
      </c>
      <c r="D82" s="551"/>
      <c r="E82" s="551"/>
      <c r="F82" s="551"/>
      <c r="G82" s="551"/>
      <c r="H82" s="552"/>
      <c r="I82" s="552"/>
      <c r="J82" s="22">
        <v>80</v>
      </c>
    </row>
    <row r="83" spans="1:10" ht="15.75" thickBot="1" x14ac:dyDescent="0.3">
      <c r="A83" s="40" t="s">
        <v>386</v>
      </c>
      <c r="B83" s="92" t="s">
        <v>387</v>
      </c>
      <c r="C83" s="550" t="s">
        <v>388</v>
      </c>
      <c r="D83" s="551"/>
      <c r="E83" s="551"/>
      <c r="F83" s="551"/>
      <c r="G83" s="551"/>
      <c r="H83" s="552"/>
      <c r="I83" s="552"/>
      <c r="J83" s="22">
        <v>70</v>
      </c>
    </row>
    <row r="84" spans="1:10" ht="15.75" thickBot="1" x14ac:dyDescent="0.3">
      <c r="A84" s="40" t="s">
        <v>367</v>
      </c>
      <c r="B84" s="92" t="s">
        <v>368</v>
      </c>
      <c r="C84" s="561" t="s">
        <v>369</v>
      </c>
      <c r="D84" s="562"/>
      <c r="E84" s="562"/>
      <c r="F84" s="562"/>
      <c r="G84" s="562"/>
      <c r="H84" s="562"/>
      <c r="I84" s="562"/>
      <c r="J84" s="93">
        <v>600</v>
      </c>
    </row>
    <row r="85" spans="1:10" ht="15.75" thickBot="1" x14ac:dyDescent="0.3">
      <c r="A85" s="40" t="s">
        <v>379</v>
      </c>
      <c r="B85" s="92" t="s">
        <v>378</v>
      </c>
      <c r="C85" s="550" t="s">
        <v>380</v>
      </c>
      <c r="D85" s="551"/>
      <c r="E85" s="551"/>
      <c r="F85" s="551"/>
      <c r="G85" s="551"/>
      <c r="H85" s="552"/>
      <c r="I85" s="552"/>
      <c r="J85" s="22">
        <v>30</v>
      </c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37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37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9.5" thickBot="1" x14ac:dyDescent="0.35">
      <c r="A91" s="94" t="s">
        <v>34</v>
      </c>
      <c r="B91" s="554"/>
      <c r="C91" s="563"/>
      <c r="D91" s="563"/>
      <c r="E91" s="563"/>
      <c r="F91" s="563"/>
      <c r="G91" s="563"/>
      <c r="H91" s="563"/>
      <c r="I91" s="563"/>
      <c r="J91" s="95">
        <f>SUM(J80:J90)</f>
        <v>3181.5</v>
      </c>
    </row>
    <row r="92" spans="1:10" ht="18.75" x14ac:dyDescent="0.3">
      <c r="A92" s="27"/>
      <c r="B92" s="27"/>
      <c r="C92" s="96"/>
      <c r="D92" s="96"/>
      <c r="E92" s="96"/>
      <c r="F92" s="97"/>
      <c r="G92" s="96"/>
      <c r="H92" s="96"/>
      <c r="I92" s="96"/>
      <c r="J92" s="30"/>
    </row>
    <row r="93" spans="1:10" ht="18.75" x14ac:dyDescent="0.3">
      <c r="A93" s="27"/>
      <c r="B93" s="27"/>
      <c r="C93" s="96"/>
      <c r="D93" s="96"/>
      <c r="E93" s="96"/>
      <c r="F93" s="97"/>
      <c r="G93" s="96"/>
      <c r="H93" s="96"/>
      <c r="I93" s="96"/>
      <c r="J93" s="30"/>
    </row>
    <row r="94" spans="1:10" ht="18.75" x14ac:dyDescent="0.3">
      <c r="A94" s="58" t="s">
        <v>35</v>
      </c>
      <c r="B94" s="27"/>
      <c r="C94" s="2"/>
      <c r="D94" s="3"/>
      <c r="F94" s="3"/>
      <c r="J94" s="3"/>
    </row>
    <row r="95" spans="1:10" x14ac:dyDescent="0.25">
      <c r="A95" s="2" t="s">
        <v>36</v>
      </c>
      <c r="B95" s="63">
        <f>+J75</f>
        <v>1235.4000000000001</v>
      </c>
      <c r="C95" s="98"/>
      <c r="D95" s="3"/>
      <c r="F95" s="3"/>
      <c r="J95" s="3"/>
    </row>
    <row r="96" spans="1:10" ht="15.75" thickBot="1" x14ac:dyDescent="0.3">
      <c r="A96" s="2" t="s">
        <v>34</v>
      </c>
      <c r="B96" s="99">
        <f>+J91</f>
        <v>3181.5</v>
      </c>
      <c r="C96" s="100"/>
      <c r="D96" s="3"/>
      <c r="F96" s="3"/>
      <c r="G96" s="101"/>
      <c r="H96" s="101"/>
      <c r="I96" s="102"/>
      <c r="J96" s="102"/>
    </row>
    <row r="97" spans="1:9" ht="17.25" thickTop="1" thickBot="1" x14ac:dyDescent="0.3">
      <c r="A97" s="58" t="s">
        <v>37</v>
      </c>
      <c r="B97" s="103">
        <f>++B95-B96</f>
        <v>-1946.1</v>
      </c>
      <c r="C97" s="104"/>
      <c r="D97" s="105"/>
      <c r="E97" s="106"/>
      <c r="F97" s="105"/>
      <c r="G97" s="107"/>
      <c r="H97" s="107"/>
      <c r="I97" s="3"/>
    </row>
    <row r="98" spans="1:9" ht="15.75" thickTop="1" x14ac:dyDescent="0.25"/>
  </sheetData>
  <mergeCells count="21">
    <mergeCell ref="B91:I91"/>
    <mergeCell ref="B44:B45"/>
    <mergeCell ref="A44:A45"/>
    <mergeCell ref="B47:B48"/>
    <mergeCell ref="A47:A48"/>
    <mergeCell ref="C85:I85"/>
    <mergeCell ref="C86:I86"/>
    <mergeCell ref="C87:I87"/>
    <mergeCell ref="C88:I88"/>
    <mergeCell ref="C89:I89"/>
    <mergeCell ref="C90:I90"/>
    <mergeCell ref="C81:I81"/>
    <mergeCell ref="C82:I82"/>
    <mergeCell ref="C83:I83"/>
    <mergeCell ref="C84:I84"/>
    <mergeCell ref="C80:I80"/>
    <mergeCell ref="A1:J1"/>
    <mergeCell ref="A61:B61"/>
    <mergeCell ref="A75:B75"/>
    <mergeCell ref="A77:J77"/>
    <mergeCell ref="C79:I79"/>
  </mergeCells>
  <phoneticPr fontId="13" type="noConversion"/>
  <pageMargins left="0.17" right="0.17" top="0.17" bottom="0.17" header="0.17" footer="0.17"/>
  <pageSetup paperSize="9" scale="5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9FB3-AF67-4A26-8587-35E61F909BE0}">
  <sheetPr>
    <pageSetUpPr fitToPage="1"/>
  </sheetPr>
  <dimension ref="A1:M105"/>
  <sheetViews>
    <sheetView topLeftCell="A16" workbookViewId="0">
      <selection activeCell="A28" sqref="A28:C30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6" max="6" width="13" bestFit="1" customWidth="1"/>
    <col min="10" max="10" width="14" bestFit="1" customWidth="1"/>
  </cols>
  <sheetData>
    <row r="1" spans="1:10" ht="21" x14ac:dyDescent="0.35">
      <c r="A1" s="553" t="s">
        <v>392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10</v>
      </c>
      <c r="B4" s="6" t="s">
        <v>407</v>
      </c>
      <c r="C4" s="7">
        <v>46054</v>
      </c>
      <c r="D4" s="8"/>
      <c r="E4" s="8"/>
      <c r="F4" s="8"/>
      <c r="G4" s="8"/>
      <c r="H4" s="8"/>
      <c r="I4" s="8">
        <v>10</v>
      </c>
      <c r="J4" s="5">
        <f>SUM(D4:I4)</f>
        <v>10</v>
      </c>
    </row>
    <row r="5" spans="1:10" ht="15.75" thickBot="1" x14ac:dyDescent="0.3">
      <c r="A5" s="6" t="s">
        <v>394</v>
      </c>
      <c r="B5" s="6" t="s">
        <v>395</v>
      </c>
      <c r="C5" s="7">
        <v>46054</v>
      </c>
      <c r="D5" s="8"/>
      <c r="E5" s="8"/>
      <c r="F5" s="8"/>
      <c r="G5" s="8">
        <v>30</v>
      </c>
      <c r="H5" s="8"/>
      <c r="I5" s="8"/>
      <c r="J5" s="5">
        <f t="shared" ref="J5:J23" si="0">SUM(D5:I5)</f>
        <v>30</v>
      </c>
    </row>
    <row r="6" spans="1:10" ht="15.75" thickBot="1" x14ac:dyDescent="0.3">
      <c r="A6" s="6" t="s">
        <v>397</v>
      </c>
      <c r="B6" s="6" t="s">
        <v>396</v>
      </c>
      <c r="C6" s="7">
        <v>46023</v>
      </c>
      <c r="D6" s="8"/>
      <c r="E6" s="8"/>
      <c r="F6" s="8">
        <v>500</v>
      </c>
      <c r="G6" s="8"/>
      <c r="H6" s="8"/>
      <c r="I6" s="8"/>
      <c r="J6" s="5">
        <f t="shared" si="0"/>
        <v>500</v>
      </c>
    </row>
    <row r="7" spans="1:10" ht="15.75" thickBot="1" x14ac:dyDescent="0.3">
      <c r="A7" s="6" t="s">
        <v>408</v>
      </c>
      <c r="B7" s="6" t="s">
        <v>409</v>
      </c>
      <c r="C7" s="7">
        <v>46023</v>
      </c>
      <c r="D7" s="8"/>
      <c r="E7" s="8"/>
      <c r="F7" s="8">
        <v>500</v>
      </c>
      <c r="G7" s="8"/>
      <c r="H7" s="8"/>
      <c r="I7" s="8"/>
      <c r="J7" s="5">
        <f t="shared" si="0"/>
        <v>500</v>
      </c>
    </row>
    <row r="8" spans="1:10" ht="15.75" thickBot="1" x14ac:dyDescent="0.3">
      <c r="A8" s="6" t="s">
        <v>414</v>
      </c>
      <c r="B8" s="6" t="s">
        <v>413</v>
      </c>
      <c r="C8" s="7">
        <v>46023</v>
      </c>
      <c r="D8" s="8"/>
      <c r="E8" s="8"/>
      <c r="F8" s="8">
        <v>300</v>
      </c>
      <c r="G8" s="8"/>
      <c r="H8" s="8"/>
      <c r="I8" s="8"/>
      <c r="J8" s="5">
        <f t="shared" si="0"/>
        <v>300</v>
      </c>
    </row>
    <row r="9" spans="1:10" ht="15.75" thickBot="1" x14ac:dyDescent="0.3">
      <c r="A9" s="6" t="s">
        <v>419</v>
      </c>
      <c r="B9" s="6" t="s">
        <v>418</v>
      </c>
      <c r="C9" s="7">
        <v>46023</v>
      </c>
      <c r="D9" s="8"/>
      <c r="E9" s="8"/>
      <c r="F9" s="8">
        <v>220</v>
      </c>
      <c r="G9" s="8"/>
      <c r="H9" s="8"/>
      <c r="I9" s="8"/>
      <c r="J9" s="5">
        <f t="shared" si="0"/>
        <v>220</v>
      </c>
    </row>
    <row r="10" spans="1:10" ht="15.75" thickBot="1" x14ac:dyDescent="0.3">
      <c r="A10" s="6" t="s">
        <v>432</v>
      </c>
      <c r="B10" s="6" t="s">
        <v>433</v>
      </c>
      <c r="C10" s="7">
        <v>46023</v>
      </c>
      <c r="D10" s="8"/>
      <c r="E10" s="8"/>
      <c r="F10" s="8">
        <v>600</v>
      </c>
      <c r="G10" s="8"/>
      <c r="H10" s="8"/>
      <c r="I10" s="8"/>
      <c r="J10" s="5">
        <f t="shared" si="0"/>
        <v>600</v>
      </c>
    </row>
    <row r="11" spans="1:10" ht="15.75" thickBot="1" x14ac:dyDescent="0.3">
      <c r="A11" s="6" t="s">
        <v>7</v>
      </c>
      <c r="B11" s="6" t="s">
        <v>435</v>
      </c>
      <c r="C11" s="7">
        <v>46054</v>
      </c>
      <c r="D11" s="8"/>
      <c r="E11" s="8"/>
      <c r="F11" s="8"/>
      <c r="G11" s="8"/>
      <c r="H11" s="8">
        <v>68</v>
      </c>
      <c r="I11" s="8"/>
      <c r="J11" s="5">
        <f t="shared" si="0"/>
        <v>68</v>
      </c>
    </row>
    <row r="12" spans="1:10" ht="15.75" thickBot="1" x14ac:dyDescent="0.3">
      <c r="A12" s="6" t="s">
        <v>434</v>
      </c>
      <c r="B12" s="6"/>
      <c r="C12" s="7"/>
      <c r="D12" s="8"/>
      <c r="E12" s="8"/>
      <c r="F12" s="8"/>
      <c r="G12" s="8"/>
      <c r="H12" s="8"/>
      <c r="I12" s="8"/>
      <c r="J12" s="5">
        <f t="shared" si="0"/>
        <v>0</v>
      </c>
    </row>
    <row r="13" spans="1:10" ht="15.75" thickBot="1" x14ac:dyDescent="0.3">
      <c r="A13" s="9" t="s">
        <v>397</v>
      </c>
      <c r="B13" s="6" t="s">
        <v>398</v>
      </c>
      <c r="C13" s="7">
        <v>45992</v>
      </c>
      <c r="D13" s="8">
        <v>10</v>
      </c>
      <c r="E13" s="8">
        <v>5</v>
      </c>
      <c r="F13" s="8"/>
      <c r="G13" s="8"/>
      <c r="H13" s="8"/>
      <c r="I13" s="8"/>
      <c r="J13" s="5">
        <f t="shared" si="0"/>
        <v>15</v>
      </c>
    </row>
    <row r="14" spans="1:10" ht="15.75" thickBot="1" x14ac:dyDescent="0.3">
      <c r="A14" s="9" t="s">
        <v>414</v>
      </c>
      <c r="B14" s="6" t="s">
        <v>421</v>
      </c>
      <c r="C14" s="7">
        <v>45992</v>
      </c>
      <c r="D14" s="8">
        <v>10</v>
      </c>
      <c r="E14" s="8">
        <v>5</v>
      </c>
      <c r="F14" s="8"/>
      <c r="G14" s="8"/>
      <c r="H14" s="8"/>
      <c r="I14" s="17"/>
      <c r="J14" s="5">
        <f t="shared" si="0"/>
        <v>15</v>
      </c>
    </row>
    <row r="15" spans="1:10" ht="15.75" thickBot="1" x14ac:dyDescent="0.3">
      <c r="A15" s="316" t="s">
        <v>417</v>
      </c>
      <c r="B15" s="6" t="s">
        <v>422</v>
      </c>
      <c r="C15" s="7">
        <v>45992</v>
      </c>
      <c r="D15" s="8">
        <v>6.5</v>
      </c>
      <c r="E15" s="8">
        <v>5</v>
      </c>
      <c r="F15" s="8"/>
      <c r="G15" s="8"/>
      <c r="H15" s="8"/>
      <c r="I15" s="8"/>
      <c r="J15" s="5">
        <f t="shared" si="0"/>
        <v>11.5</v>
      </c>
    </row>
    <row r="16" spans="1:10" ht="15.75" thickBot="1" x14ac:dyDescent="0.3">
      <c r="A16" s="52"/>
      <c r="B16" s="375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15"/>
      <c r="B17" s="13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373"/>
      <c r="B18" s="373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7"/>
      <c r="B19" s="373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17"/>
      <c r="B20" s="373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18"/>
      <c r="B21" s="373"/>
      <c r="C21" s="7"/>
      <c r="D21" s="8"/>
      <c r="E21" s="8"/>
      <c r="F21" s="8"/>
      <c r="G21" s="8"/>
      <c r="H21" s="8"/>
      <c r="I21" s="8"/>
      <c r="J21" s="5">
        <f t="shared" si="0"/>
        <v>0</v>
      </c>
    </row>
    <row r="22" spans="1:13" ht="15.75" thickBot="1" x14ac:dyDescent="0.3">
      <c r="A22" s="376"/>
      <c r="B22" s="376"/>
      <c r="C22" s="7"/>
      <c r="D22" s="8"/>
      <c r="E22" s="8"/>
      <c r="F22" s="8"/>
      <c r="G22" s="8"/>
      <c r="H22" s="8"/>
      <c r="I22" s="8"/>
      <c r="J22" s="5">
        <f t="shared" si="0"/>
        <v>0</v>
      </c>
    </row>
    <row r="23" spans="1:13" ht="15.75" thickBot="1" x14ac:dyDescent="0.3">
      <c r="A23" s="373"/>
      <c r="B23" s="374"/>
      <c r="C23" s="21"/>
      <c r="D23" s="22"/>
      <c r="E23" s="22"/>
      <c r="F23" s="22"/>
      <c r="G23" s="22"/>
      <c r="H23" s="22"/>
      <c r="I23" s="22"/>
      <c r="J23" s="5">
        <f t="shared" si="0"/>
        <v>0</v>
      </c>
    </row>
    <row r="24" spans="1:13" ht="19.5" thickBot="1" x14ac:dyDescent="0.35">
      <c r="A24" s="23" t="s">
        <v>9</v>
      </c>
      <c r="B24" s="4"/>
      <c r="C24" s="24"/>
      <c r="D24" s="25">
        <f t="shared" ref="D24:J24" si="1">SUM(D4:D23)</f>
        <v>26.5</v>
      </c>
      <c r="E24" s="25">
        <f t="shared" si="1"/>
        <v>15</v>
      </c>
      <c r="F24" s="25">
        <f t="shared" si="1"/>
        <v>2120</v>
      </c>
      <c r="G24" s="25">
        <f t="shared" si="1"/>
        <v>30</v>
      </c>
      <c r="H24" s="25">
        <f t="shared" si="1"/>
        <v>68</v>
      </c>
      <c r="I24" s="25">
        <f t="shared" si="1"/>
        <v>10</v>
      </c>
      <c r="J24" s="26">
        <f t="shared" si="1"/>
        <v>2269.5</v>
      </c>
    </row>
    <row r="25" spans="1:13" ht="19.5" thickBot="1" x14ac:dyDescent="0.35">
      <c r="A25" s="27"/>
      <c r="B25" s="28"/>
      <c r="C25" s="29"/>
      <c r="D25" s="30"/>
      <c r="E25" s="30"/>
      <c r="F25" s="30"/>
      <c r="G25" s="30"/>
      <c r="H25" s="30"/>
      <c r="I25" s="30"/>
      <c r="J25" s="30"/>
    </row>
    <row r="26" spans="1:13" ht="24" thickBot="1" x14ac:dyDescent="0.4">
      <c r="A26" s="31" t="s">
        <v>12</v>
      </c>
      <c r="B26" s="28"/>
      <c r="C26" s="29"/>
      <c r="D26" s="30"/>
      <c r="E26" s="30"/>
      <c r="F26" s="30"/>
      <c r="G26" s="30"/>
      <c r="H26" s="30"/>
      <c r="I26" s="30"/>
      <c r="J26" s="30"/>
    </row>
    <row r="27" spans="1:13" ht="15.75" thickBot="1" x14ac:dyDescent="0.3">
      <c r="A27" s="32" t="s">
        <v>13</v>
      </c>
      <c r="B27" s="4" t="s">
        <v>1</v>
      </c>
      <c r="C27" s="33" t="s">
        <v>14</v>
      </c>
      <c r="D27" s="33" t="s">
        <v>3</v>
      </c>
      <c r="E27" s="33" t="s">
        <v>4</v>
      </c>
      <c r="F27" s="4" t="s">
        <v>5</v>
      </c>
      <c r="G27" s="4" t="s">
        <v>6</v>
      </c>
      <c r="H27" s="4" t="s">
        <v>15</v>
      </c>
      <c r="I27" s="4" t="s">
        <v>8</v>
      </c>
      <c r="J27" s="34" t="s">
        <v>9</v>
      </c>
    </row>
    <row r="28" spans="1:13" ht="15.75" thickBot="1" x14ac:dyDescent="0.3">
      <c r="A28" s="6" t="s">
        <v>414</v>
      </c>
      <c r="B28" s="6" t="s">
        <v>415</v>
      </c>
      <c r="C28" s="7">
        <v>46023</v>
      </c>
      <c r="D28" s="35"/>
      <c r="E28" s="36"/>
      <c r="F28" s="35">
        <v>400</v>
      </c>
      <c r="G28" s="35"/>
      <c r="H28" s="37"/>
      <c r="I28" s="37"/>
      <c r="J28" s="38">
        <f>SUM(D28:I28)</f>
        <v>400</v>
      </c>
    </row>
    <row r="29" spans="1:13" ht="15.75" thickBot="1" x14ac:dyDescent="0.3">
      <c r="A29" s="316" t="s">
        <v>417</v>
      </c>
      <c r="B29" s="6" t="s">
        <v>416</v>
      </c>
      <c r="C29" s="7">
        <v>46023</v>
      </c>
      <c r="D29" s="35"/>
      <c r="E29" s="35"/>
      <c r="F29" s="389">
        <v>500</v>
      </c>
      <c r="G29" s="35"/>
      <c r="H29" s="37"/>
      <c r="I29" s="37"/>
      <c r="J29" s="38">
        <f t="shared" ref="J29:J31" si="2">SUM(D29:I29)</f>
        <v>500</v>
      </c>
    </row>
    <row r="30" spans="1:13" ht="15.75" thickBot="1" x14ac:dyDescent="0.3">
      <c r="A30" s="6" t="s">
        <v>419</v>
      </c>
      <c r="B30" s="6" t="s">
        <v>420</v>
      </c>
      <c r="C30" s="7">
        <v>46023</v>
      </c>
      <c r="D30" s="39"/>
      <c r="E30" s="39"/>
      <c r="F30" s="319">
        <v>100</v>
      </c>
      <c r="G30" s="39"/>
      <c r="H30" s="8"/>
      <c r="I30" s="8"/>
      <c r="J30" s="38">
        <f t="shared" si="2"/>
        <v>100</v>
      </c>
    </row>
    <row r="31" spans="1:13" ht="15.75" thickBot="1" x14ac:dyDescent="0.3">
      <c r="A31" s="4"/>
      <c r="B31" s="40"/>
      <c r="C31" s="7"/>
      <c r="D31" s="39"/>
      <c r="E31" s="39"/>
      <c r="F31" s="319"/>
      <c r="G31" s="39"/>
      <c r="H31" s="8"/>
      <c r="I31" s="8"/>
      <c r="J31" s="38">
        <f t="shared" si="2"/>
        <v>0</v>
      </c>
      <c r="L31" s="41" t="s">
        <v>16</v>
      </c>
      <c r="M31" s="42">
        <f>J32+J44</f>
        <v>1467.2</v>
      </c>
    </row>
    <row r="32" spans="1:13" ht="15.75" thickBot="1" x14ac:dyDescent="0.3">
      <c r="A32" s="4" t="s">
        <v>9</v>
      </c>
      <c r="B32" s="43"/>
      <c r="C32" s="44"/>
      <c r="D32" s="45"/>
      <c r="E32" s="45"/>
      <c r="F32" s="45"/>
      <c r="G32" s="45"/>
      <c r="H32" s="45"/>
      <c r="I32" s="45"/>
      <c r="J32" s="12">
        <f>SUM(J28:J31)</f>
        <v>1000</v>
      </c>
    </row>
    <row r="33" spans="1:13" ht="15.75" thickBot="1" x14ac:dyDescent="0.3">
      <c r="A33" s="28"/>
      <c r="B33" s="46"/>
      <c r="C33" s="47"/>
      <c r="D33" s="48"/>
      <c r="E33" s="48"/>
      <c r="F33" s="48"/>
      <c r="G33" s="48"/>
      <c r="H33" s="48"/>
      <c r="I33" s="48"/>
      <c r="J33" s="49"/>
    </row>
    <row r="34" spans="1:13" ht="24" thickBot="1" x14ac:dyDescent="0.4">
      <c r="A34" s="31" t="s">
        <v>12</v>
      </c>
      <c r="B34" s="28"/>
      <c r="C34" s="29"/>
      <c r="D34" s="30"/>
      <c r="E34" s="30"/>
      <c r="F34" s="30"/>
      <c r="G34" s="30"/>
      <c r="H34" s="30"/>
      <c r="I34" s="30"/>
      <c r="J34" s="30"/>
    </row>
    <row r="35" spans="1:13" ht="45.75" thickBot="1" x14ac:dyDescent="0.3">
      <c r="A35" s="50" t="s">
        <v>17</v>
      </c>
      <c r="B35" s="4" t="s">
        <v>18</v>
      </c>
      <c r="C35" s="33" t="s">
        <v>14</v>
      </c>
      <c r="D35" s="33" t="s">
        <v>3</v>
      </c>
      <c r="E35" s="33" t="s">
        <v>4</v>
      </c>
      <c r="F35" s="33" t="s">
        <v>19</v>
      </c>
      <c r="G35" s="33" t="s">
        <v>20</v>
      </c>
      <c r="H35" s="33" t="s">
        <v>15</v>
      </c>
      <c r="I35" s="51" t="s">
        <v>21</v>
      </c>
      <c r="J35" s="34" t="s">
        <v>9</v>
      </c>
    </row>
    <row r="36" spans="1:13" ht="15.75" thickBot="1" x14ac:dyDescent="0.3">
      <c r="A36" s="40" t="s">
        <v>425</v>
      </c>
      <c r="B36" s="21" t="s">
        <v>424</v>
      </c>
      <c r="C36" s="318">
        <v>45992</v>
      </c>
      <c r="D36" s="390">
        <v>109.7</v>
      </c>
      <c r="E36" s="390">
        <v>6</v>
      </c>
      <c r="F36" s="8"/>
      <c r="G36" s="8"/>
      <c r="H36" s="8"/>
      <c r="I36" s="8"/>
      <c r="J36" s="391">
        <f t="shared" ref="J36:J43" si="3">SUM(D36:I36)</f>
        <v>115.7</v>
      </c>
    </row>
    <row r="37" spans="1:13" ht="15.75" thickBot="1" x14ac:dyDescent="0.3">
      <c r="A37" s="591" t="s">
        <v>426</v>
      </c>
      <c r="B37" s="566" t="s">
        <v>427</v>
      </c>
      <c r="C37" s="318">
        <v>45962</v>
      </c>
      <c r="D37" s="389">
        <v>25</v>
      </c>
      <c r="E37" s="389">
        <v>6</v>
      </c>
      <c r="F37" s="389">
        <v>60</v>
      </c>
      <c r="G37" s="389">
        <v>5</v>
      </c>
      <c r="H37" s="37"/>
      <c r="I37" s="37"/>
      <c r="J37" s="391">
        <f t="shared" si="3"/>
        <v>96</v>
      </c>
    </row>
    <row r="38" spans="1:13" ht="15.75" thickBot="1" x14ac:dyDescent="0.3">
      <c r="A38" s="592"/>
      <c r="B38" s="567"/>
      <c r="C38" s="318">
        <v>45992</v>
      </c>
      <c r="D38" s="319">
        <v>25.3</v>
      </c>
      <c r="E38" s="319">
        <v>6</v>
      </c>
      <c r="F38" s="319">
        <v>60</v>
      </c>
      <c r="G38" s="319">
        <v>5</v>
      </c>
      <c r="H38" s="8"/>
      <c r="I38" s="8"/>
      <c r="J38" s="391">
        <f t="shared" si="3"/>
        <v>96.3</v>
      </c>
    </row>
    <row r="39" spans="1:13" ht="15.75" thickBot="1" x14ac:dyDescent="0.3">
      <c r="A39" s="591" t="s">
        <v>428</v>
      </c>
      <c r="B39" s="566" t="s">
        <v>429</v>
      </c>
      <c r="C39" s="318">
        <v>45962</v>
      </c>
      <c r="D39" s="319">
        <v>38.6</v>
      </c>
      <c r="E39" s="319">
        <v>6</v>
      </c>
      <c r="F39" s="319"/>
      <c r="G39" s="319"/>
      <c r="H39" s="8"/>
      <c r="I39" s="8"/>
      <c r="J39" s="391">
        <f t="shared" si="3"/>
        <v>44.6</v>
      </c>
    </row>
    <row r="40" spans="1:13" ht="15.75" thickBot="1" x14ac:dyDescent="0.3">
      <c r="A40" s="593"/>
      <c r="B40" s="597"/>
      <c r="C40" s="318">
        <v>45992</v>
      </c>
      <c r="D40" s="319">
        <v>33.6</v>
      </c>
      <c r="E40" s="319">
        <v>6</v>
      </c>
      <c r="F40" s="319"/>
      <c r="G40" s="319"/>
      <c r="H40" s="8"/>
      <c r="I40" s="8"/>
      <c r="J40" s="391">
        <f t="shared" si="3"/>
        <v>39.6</v>
      </c>
    </row>
    <row r="41" spans="1:13" ht="15.75" thickBot="1" x14ac:dyDescent="0.3">
      <c r="A41" s="592"/>
      <c r="B41" s="567"/>
      <c r="C41" s="318">
        <v>46023</v>
      </c>
      <c r="D41" s="319"/>
      <c r="E41" s="319"/>
      <c r="F41" s="319">
        <v>60</v>
      </c>
      <c r="G41" s="319">
        <v>5</v>
      </c>
      <c r="H41" s="8"/>
      <c r="I41" s="8">
        <v>10</v>
      </c>
      <c r="J41" s="391">
        <f t="shared" si="3"/>
        <v>75</v>
      </c>
    </row>
    <row r="42" spans="1:13" ht="15.75" thickBot="1" x14ac:dyDescent="0.3">
      <c r="A42" s="378"/>
      <c r="B42" s="377"/>
      <c r="C42" s="318"/>
      <c r="D42" s="319"/>
      <c r="E42" s="319"/>
      <c r="F42" s="319"/>
      <c r="G42" s="319"/>
      <c r="H42" s="8"/>
      <c r="I42" s="8"/>
      <c r="J42" s="391">
        <f t="shared" si="3"/>
        <v>0</v>
      </c>
    </row>
    <row r="43" spans="1:13" ht="15.75" thickBot="1" x14ac:dyDescent="0.3">
      <c r="A43" s="4"/>
      <c r="B43" s="40"/>
      <c r="C43" s="7"/>
      <c r="D43" s="39"/>
      <c r="E43" s="39"/>
      <c r="F43" s="39"/>
      <c r="G43" s="39"/>
      <c r="H43" s="8"/>
      <c r="I43" s="8"/>
      <c r="J43" s="391">
        <f t="shared" si="3"/>
        <v>0</v>
      </c>
      <c r="L43" s="53"/>
      <c r="M43" s="54"/>
    </row>
    <row r="44" spans="1:13" ht="15.75" thickBot="1" x14ac:dyDescent="0.3">
      <c r="A44" s="4" t="s">
        <v>9</v>
      </c>
      <c r="B44" s="43"/>
      <c r="C44" s="44"/>
      <c r="D44" s="45"/>
      <c r="E44" s="45"/>
      <c r="F44" s="45"/>
      <c r="G44" s="45"/>
      <c r="H44" s="45"/>
      <c r="I44" s="45"/>
      <c r="J44" s="12">
        <f>SUM(J36:J43)</f>
        <v>467.20000000000005</v>
      </c>
    </row>
    <row r="45" spans="1:13" x14ac:dyDescent="0.25">
      <c r="A45" s="28"/>
      <c r="B45" s="46"/>
      <c r="C45" s="47"/>
      <c r="D45" s="48"/>
      <c r="E45" s="48"/>
      <c r="F45" s="48"/>
      <c r="G45" s="48"/>
      <c r="H45" s="48"/>
      <c r="I45" s="48"/>
      <c r="J45" s="49"/>
    </row>
    <row r="46" spans="1:13" x14ac:dyDescent="0.25">
      <c r="A46" s="28"/>
      <c r="B46" s="46"/>
      <c r="C46" s="47"/>
      <c r="D46" s="48"/>
      <c r="E46" s="48"/>
      <c r="F46" s="48"/>
      <c r="G46" s="48"/>
      <c r="H46" s="48"/>
      <c r="I46" s="48"/>
      <c r="J46" s="49"/>
    </row>
    <row r="47" spans="1:13" ht="15.75" thickBot="1" x14ac:dyDescent="0.3">
      <c r="A47" s="2"/>
      <c r="B47" s="2"/>
      <c r="C47" s="2"/>
      <c r="J47" s="3"/>
    </row>
    <row r="48" spans="1:13" ht="45.75" thickBot="1" x14ac:dyDescent="0.3">
      <c r="A48" s="33" t="s">
        <v>22</v>
      </c>
      <c r="B48" s="4" t="s">
        <v>18</v>
      </c>
      <c r="C48" s="33" t="s">
        <v>14</v>
      </c>
      <c r="D48" s="33" t="s">
        <v>3</v>
      </c>
      <c r="E48" s="33" t="s">
        <v>4</v>
      </c>
      <c r="F48" s="33" t="s">
        <v>19</v>
      </c>
      <c r="G48" s="33" t="s">
        <v>20</v>
      </c>
      <c r="H48" s="4" t="s">
        <v>21</v>
      </c>
      <c r="I48" s="51" t="s">
        <v>15</v>
      </c>
      <c r="J48" s="34" t="s">
        <v>9</v>
      </c>
    </row>
    <row r="49" spans="1:10" ht="15.75" thickBot="1" x14ac:dyDescent="0.3">
      <c r="A49" s="564" t="s">
        <v>405</v>
      </c>
      <c r="B49" s="566" t="s">
        <v>406</v>
      </c>
      <c r="C49" s="21">
        <v>45962</v>
      </c>
      <c r="D49" s="37">
        <v>44.8</v>
      </c>
      <c r="E49" s="55">
        <v>6</v>
      </c>
      <c r="F49" s="37"/>
      <c r="G49" s="37"/>
      <c r="H49" s="37"/>
      <c r="I49" s="37"/>
      <c r="J49" s="38">
        <f>SUM(D49:I49)</f>
        <v>50.8</v>
      </c>
    </row>
    <row r="50" spans="1:10" ht="15.75" thickBot="1" x14ac:dyDescent="0.3">
      <c r="A50" s="565"/>
      <c r="B50" s="567"/>
      <c r="C50" s="21">
        <v>45992</v>
      </c>
      <c r="D50" s="37">
        <v>27.6</v>
      </c>
      <c r="E50" s="37">
        <v>6</v>
      </c>
      <c r="F50" s="37"/>
      <c r="G50" s="37"/>
      <c r="H50" s="37"/>
      <c r="I50" s="37"/>
      <c r="J50" s="38">
        <f t="shared" ref="J50:J62" si="4">SUM(D50:I50)</f>
        <v>33.6</v>
      </c>
    </row>
    <row r="51" spans="1:10" ht="15.75" thickBot="1" x14ac:dyDescent="0.3">
      <c r="A51" s="373" t="s">
        <v>215</v>
      </c>
      <c r="B51" s="21" t="s">
        <v>423</v>
      </c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40" t="s">
        <v>430</v>
      </c>
      <c r="B52" s="21" t="s">
        <v>431</v>
      </c>
      <c r="C52" s="21">
        <v>45992</v>
      </c>
      <c r="D52" s="37">
        <v>314.8</v>
      </c>
      <c r="E52" s="37">
        <v>28.6</v>
      </c>
      <c r="F52" s="37"/>
      <c r="G52" s="37"/>
      <c r="H52" s="37"/>
      <c r="I52" s="37"/>
      <c r="J52" s="38">
        <f t="shared" si="4"/>
        <v>343.40000000000003</v>
      </c>
    </row>
    <row r="53" spans="1:10" ht="15.75" thickBot="1" x14ac:dyDescent="0.3">
      <c r="A53" s="40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373"/>
      <c r="B54" s="21"/>
      <c r="C54" s="21"/>
      <c r="D54" s="37"/>
      <c r="E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373"/>
      <c r="B55" s="21"/>
      <c r="C55" s="21"/>
      <c r="D55" s="37"/>
      <c r="E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373"/>
      <c r="B56" s="21"/>
      <c r="C56" s="21"/>
      <c r="D56" s="37"/>
      <c r="E56" s="37"/>
      <c r="F56" s="37"/>
      <c r="G56" s="37"/>
      <c r="H56" s="37"/>
      <c r="I56" s="37"/>
      <c r="J56" s="38">
        <f t="shared" si="4"/>
        <v>0</v>
      </c>
    </row>
    <row r="57" spans="1:10" ht="15.75" thickBot="1" x14ac:dyDescent="0.3">
      <c r="A57" s="373"/>
      <c r="B57" s="21"/>
      <c r="C57" s="21"/>
      <c r="D57" s="37"/>
      <c r="E57" s="37"/>
      <c r="F57" s="37"/>
      <c r="G57" s="37"/>
      <c r="H57" s="37"/>
      <c r="I57" s="37"/>
      <c r="J57" s="38">
        <f t="shared" si="4"/>
        <v>0</v>
      </c>
    </row>
    <row r="58" spans="1:10" ht="15.75" thickBot="1" x14ac:dyDescent="0.3">
      <c r="A58" s="373"/>
      <c r="B58" s="21"/>
      <c r="C58" s="21"/>
      <c r="D58" s="37"/>
      <c r="E58" s="37"/>
      <c r="F58" s="37"/>
      <c r="G58" s="37"/>
      <c r="H58" s="37"/>
      <c r="I58" s="37"/>
      <c r="J58" s="38">
        <f t="shared" si="4"/>
        <v>0</v>
      </c>
    </row>
    <row r="59" spans="1:10" ht="15.75" thickBot="1" x14ac:dyDescent="0.3">
      <c r="A59" s="56"/>
      <c r="B59" s="21"/>
      <c r="C59" s="21"/>
      <c r="D59" s="37"/>
      <c r="E59" s="37"/>
      <c r="F59" s="37"/>
      <c r="G59" s="37"/>
      <c r="H59" s="37"/>
      <c r="I59" s="37"/>
      <c r="J59" s="38">
        <f t="shared" si="4"/>
        <v>0</v>
      </c>
    </row>
    <row r="60" spans="1:10" ht="15.75" thickBot="1" x14ac:dyDescent="0.3">
      <c r="A60" s="40"/>
      <c r="B60" s="21"/>
      <c r="C60" s="21"/>
      <c r="D60" s="37"/>
      <c r="F60" s="37"/>
      <c r="G60" s="37"/>
      <c r="H60" s="37"/>
      <c r="I60" s="37"/>
      <c r="J60" s="38">
        <f t="shared" si="4"/>
        <v>0</v>
      </c>
    </row>
    <row r="61" spans="1:10" ht="15.75" thickBot="1" x14ac:dyDescent="0.3">
      <c r="A61" s="40"/>
      <c r="B61" s="21"/>
      <c r="C61" s="21"/>
      <c r="D61" s="37"/>
      <c r="E61" s="37"/>
      <c r="F61" s="37"/>
      <c r="G61" s="37"/>
      <c r="H61" s="37"/>
      <c r="I61" s="37"/>
      <c r="J61" s="38">
        <f t="shared" si="4"/>
        <v>0</v>
      </c>
    </row>
    <row r="62" spans="1:10" ht="15.75" thickBot="1" x14ac:dyDescent="0.3">
      <c r="A62" s="40"/>
      <c r="B62" s="21"/>
      <c r="C62" s="21"/>
      <c r="D62" s="57"/>
      <c r="E62" s="57"/>
      <c r="F62" s="57"/>
      <c r="G62" s="57"/>
      <c r="H62" s="57"/>
      <c r="I62" s="57"/>
      <c r="J62" s="38">
        <f t="shared" si="4"/>
        <v>0</v>
      </c>
    </row>
    <row r="63" spans="1:10" ht="19.5" thickBot="1" x14ac:dyDescent="0.35">
      <c r="A63" s="23" t="s">
        <v>9</v>
      </c>
      <c r="B63" s="4"/>
      <c r="C63" s="24"/>
      <c r="D63" s="25">
        <f t="shared" ref="D63:J63" si="5">SUM(D49:D62)</f>
        <v>387.20000000000005</v>
      </c>
      <c r="E63" s="25">
        <f t="shared" si="5"/>
        <v>40.6</v>
      </c>
      <c r="F63" s="25">
        <f t="shared" si="5"/>
        <v>0</v>
      </c>
      <c r="G63" s="25">
        <f t="shared" si="5"/>
        <v>0</v>
      </c>
      <c r="H63" s="25">
        <f t="shared" si="5"/>
        <v>0</v>
      </c>
      <c r="I63" s="25">
        <f t="shared" si="5"/>
        <v>0</v>
      </c>
      <c r="J63" s="25">
        <f t="shared" si="5"/>
        <v>427.80000000000007</v>
      </c>
    </row>
    <row r="64" spans="1:10" ht="15.75" x14ac:dyDescent="0.25">
      <c r="A64" s="58"/>
      <c r="B64" s="58"/>
      <c r="C64" s="59"/>
      <c r="D64" s="60"/>
      <c r="E64" s="60"/>
      <c r="F64" s="60"/>
      <c r="G64" s="60"/>
      <c r="H64" s="60"/>
      <c r="I64" s="60"/>
      <c r="J64" s="60"/>
    </row>
    <row r="65" spans="1:10" ht="16.5" thickBot="1" x14ac:dyDescent="0.3">
      <c r="A65" s="58"/>
      <c r="B65" s="58"/>
      <c r="C65" s="59"/>
      <c r="D65" s="60"/>
      <c r="E65" s="60"/>
      <c r="F65" s="60"/>
      <c r="G65" s="60"/>
      <c r="H65" s="60"/>
      <c r="I65" s="60"/>
      <c r="J65" s="60"/>
    </row>
    <row r="66" spans="1:10" ht="19.5" thickBot="1" x14ac:dyDescent="0.35">
      <c r="A66" s="554" t="s">
        <v>23</v>
      </c>
      <c r="B66" s="555"/>
      <c r="C66" s="61"/>
      <c r="D66" s="62"/>
      <c r="E66" s="62"/>
      <c r="F66" s="62"/>
      <c r="G66" s="62"/>
      <c r="H66" s="62"/>
      <c r="I66" s="62"/>
      <c r="J66" s="26">
        <f>+J24+J63</f>
        <v>2697.3</v>
      </c>
    </row>
    <row r="67" spans="1:10" x14ac:dyDescent="0.25">
      <c r="A67" s="2"/>
      <c r="B67" s="2"/>
      <c r="C67" s="63"/>
      <c r="D67" s="3"/>
      <c r="E67" s="3"/>
      <c r="F67" s="3"/>
      <c r="G67" s="3"/>
      <c r="H67" s="3"/>
      <c r="I67" s="3"/>
      <c r="J67" s="3"/>
    </row>
    <row r="68" spans="1:10" x14ac:dyDescent="0.25">
      <c r="A68" s="2"/>
      <c r="B68" s="2"/>
      <c r="C68" s="63"/>
      <c r="D68" s="3"/>
      <c r="E68" s="3"/>
      <c r="F68" s="3"/>
      <c r="G68" s="3"/>
      <c r="H68" s="3"/>
      <c r="I68" s="3"/>
      <c r="J68" s="3"/>
    </row>
    <row r="69" spans="1:10" ht="16.5" thickBot="1" x14ac:dyDescent="0.3">
      <c r="A69" s="64" t="s">
        <v>24</v>
      </c>
      <c r="B69" s="2"/>
      <c r="C69" s="63"/>
      <c r="D69" s="3"/>
      <c r="E69" s="3"/>
      <c r="F69" s="3"/>
      <c r="G69" s="3"/>
      <c r="H69" s="3"/>
      <c r="I69" s="3"/>
      <c r="J69" s="3"/>
    </row>
    <row r="70" spans="1:10" ht="19.5" thickBot="1" x14ac:dyDescent="0.35">
      <c r="A70" s="65" t="s">
        <v>25</v>
      </c>
      <c r="B70" s="66"/>
      <c r="C70" s="67"/>
      <c r="D70" s="68"/>
      <c r="E70" s="68"/>
      <c r="F70" s="68"/>
      <c r="G70" s="68"/>
      <c r="H70" s="68"/>
      <c r="I70" s="68"/>
      <c r="J70" s="26"/>
    </row>
    <row r="71" spans="1:10" ht="19.5" thickBot="1" x14ac:dyDescent="0.35">
      <c r="A71" s="65" t="s">
        <v>26</v>
      </c>
      <c r="B71" s="66"/>
      <c r="C71" s="69"/>
      <c r="D71" s="68"/>
      <c r="E71" s="68"/>
      <c r="F71" s="68"/>
      <c r="G71" s="68"/>
      <c r="H71" s="68"/>
      <c r="I71" s="68"/>
      <c r="J71" s="26"/>
    </row>
    <row r="72" spans="1:10" ht="18.75" x14ac:dyDescent="0.3">
      <c r="A72" s="70"/>
      <c r="B72" s="70"/>
      <c r="C72" s="71"/>
      <c r="D72" s="72"/>
      <c r="E72" s="72"/>
      <c r="F72" s="72"/>
      <c r="G72" s="72"/>
      <c r="H72" s="72"/>
      <c r="I72" s="72"/>
      <c r="J72" s="30"/>
    </row>
    <row r="73" spans="1:10" ht="18.75" x14ac:dyDescent="0.3">
      <c r="A73" s="70"/>
      <c r="B73" s="70"/>
      <c r="C73" s="71"/>
      <c r="D73" s="72"/>
      <c r="E73" s="72"/>
      <c r="F73" s="72"/>
      <c r="G73" s="72"/>
      <c r="H73" s="72"/>
      <c r="I73" s="72"/>
      <c r="J73" s="30"/>
    </row>
    <row r="74" spans="1:10" ht="16.5" thickBot="1" x14ac:dyDescent="0.3">
      <c r="A74" s="73" t="s">
        <v>27</v>
      </c>
      <c r="B74" s="74"/>
      <c r="C74" s="63"/>
      <c r="D74" s="3"/>
      <c r="E74" s="3"/>
      <c r="F74" s="3"/>
      <c r="G74" s="3"/>
      <c r="H74" s="3"/>
      <c r="I74" s="3"/>
      <c r="J74" s="3"/>
    </row>
    <row r="75" spans="1:10" ht="19.5" thickBot="1" x14ac:dyDescent="0.35">
      <c r="A75" s="75" t="s">
        <v>28</v>
      </c>
      <c r="B75" s="76"/>
      <c r="C75" s="77"/>
      <c r="D75" s="78"/>
      <c r="E75" s="78"/>
      <c r="F75" s="78"/>
      <c r="G75" s="78"/>
      <c r="H75" s="78"/>
      <c r="I75" s="78"/>
      <c r="J75" s="79">
        <v>531.5</v>
      </c>
    </row>
    <row r="76" spans="1:10" x14ac:dyDescent="0.25">
      <c r="A76" s="80"/>
      <c r="B76" s="2"/>
      <c r="C76" s="63"/>
      <c r="D76" s="3"/>
      <c r="E76" s="3"/>
      <c r="F76" s="3"/>
      <c r="G76" s="3"/>
      <c r="H76" s="3"/>
      <c r="I76" s="3"/>
      <c r="J76" s="3"/>
    </row>
    <row r="77" spans="1:10" ht="16.5" thickBot="1" x14ac:dyDescent="0.3">
      <c r="A77" s="73"/>
      <c r="B77" s="74"/>
      <c r="C77" s="63"/>
      <c r="D77" s="3"/>
      <c r="E77" s="3"/>
      <c r="F77" s="3"/>
      <c r="G77" s="3"/>
      <c r="H77" s="3"/>
      <c r="I77" s="3"/>
      <c r="J77" s="3"/>
    </row>
    <row r="78" spans="1:10" ht="19.5" thickBot="1" x14ac:dyDescent="0.35">
      <c r="A78" s="75" t="s">
        <v>29</v>
      </c>
      <c r="B78" s="76"/>
      <c r="C78" s="81"/>
      <c r="D78" s="78"/>
      <c r="E78" s="78"/>
      <c r="F78" s="78"/>
      <c r="G78" s="78"/>
      <c r="H78" s="78"/>
      <c r="I78" s="78"/>
      <c r="J78" s="82"/>
    </row>
    <row r="79" spans="1:10" ht="15.75" thickBot="1" x14ac:dyDescent="0.3">
      <c r="A79" s="80"/>
      <c r="B79" s="2"/>
      <c r="C79" s="63"/>
      <c r="D79" s="3"/>
      <c r="E79" s="3"/>
      <c r="F79" s="3"/>
      <c r="G79" s="3"/>
      <c r="H79" s="3"/>
      <c r="I79" s="3"/>
      <c r="J79" s="3"/>
    </row>
    <row r="80" spans="1:10" ht="21.75" thickBot="1" x14ac:dyDescent="0.4">
      <c r="A80" s="556" t="s">
        <v>30</v>
      </c>
      <c r="B80" s="557"/>
      <c r="C80" s="83"/>
      <c r="D80" s="84"/>
      <c r="E80" s="84"/>
      <c r="F80" s="84"/>
      <c r="G80" s="84"/>
      <c r="H80" s="84"/>
      <c r="I80" s="84"/>
      <c r="J80" s="85">
        <f>SUM(J66:J79)</f>
        <v>3228.8</v>
      </c>
    </row>
    <row r="81" spans="1:10" x14ac:dyDescent="0.25">
      <c r="A81" s="2"/>
      <c r="B81" s="2"/>
      <c r="C81" s="63"/>
      <c r="D81" s="3"/>
      <c r="E81" s="3"/>
      <c r="F81" s="3"/>
      <c r="G81" s="3"/>
      <c r="H81" s="3"/>
      <c r="I81" s="3"/>
      <c r="J81" s="3"/>
    </row>
    <row r="82" spans="1:10" ht="21" x14ac:dyDescent="0.35">
      <c r="A82" s="553" t="s">
        <v>393</v>
      </c>
      <c r="B82" s="553"/>
      <c r="C82" s="553"/>
      <c r="D82" s="553"/>
      <c r="E82" s="553"/>
      <c r="F82" s="553"/>
      <c r="G82" s="553"/>
      <c r="H82" s="553"/>
      <c r="I82" s="553"/>
      <c r="J82" s="553"/>
    </row>
    <row r="83" spans="1:10" ht="21.75" thickBot="1" x14ac:dyDescent="0.4">
      <c r="A83" s="372" t="s">
        <v>31</v>
      </c>
      <c r="B83" s="372"/>
      <c r="C83" s="372"/>
      <c r="D83" s="372"/>
      <c r="E83" s="372"/>
      <c r="F83" s="372"/>
      <c r="G83" s="372"/>
      <c r="H83" s="372"/>
      <c r="I83" s="372"/>
      <c r="J83" s="87"/>
    </row>
    <row r="84" spans="1:10" ht="15.75" thickBot="1" x14ac:dyDescent="0.3">
      <c r="A84" s="88" t="s">
        <v>32</v>
      </c>
      <c r="B84" s="89" t="s">
        <v>33</v>
      </c>
      <c r="C84" s="558" t="s">
        <v>2</v>
      </c>
      <c r="D84" s="559"/>
      <c r="E84" s="559"/>
      <c r="F84" s="559"/>
      <c r="G84" s="559"/>
      <c r="H84" s="559"/>
      <c r="I84" s="560"/>
      <c r="J84" s="90" t="s">
        <v>9</v>
      </c>
    </row>
    <row r="85" spans="1:10" ht="15.75" thickBot="1" x14ac:dyDescent="0.3">
      <c r="A85" s="40" t="s">
        <v>399</v>
      </c>
      <c r="B85" s="92">
        <v>5517961663</v>
      </c>
      <c r="C85" s="550" t="s">
        <v>402</v>
      </c>
      <c r="D85" s="551"/>
      <c r="E85" s="551"/>
      <c r="F85" s="551"/>
      <c r="G85" s="551"/>
      <c r="H85" s="552"/>
      <c r="I85" s="552"/>
      <c r="J85" s="22">
        <v>209.4</v>
      </c>
    </row>
    <row r="86" spans="1:10" ht="15.75" thickBot="1" x14ac:dyDescent="0.3">
      <c r="A86" s="40" t="s">
        <v>400</v>
      </c>
      <c r="B86" s="92">
        <v>2517960845</v>
      </c>
      <c r="C86" s="550" t="s">
        <v>403</v>
      </c>
      <c r="D86" s="551"/>
      <c r="E86" s="551"/>
      <c r="F86" s="551"/>
      <c r="G86" s="551"/>
      <c r="H86" s="552"/>
      <c r="I86" s="552"/>
      <c r="J86" s="22">
        <v>468.6</v>
      </c>
    </row>
    <row r="87" spans="1:10" ht="15.75" thickBot="1" x14ac:dyDescent="0.3">
      <c r="A87" s="40" t="s">
        <v>401</v>
      </c>
      <c r="B87" s="92">
        <v>3517962031</v>
      </c>
      <c r="C87" s="550" t="s">
        <v>404</v>
      </c>
      <c r="D87" s="551"/>
      <c r="E87" s="551"/>
      <c r="F87" s="551"/>
      <c r="G87" s="551"/>
      <c r="H87" s="552"/>
      <c r="I87" s="552"/>
      <c r="J87" s="93">
        <v>444.6</v>
      </c>
    </row>
    <row r="88" spans="1:10" ht="15.75" thickBot="1" x14ac:dyDescent="0.3">
      <c r="A88" s="40" t="s">
        <v>410</v>
      </c>
      <c r="B88" s="92" t="s">
        <v>411</v>
      </c>
      <c r="C88" s="550" t="s">
        <v>412</v>
      </c>
      <c r="D88" s="551"/>
      <c r="E88" s="551"/>
      <c r="F88" s="551"/>
      <c r="G88" s="551"/>
      <c r="H88" s="552"/>
      <c r="I88" s="552"/>
      <c r="J88" s="22">
        <v>60</v>
      </c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22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22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22"/>
    </row>
    <row r="92" spans="1:10" ht="15.75" thickBot="1" x14ac:dyDescent="0.3">
      <c r="A92" s="40"/>
      <c r="B92" s="92"/>
      <c r="C92" s="550"/>
      <c r="D92" s="551"/>
      <c r="E92" s="551"/>
      <c r="F92" s="551"/>
      <c r="G92" s="551"/>
      <c r="H92" s="552"/>
      <c r="I92" s="552"/>
      <c r="J92" s="22"/>
    </row>
    <row r="93" spans="1:10" ht="15.75" thickBot="1" x14ac:dyDescent="0.3">
      <c r="A93" s="40"/>
      <c r="B93" s="92"/>
      <c r="C93" s="550"/>
      <c r="D93" s="551"/>
      <c r="E93" s="551"/>
      <c r="F93" s="551"/>
      <c r="G93" s="551"/>
      <c r="H93" s="552"/>
      <c r="I93" s="552"/>
      <c r="J93" s="37"/>
    </row>
    <row r="94" spans="1:10" ht="15.75" thickBot="1" x14ac:dyDescent="0.3">
      <c r="A94" s="40"/>
      <c r="B94" s="92"/>
      <c r="C94" s="550"/>
      <c r="D94" s="551"/>
      <c r="E94" s="551"/>
      <c r="F94" s="551"/>
      <c r="G94" s="551"/>
      <c r="H94" s="552"/>
      <c r="I94" s="552"/>
      <c r="J94" s="37"/>
    </row>
    <row r="95" spans="1:10" ht="15.75" thickBot="1" x14ac:dyDescent="0.3">
      <c r="A95" s="40"/>
      <c r="B95" s="92"/>
      <c r="C95" s="550"/>
      <c r="D95" s="551"/>
      <c r="E95" s="551"/>
      <c r="F95" s="551"/>
      <c r="G95" s="551"/>
      <c r="H95" s="552"/>
      <c r="I95" s="552"/>
      <c r="J95" s="37"/>
    </row>
    <row r="96" spans="1:10" ht="15.75" thickBot="1" x14ac:dyDescent="0.3">
      <c r="A96" s="40"/>
      <c r="B96" s="92"/>
      <c r="C96" s="550"/>
      <c r="D96" s="551"/>
      <c r="E96" s="551"/>
      <c r="F96" s="551"/>
      <c r="G96" s="551"/>
      <c r="H96" s="552"/>
      <c r="I96" s="552"/>
      <c r="J96" s="37"/>
    </row>
    <row r="97" spans="1:10" ht="15.75" thickBot="1" x14ac:dyDescent="0.3">
      <c r="A97" s="40"/>
      <c r="B97" s="92"/>
      <c r="C97" s="550"/>
      <c r="D97" s="551"/>
      <c r="E97" s="551"/>
      <c r="F97" s="551"/>
      <c r="G97" s="551"/>
      <c r="H97" s="552"/>
      <c r="I97" s="552"/>
      <c r="J97" s="37"/>
    </row>
    <row r="98" spans="1:10" ht="19.5" thickBot="1" x14ac:dyDescent="0.35">
      <c r="A98" s="94" t="s">
        <v>34</v>
      </c>
      <c r="B98" s="554"/>
      <c r="C98" s="563"/>
      <c r="D98" s="563"/>
      <c r="E98" s="563"/>
      <c r="F98" s="563"/>
      <c r="G98" s="563"/>
      <c r="H98" s="563"/>
      <c r="I98" s="563"/>
      <c r="J98" s="95">
        <f>SUM(J85:J97)</f>
        <v>1182.5999999999999</v>
      </c>
    </row>
    <row r="99" spans="1:10" ht="18.75" x14ac:dyDescent="0.3">
      <c r="A99" s="27"/>
      <c r="B99" s="27"/>
      <c r="C99" s="96"/>
      <c r="D99" s="96"/>
      <c r="E99" s="96"/>
      <c r="F99" s="97"/>
      <c r="G99" s="96"/>
      <c r="H99" s="96"/>
      <c r="I99" s="96"/>
      <c r="J99" s="30"/>
    </row>
    <row r="100" spans="1:10" ht="18.75" x14ac:dyDescent="0.3">
      <c r="A100" s="27"/>
      <c r="B100" s="27"/>
      <c r="C100" s="96"/>
      <c r="D100" s="96"/>
      <c r="E100" s="96"/>
      <c r="F100" s="97"/>
      <c r="G100" s="96"/>
      <c r="H100" s="96"/>
      <c r="I100" s="96"/>
      <c r="J100" s="30"/>
    </row>
    <row r="101" spans="1:10" ht="18.75" x14ac:dyDescent="0.3">
      <c r="A101" s="58" t="s">
        <v>35</v>
      </c>
      <c r="B101" s="27"/>
      <c r="C101" s="2"/>
      <c r="D101" s="3"/>
      <c r="F101" s="3"/>
      <c r="J101" s="3"/>
    </row>
    <row r="102" spans="1:10" x14ac:dyDescent="0.25">
      <c r="A102" s="2" t="s">
        <v>36</v>
      </c>
      <c r="B102" s="63">
        <f>+J80</f>
        <v>3228.8</v>
      </c>
      <c r="C102" s="98"/>
      <c r="D102" s="3"/>
      <c r="F102" s="3"/>
      <c r="J102" s="3"/>
    </row>
    <row r="103" spans="1:10" ht="15.75" thickBot="1" x14ac:dyDescent="0.3">
      <c r="A103" s="2" t="s">
        <v>34</v>
      </c>
      <c r="B103" s="99">
        <f>+J98</f>
        <v>1182.5999999999999</v>
      </c>
      <c r="C103" s="100"/>
      <c r="D103" s="3"/>
      <c r="F103" s="3"/>
      <c r="G103" s="101"/>
      <c r="H103" s="101"/>
      <c r="I103" s="102"/>
      <c r="J103" s="102"/>
    </row>
    <row r="104" spans="1:10" ht="17.25" thickTop="1" thickBot="1" x14ac:dyDescent="0.3">
      <c r="A104" s="58" t="s">
        <v>37</v>
      </c>
      <c r="B104" s="103">
        <f>++B102-B103</f>
        <v>2046.2000000000003</v>
      </c>
      <c r="C104" s="104"/>
      <c r="D104" s="105"/>
      <c r="E104" s="106"/>
      <c r="F104" s="105"/>
      <c r="G104" s="107"/>
      <c r="H104" s="107"/>
      <c r="I104" s="3"/>
    </row>
    <row r="105" spans="1:10" ht="15.75" thickTop="1" x14ac:dyDescent="0.25"/>
  </sheetData>
  <mergeCells count="25">
    <mergeCell ref="C89:I89"/>
    <mergeCell ref="A82:J82"/>
    <mergeCell ref="C84:I84"/>
    <mergeCell ref="B37:B38"/>
    <mergeCell ref="A37:A38"/>
    <mergeCell ref="B39:B41"/>
    <mergeCell ref="A39:A41"/>
    <mergeCell ref="B49:B50"/>
    <mergeCell ref="A49:A50"/>
    <mergeCell ref="C90:I90"/>
    <mergeCell ref="A1:J1"/>
    <mergeCell ref="A66:B66"/>
    <mergeCell ref="A80:B80"/>
    <mergeCell ref="B98:I98"/>
    <mergeCell ref="C92:I92"/>
    <mergeCell ref="C93:I93"/>
    <mergeCell ref="C94:I94"/>
    <mergeCell ref="C95:I95"/>
    <mergeCell ref="C96:I96"/>
    <mergeCell ref="C97:I97"/>
    <mergeCell ref="C91:I91"/>
    <mergeCell ref="C85:I85"/>
    <mergeCell ref="C86:I86"/>
    <mergeCell ref="C87:I87"/>
    <mergeCell ref="C88:I88"/>
  </mergeCells>
  <phoneticPr fontId="13" type="noConversion"/>
  <pageMargins left="0.15748031496062992" right="0.15748031496062992" top="0.15748031496062992" bottom="0.15748031496062992" header="0.15748031496062992" footer="0.15748031496062992"/>
  <pageSetup paperSize="9" scale="47" fitToWidth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352E-F9A5-4767-AE45-4EE9B8DDB21F}">
  <sheetPr>
    <pageSetUpPr fitToPage="1"/>
  </sheetPr>
  <dimension ref="A1:M126"/>
  <sheetViews>
    <sheetView topLeftCell="A22" workbookViewId="0">
      <selection activeCell="J29" sqref="A29:J32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7" max="7" width="12.85546875" customWidth="1"/>
    <col min="10" max="10" width="14" bestFit="1" customWidth="1"/>
    <col min="11" max="11" width="17.140625" bestFit="1" customWidth="1"/>
  </cols>
  <sheetData>
    <row r="1" spans="1:10" ht="21" x14ac:dyDescent="0.35">
      <c r="A1" s="553" t="s">
        <v>436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30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453</v>
      </c>
      <c r="H3" s="4" t="s">
        <v>7</v>
      </c>
      <c r="I3" s="4" t="s">
        <v>15</v>
      </c>
      <c r="J3" s="5" t="s">
        <v>9</v>
      </c>
    </row>
    <row r="4" spans="1:10" ht="15.75" thickBot="1" x14ac:dyDescent="0.3">
      <c r="A4" s="6" t="s">
        <v>447</v>
      </c>
      <c r="B4" s="6" t="s">
        <v>448</v>
      </c>
      <c r="C4" s="7">
        <v>46023</v>
      </c>
      <c r="D4" s="8"/>
      <c r="E4" s="8"/>
      <c r="F4" s="8">
        <v>100</v>
      </c>
      <c r="G4" s="8"/>
      <c r="H4" s="8"/>
      <c r="I4" s="8"/>
      <c r="J4" s="5">
        <f t="shared" ref="J4:J24" si="0">SUM(D4:I4)</f>
        <v>100</v>
      </c>
    </row>
    <row r="5" spans="1:10" ht="15.75" thickBot="1" x14ac:dyDescent="0.3">
      <c r="A5" s="591" t="s">
        <v>134</v>
      </c>
      <c r="B5" s="591" t="s">
        <v>449</v>
      </c>
      <c r="C5" s="7">
        <v>45962</v>
      </c>
      <c r="D5" s="8"/>
      <c r="E5" s="8"/>
      <c r="F5" s="8">
        <v>50</v>
      </c>
      <c r="G5" s="8"/>
      <c r="H5" s="8"/>
      <c r="I5" s="8"/>
      <c r="J5" s="5">
        <f t="shared" si="0"/>
        <v>50</v>
      </c>
    </row>
    <row r="6" spans="1:10" ht="15.75" thickBot="1" x14ac:dyDescent="0.3">
      <c r="A6" s="592"/>
      <c r="B6" s="592"/>
      <c r="C6" s="7">
        <v>45992</v>
      </c>
      <c r="D6" s="8"/>
      <c r="E6" s="8"/>
      <c r="F6" s="8">
        <v>50</v>
      </c>
      <c r="G6" s="8"/>
      <c r="H6" s="8"/>
      <c r="I6" s="8"/>
      <c r="J6" s="5">
        <f t="shared" si="0"/>
        <v>50</v>
      </c>
    </row>
    <row r="7" spans="1:10" ht="15.75" thickBot="1" x14ac:dyDescent="0.3">
      <c r="A7" s="6" t="s">
        <v>469</v>
      </c>
      <c r="B7" s="6" t="s">
        <v>470</v>
      </c>
      <c r="C7" s="7">
        <v>45962</v>
      </c>
      <c r="D7" s="8"/>
      <c r="E7" s="8"/>
      <c r="F7" s="8">
        <v>100</v>
      </c>
      <c r="G7" s="8"/>
      <c r="H7" s="8"/>
      <c r="I7" s="8"/>
      <c r="J7" s="5">
        <f t="shared" si="0"/>
        <v>100</v>
      </c>
    </row>
    <row r="8" spans="1:10" ht="15.75" thickBot="1" x14ac:dyDescent="0.3">
      <c r="A8" s="6" t="s">
        <v>476</v>
      </c>
      <c r="B8" s="6" t="s">
        <v>477</v>
      </c>
      <c r="C8" s="7">
        <v>46023</v>
      </c>
      <c r="D8" s="8"/>
      <c r="E8" s="8"/>
      <c r="F8" s="8">
        <v>90</v>
      </c>
      <c r="G8" s="8"/>
      <c r="H8" s="8"/>
      <c r="I8" s="8"/>
      <c r="J8" s="5">
        <f t="shared" si="0"/>
        <v>90</v>
      </c>
    </row>
    <row r="9" spans="1:10" ht="15.75" thickBot="1" x14ac:dyDescent="0.3">
      <c r="A9" s="6" t="s">
        <v>7</v>
      </c>
      <c r="B9" s="6" t="s">
        <v>480</v>
      </c>
      <c r="C9" s="7">
        <v>46054</v>
      </c>
      <c r="D9" s="8"/>
      <c r="E9" s="8"/>
      <c r="F9" s="8">
        <v>72</v>
      </c>
      <c r="G9" s="8"/>
      <c r="H9" s="8"/>
      <c r="I9" s="8"/>
      <c r="J9" s="5">
        <f t="shared" si="0"/>
        <v>72</v>
      </c>
    </row>
    <row r="10" spans="1:10" ht="15.75" thickBot="1" x14ac:dyDescent="0.3">
      <c r="A10" s="9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9"/>
      <c r="B11" s="384"/>
      <c r="C11" s="7"/>
      <c r="D11" s="8"/>
      <c r="E11" s="8"/>
      <c r="F11" s="8"/>
      <c r="G11" s="8"/>
      <c r="H11" s="8"/>
      <c r="I11" s="11"/>
      <c r="J11" s="5">
        <f t="shared" si="0"/>
        <v>0</v>
      </c>
    </row>
    <row r="12" spans="1:10" ht="15.75" thickBot="1" x14ac:dyDescent="0.3">
      <c r="A12" s="6"/>
      <c r="B12" s="6"/>
      <c r="C12" s="7"/>
      <c r="D12" s="8"/>
      <c r="E12" s="8"/>
      <c r="F12" s="8"/>
      <c r="G12" s="8"/>
      <c r="H12" s="8"/>
      <c r="I12" s="8"/>
      <c r="J12" s="5">
        <f t="shared" si="0"/>
        <v>0</v>
      </c>
    </row>
    <row r="13" spans="1:10" ht="15.75" thickBot="1" x14ac:dyDescent="0.3">
      <c r="A13" s="13"/>
      <c r="B13" s="385"/>
      <c r="C13" s="7"/>
      <c r="D13" s="8"/>
      <c r="E13" s="8"/>
      <c r="F13" s="8"/>
      <c r="G13" s="8"/>
      <c r="H13" s="8"/>
      <c r="I13" s="8"/>
      <c r="J13" s="5">
        <f t="shared" si="0"/>
        <v>0</v>
      </c>
    </row>
    <row r="14" spans="1:10" ht="15.75" thickBot="1" x14ac:dyDescent="0.3">
      <c r="A14" s="15"/>
      <c r="B14" s="13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380"/>
      <c r="B15" s="380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17"/>
      <c r="B16" s="380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0" ht="15.75" thickBot="1" x14ac:dyDescent="0.3">
      <c r="A17" s="17"/>
      <c r="B17" s="380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0" ht="15.75" thickBot="1" x14ac:dyDescent="0.3">
      <c r="A18" s="18" t="s">
        <v>450</v>
      </c>
      <c r="B18" s="380" t="s">
        <v>451</v>
      </c>
      <c r="C18" s="7">
        <v>46023</v>
      </c>
      <c r="D18" s="8"/>
      <c r="E18" s="8"/>
      <c r="F18" s="8">
        <v>100</v>
      </c>
      <c r="G18" s="8"/>
      <c r="H18" s="8"/>
      <c r="I18" s="8"/>
      <c r="J18" s="5">
        <f t="shared" si="0"/>
        <v>100</v>
      </c>
    </row>
    <row r="19" spans="1:10" ht="15.75" thickBot="1" x14ac:dyDescent="0.3">
      <c r="A19" s="18" t="s">
        <v>134</v>
      </c>
      <c r="B19" s="380" t="s">
        <v>452</v>
      </c>
      <c r="C19" s="7">
        <v>45931</v>
      </c>
      <c r="D19" s="8"/>
      <c r="E19" s="8"/>
      <c r="F19" s="8"/>
      <c r="G19" s="8">
        <v>5</v>
      </c>
      <c r="H19" s="8"/>
      <c r="I19" s="8"/>
      <c r="J19" s="5">
        <f t="shared" si="0"/>
        <v>5</v>
      </c>
    </row>
    <row r="20" spans="1:10" ht="15.75" thickBot="1" x14ac:dyDescent="0.3">
      <c r="A20" s="18" t="s">
        <v>129</v>
      </c>
      <c r="B20" s="380" t="s">
        <v>471</v>
      </c>
      <c r="C20" s="7">
        <v>46023</v>
      </c>
      <c r="D20" s="8"/>
      <c r="E20" s="8"/>
      <c r="F20" s="8"/>
      <c r="G20" s="8"/>
      <c r="H20" s="8"/>
      <c r="I20" s="8">
        <v>200</v>
      </c>
      <c r="J20" s="5">
        <f t="shared" si="0"/>
        <v>200</v>
      </c>
    </row>
    <row r="21" spans="1:10" ht="15.75" thickBot="1" x14ac:dyDescent="0.3">
      <c r="A21" s="18"/>
      <c r="B21" s="380"/>
      <c r="C21" s="7"/>
      <c r="D21" s="8"/>
      <c r="E21" s="8"/>
      <c r="F21" s="8"/>
      <c r="G21" s="8"/>
      <c r="H21" s="8"/>
      <c r="I21" s="8"/>
      <c r="J21" s="5">
        <f t="shared" si="0"/>
        <v>0</v>
      </c>
    </row>
    <row r="22" spans="1:10" ht="15.75" thickBot="1" x14ac:dyDescent="0.3">
      <c r="A22" s="18"/>
      <c r="B22" s="380"/>
      <c r="C22" s="7"/>
      <c r="D22" s="8"/>
      <c r="E22" s="8"/>
      <c r="F22" s="8"/>
      <c r="G22" s="8"/>
      <c r="H22" s="8"/>
      <c r="I22" s="8"/>
      <c r="J22" s="5">
        <f t="shared" si="0"/>
        <v>0</v>
      </c>
    </row>
    <row r="23" spans="1:10" ht="15.75" thickBot="1" x14ac:dyDescent="0.3">
      <c r="A23" s="387"/>
      <c r="B23" s="387"/>
      <c r="C23" s="7"/>
      <c r="D23" s="8"/>
      <c r="E23" s="8"/>
      <c r="F23" s="8"/>
      <c r="G23" s="8"/>
      <c r="H23" s="8"/>
      <c r="I23" s="8"/>
      <c r="J23" s="5">
        <f t="shared" si="0"/>
        <v>0</v>
      </c>
    </row>
    <row r="24" spans="1:10" ht="15.75" thickBot="1" x14ac:dyDescent="0.3">
      <c r="A24" s="380"/>
      <c r="B24" s="382"/>
      <c r="C24" s="21"/>
      <c r="D24" s="22"/>
      <c r="E24" s="22"/>
      <c r="F24" s="22"/>
      <c r="G24" s="22"/>
      <c r="H24" s="22"/>
      <c r="I24" s="22"/>
      <c r="J24" s="5">
        <f t="shared" si="0"/>
        <v>0</v>
      </c>
    </row>
    <row r="25" spans="1:10" ht="19.5" thickBot="1" x14ac:dyDescent="0.35">
      <c r="A25" s="23" t="s">
        <v>9</v>
      </c>
      <c r="B25" s="4"/>
      <c r="C25" s="24"/>
      <c r="D25" s="25">
        <f t="shared" ref="D25:J25" si="1">SUM(D4:D24)</f>
        <v>0</v>
      </c>
      <c r="E25" s="25">
        <f t="shared" si="1"/>
        <v>0</v>
      </c>
      <c r="F25" s="25">
        <f t="shared" si="1"/>
        <v>562</v>
      </c>
      <c r="G25" s="25">
        <f t="shared" si="1"/>
        <v>5</v>
      </c>
      <c r="H25" s="25">
        <f t="shared" si="1"/>
        <v>0</v>
      </c>
      <c r="I25" s="25">
        <f t="shared" si="1"/>
        <v>200</v>
      </c>
      <c r="J25" s="26">
        <f t="shared" si="1"/>
        <v>767</v>
      </c>
    </row>
    <row r="26" spans="1:10" ht="19.5" thickBot="1" x14ac:dyDescent="0.35">
      <c r="A26" s="27"/>
      <c r="B26" s="28"/>
      <c r="C26" s="29"/>
      <c r="D26" s="30"/>
      <c r="E26" s="30"/>
      <c r="F26" s="30"/>
      <c r="G26" s="30"/>
      <c r="H26" s="30"/>
      <c r="I26" s="30"/>
      <c r="J26" s="30"/>
    </row>
    <row r="27" spans="1:10" ht="24" thickBot="1" x14ac:dyDescent="0.4">
      <c r="A27" s="31" t="s">
        <v>12</v>
      </c>
      <c r="B27" s="28"/>
      <c r="C27" s="29"/>
      <c r="D27" s="30"/>
      <c r="E27" s="30"/>
      <c r="F27" s="30"/>
      <c r="G27" s="30"/>
      <c r="H27" s="30"/>
      <c r="I27" s="30"/>
      <c r="J27" s="30"/>
    </row>
    <row r="28" spans="1:10" ht="15.75" thickBot="1" x14ac:dyDescent="0.3">
      <c r="A28" s="32" t="s">
        <v>13</v>
      </c>
      <c r="B28" s="4" t="s">
        <v>1</v>
      </c>
      <c r="C28" s="33" t="s">
        <v>14</v>
      </c>
      <c r="D28" s="33" t="s">
        <v>3</v>
      </c>
      <c r="E28" s="33" t="s">
        <v>4</v>
      </c>
      <c r="F28" s="4" t="s">
        <v>5</v>
      </c>
      <c r="G28" s="4" t="s">
        <v>6</v>
      </c>
      <c r="H28" s="4" t="s">
        <v>15</v>
      </c>
      <c r="I28" s="4" t="s">
        <v>8</v>
      </c>
      <c r="J28" s="34" t="s">
        <v>9</v>
      </c>
    </row>
    <row r="29" spans="1:10" ht="15.75" thickBot="1" x14ac:dyDescent="0.3">
      <c r="A29" s="595" t="s">
        <v>252</v>
      </c>
      <c r="B29" s="566" t="s">
        <v>454</v>
      </c>
      <c r="C29" s="21">
        <v>45962</v>
      </c>
      <c r="D29" s="35">
        <v>18.399999999999999</v>
      </c>
      <c r="E29" s="36">
        <v>5</v>
      </c>
      <c r="F29" s="35"/>
      <c r="G29" s="35"/>
      <c r="H29" s="37"/>
      <c r="I29" s="37"/>
      <c r="J29" s="38">
        <f>SUM(D29:I29)</f>
        <v>23.4</v>
      </c>
    </row>
    <row r="30" spans="1:10" ht="15.75" thickBot="1" x14ac:dyDescent="0.3">
      <c r="A30" s="599"/>
      <c r="B30" s="567"/>
      <c r="C30" s="21">
        <v>45992</v>
      </c>
      <c r="D30" s="35">
        <v>46.1</v>
      </c>
      <c r="E30" s="35">
        <v>5</v>
      </c>
      <c r="F30" s="35"/>
      <c r="G30" s="35"/>
      <c r="H30" s="37"/>
      <c r="I30" s="37"/>
      <c r="J30" s="38">
        <f t="shared" ref="J30:J31" si="2">SUM(D30:I30)</f>
        <v>51.1</v>
      </c>
    </row>
    <row r="31" spans="1:10" ht="15.75" thickBot="1" x14ac:dyDescent="0.3">
      <c r="A31" s="599"/>
      <c r="B31" s="566" t="s">
        <v>466</v>
      </c>
      <c r="C31" s="21">
        <v>45962</v>
      </c>
      <c r="D31" s="35"/>
      <c r="E31" s="35"/>
      <c r="F31" s="35">
        <v>19.3</v>
      </c>
      <c r="G31" s="35"/>
      <c r="H31" s="37"/>
      <c r="I31" s="37"/>
      <c r="J31" s="38">
        <f t="shared" si="2"/>
        <v>19.3</v>
      </c>
    </row>
    <row r="32" spans="1:10" ht="15.75" thickBot="1" x14ac:dyDescent="0.3">
      <c r="A32" s="596"/>
      <c r="B32" s="567"/>
      <c r="C32" s="21">
        <v>45992</v>
      </c>
      <c r="D32" s="35"/>
      <c r="E32" s="35"/>
      <c r="F32" s="35">
        <v>56.2</v>
      </c>
      <c r="G32" s="35"/>
      <c r="H32" s="37"/>
      <c r="I32" s="37"/>
      <c r="J32" s="38">
        <f>SUM(D32:I32)</f>
        <v>56.2</v>
      </c>
    </row>
    <row r="33" spans="1:13" ht="15.75" thickBot="1" x14ac:dyDescent="0.3">
      <c r="A33" s="321" t="s">
        <v>467</v>
      </c>
      <c r="B33" s="388" t="s">
        <v>468</v>
      </c>
      <c r="C33" s="21">
        <v>45992</v>
      </c>
      <c r="D33" s="35"/>
      <c r="E33" s="35"/>
      <c r="F33" s="35">
        <v>150</v>
      </c>
      <c r="G33" s="35"/>
      <c r="H33" s="37"/>
      <c r="I33" s="37"/>
      <c r="J33" s="38">
        <f t="shared" ref="J33:J39" si="3">SUM(D33:I33)</f>
        <v>150</v>
      </c>
    </row>
    <row r="34" spans="1:13" ht="15.75" customHeight="1" thickBot="1" x14ac:dyDescent="0.3">
      <c r="A34" s="595" t="s">
        <v>474</v>
      </c>
      <c r="B34" s="564" t="s">
        <v>475</v>
      </c>
      <c r="C34" s="21">
        <v>45992</v>
      </c>
      <c r="D34" s="39"/>
      <c r="E34" s="39"/>
      <c r="F34" s="39"/>
      <c r="G34" s="39"/>
      <c r="H34" s="8">
        <v>150</v>
      </c>
      <c r="I34" s="8"/>
      <c r="J34" s="38">
        <f t="shared" si="3"/>
        <v>150</v>
      </c>
    </row>
    <row r="35" spans="1:13" ht="15.75" thickBot="1" x14ac:dyDescent="0.3">
      <c r="A35" s="599"/>
      <c r="B35" s="594"/>
      <c r="C35" s="21">
        <v>45992</v>
      </c>
      <c r="D35" s="39"/>
      <c r="E35" s="39"/>
      <c r="F35" s="39"/>
      <c r="G35" s="39"/>
      <c r="H35" s="8">
        <v>150</v>
      </c>
      <c r="I35" s="8"/>
      <c r="J35" s="38">
        <f t="shared" si="3"/>
        <v>150</v>
      </c>
    </row>
    <row r="36" spans="1:13" ht="15.75" thickBot="1" x14ac:dyDescent="0.3">
      <c r="A36" s="599"/>
      <c r="B36" s="594"/>
      <c r="C36" s="318">
        <v>46023</v>
      </c>
      <c r="D36" s="39"/>
      <c r="E36" s="39"/>
      <c r="F36" s="39"/>
      <c r="G36" s="39"/>
      <c r="H36" s="8">
        <v>150</v>
      </c>
      <c r="I36" s="8"/>
      <c r="J36" s="38">
        <f t="shared" si="3"/>
        <v>150</v>
      </c>
    </row>
    <row r="37" spans="1:13" ht="15.75" thickBot="1" x14ac:dyDescent="0.3">
      <c r="A37" s="596"/>
      <c r="B37" s="565"/>
      <c r="C37" s="318">
        <v>46023</v>
      </c>
      <c r="D37" s="39"/>
      <c r="E37" s="39"/>
      <c r="F37" s="39"/>
      <c r="G37" s="39"/>
      <c r="H37" s="8">
        <v>150</v>
      </c>
      <c r="I37" s="8"/>
      <c r="J37" s="38">
        <f t="shared" si="3"/>
        <v>150</v>
      </c>
    </row>
    <row r="38" spans="1:13" ht="15.75" thickBot="1" x14ac:dyDescent="0.3">
      <c r="A38" s="387"/>
      <c r="B38" s="380"/>
      <c r="C38" s="7"/>
      <c r="D38" s="39"/>
      <c r="E38" s="39"/>
      <c r="F38" s="39"/>
      <c r="G38" s="39"/>
      <c r="H38" s="8"/>
      <c r="I38" s="8"/>
      <c r="J38" s="38">
        <f t="shared" si="3"/>
        <v>0</v>
      </c>
    </row>
    <row r="39" spans="1:13" ht="15.75" thickBot="1" x14ac:dyDescent="0.3">
      <c r="A39" s="4"/>
      <c r="B39" s="40"/>
      <c r="C39" s="7"/>
      <c r="D39" s="39"/>
      <c r="E39" s="39"/>
      <c r="F39" s="39"/>
      <c r="G39" s="39"/>
      <c r="H39" s="8"/>
      <c r="I39" s="8"/>
      <c r="J39" s="38">
        <f t="shared" si="3"/>
        <v>0</v>
      </c>
      <c r="L39" s="41" t="s">
        <v>16</v>
      </c>
      <c r="M39" s="42">
        <f>J40+J52</f>
        <v>1718.4</v>
      </c>
    </row>
    <row r="40" spans="1:13" ht="15.75" thickBot="1" x14ac:dyDescent="0.3">
      <c r="A40" s="4" t="s">
        <v>9</v>
      </c>
      <c r="B40" s="43"/>
      <c r="C40" s="44"/>
      <c r="D40" s="45"/>
      <c r="E40" s="45"/>
      <c r="F40" s="45"/>
      <c r="G40" s="45"/>
      <c r="H40" s="45"/>
      <c r="I40" s="45"/>
      <c r="J40" s="12">
        <f>SUM(J29:J39)</f>
        <v>900</v>
      </c>
    </row>
    <row r="41" spans="1:13" ht="15.75" thickBot="1" x14ac:dyDescent="0.3">
      <c r="A41" s="28"/>
      <c r="B41" s="46"/>
      <c r="C41" s="47"/>
      <c r="D41" s="48"/>
      <c r="E41" s="48"/>
      <c r="F41" s="48"/>
      <c r="G41" s="48"/>
      <c r="H41" s="48"/>
      <c r="I41" s="48"/>
      <c r="J41" s="49"/>
    </row>
    <row r="42" spans="1:13" ht="24" thickBot="1" x14ac:dyDescent="0.4">
      <c r="A42" s="31" t="s">
        <v>12</v>
      </c>
      <c r="B42" s="28"/>
      <c r="C42" s="29"/>
      <c r="D42" s="30"/>
      <c r="E42" s="30"/>
      <c r="F42" s="30"/>
      <c r="G42" s="30"/>
      <c r="H42" s="30"/>
      <c r="I42" s="30"/>
      <c r="J42" s="30"/>
    </row>
    <row r="43" spans="1:13" ht="45.75" thickBot="1" x14ac:dyDescent="0.3">
      <c r="A43" s="50" t="s">
        <v>17</v>
      </c>
      <c r="B43" s="4" t="s">
        <v>18</v>
      </c>
      <c r="C43" s="33" t="s">
        <v>14</v>
      </c>
      <c r="D43" s="33" t="s">
        <v>3</v>
      </c>
      <c r="E43" s="33" t="s">
        <v>4</v>
      </c>
      <c r="F43" s="33" t="s">
        <v>19</v>
      </c>
      <c r="G43" s="33" t="s">
        <v>20</v>
      </c>
      <c r="H43" s="33" t="s">
        <v>15</v>
      </c>
      <c r="I43" s="51" t="s">
        <v>21</v>
      </c>
      <c r="J43" s="34" t="s">
        <v>9</v>
      </c>
    </row>
    <row r="44" spans="1:13" ht="15.75" thickBot="1" x14ac:dyDescent="0.3">
      <c r="A44" s="6" t="s">
        <v>445</v>
      </c>
      <c r="B44" s="17" t="s">
        <v>446</v>
      </c>
      <c r="C44" s="7">
        <v>45992</v>
      </c>
      <c r="D44" s="8">
        <v>49.9</v>
      </c>
      <c r="E44" s="8">
        <v>6</v>
      </c>
      <c r="F44" s="8">
        <v>60</v>
      </c>
      <c r="G44" s="8">
        <v>5</v>
      </c>
      <c r="H44" s="8"/>
      <c r="I44" s="8"/>
      <c r="J44" s="5">
        <f t="shared" ref="J44:J51" si="4">SUM(D44:I44)</f>
        <v>120.9</v>
      </c>
    </row>
    <row r="45" spans="1:13" ht="15.75" thickBot="1" x14ac:dyDescent="0.3">
      <c r="A45" s="600" t="s">
        <v>455</v>
      </c>
      <c r="B45" s="603" t="s">
        <v>456</v>
      </c>
      <c r="C45" s="393">
        <v>45962</v>
      </c>
      <c r="D45" s="37">
        <v>16.5</v>
      </c>
      <c r="E45" s="37">
        <v>6</v>
      </c>
      <c r="F45" s="37"/>
      <c r="G45" s="37"/>
      <c r="H45" s="37">
        <v>200</v>
      </c>
      <c r="I45" s="37"/>
      <c r="J45" s="5">
        <f t="shared" si="4"/>
        <v>222.5</v>
      </c>
    </row>
    <row r="46" spans="1:13" ht="15.75" thickBot="1" x14ac:dyDescent="0.3">
      <c r="A46" s="601"/>
      <c r="B46" s="604"/>
      <c r="C46" s="393">
        <v>45992</v>
      </c>
      <c r="D46" s="394">
        <v>4</v>
      </c>
      <c r="E46" s="37">
        <v>6</v>
      </c>
      <c r="F46" s="37">
        <v>60</v>
      </c>
      <c r="G46" s="37">
        <v>5</v>
      </c>
      <c r="H46" s="37">
        <v>200</v>
      </c>
      <c r="I46" s="37"/>
      <c r="J46" s="5">
        <f t="shared" si="4"/>
        <v>275</v>
      </c>
    </row>
    <row r="47" spans="1:13" ht="15.75" thickBot="1" x14ac:dyDescent="0.3">
      <c r="A47" s="602"/>
      <c r="B47" s="605"/>
      <c r="C47" s="393">
        <v>46023</v>
      </c>
      <c r="D47" s="37"/>
      <c r="E47" s="37"/>
      <c r="F47" s="37"/>
      <c r="G47" s="37"/>
      <c r="H47" s="37">
        <v>200</v>
      </c>
      <c r="I47" s="37"/>
      <c r="J47" s="5">
        <f t="shared" si="4"/>
        <v>200</v>
      </c>
    </row>
    <row r="48" spans="1:13" ht="15.75" thickBot="1" x14ac:dyDescent="0.3">
      <c r="A48" s="385"/>
      <c r="B48" s="17"/>
      <c r="C48" s="7"/>
      <c r="D48" s="8"/>
      <c r="E48" s="8"/>
      <c r="F48" s="8"/>
      <c r="G48" s="8"/>
      <c r="H48" s="8"/>
      <c r="I48" s="8"/>
      <c r="J48" s="5">
        <f t="shared" si="4"/>
        <v>0</v>
      </c>
    </row>
    <row r="49" spans="1:13" ht="15.75" thickBot="1" x14ac:dyDescent="0.3">
      <c r="A49" s="13"/>
      <c r="B49" s="21"/>
      <c r="C49" s="7"/>
      <c r="D49" s="35"/>
      <c r="E49" s="35"/>
      <c r="F49" s="35"/>
      <c r="G49" s="35"/>
      <c r="H49" s="37"/>
      <c r="I49" s="37"/>
      <c r="J49" s="5">
        <f t="shared" si="4"/>
        <v>0</v>
      </c>
    </row>
    <row r="50" spans="1:13" ht="15.75" thickBot="1" x14ac:dyDescent="0.3">
      <c r="A50" s="387"/>
      <c r="B50" s="380"/>
      <c r="C50" s="7"/>
      <c r="D50" s="39"/>
      <c r="E50" s="39"/>
      <c r="F50" s="39"/>
      <c r="G50" s="39"/>
      <c r="H50" s="8"/>
      <c r="I50" s="8"/>
      <c r="J50" s="5">
        <f t="shared" si="4"/>
        <v>0</v>
      </c>
    </row>
    <row r="51" spans="1:13" ht="15.75" thickBot="1" x14ac:dyDescent="0.3">
      <c r="A51" s="4"/>
      <c r="B51" s="40"/>
      <c r="C51" s="7"/>
      <c r="D51" s="39"/>
      <c r="E51" s="39"/>
      <c r="F51" s="39"/>
      <c r="G51" s="39"/>
      <c r="H51" s="8"/>
      <c r="I51" s="8"/>
      <c r="J51" s="5">
        <f t="shared" si="4"/>
        <v>0</v>
      </c>
      <c r="L51" s="53"/>
      <c r="M51" s="54"/>
    </row>
    <row r="52" spans="1:13" ht="15.75" thickBot="1" x14ac:dyDescent="0.3">
      <c r="A52" s="4" t="s">
        <v>9</v>
      </c>
      <c r="B52" s="43"/>
      <c r="C52" s="44"/>
      <c r="D52" s="45"/>
      <c r="E52" s="45"/>
      <c r="F52" s="45"/>
      <c r="G52" s="45"/>
      <c r="H52" s="45"/>
      <c r="I52" s="45"/>
      <c r="J52" s="12">
        <f>SUM(J44:J51)</f>
        <v>818.4</v>
      </c>
    </row>
    <row r="53" spans="1:13" x14ac:dyDescent="0.25">
      <c r="A53" s="28"/>
      <c r="B53" s="46"/>
      <c r="C53" s="47"/>
      <c r="D53" s="48"/>
      <c r="E53" s="48"/>
      <c r="F53" s="48"/>
      <c r="G53" s="48"/>
      <c r="H53" s="48"/>
      <c r="I53" s="48"/>
      <c r="J53" s="49"/>
    </row>
    <row r="54" spans="1:13" x14ac:dyDescent="0.25">
      <c r="A54" s="28"/>
      <c r="B54" s="46"/>
      <c r="C54" s="47"/>
      <c r="D54" s="48"/>
      <c r="E54" s="48"/>
      <c r="F54" s="48"/>
      <c r="G54" s="48"/>
      <c r="H54" s="48"/>
      <c r="I54" s="48"/>
      <c r="J54" s="49"/>
    </row>
    <row r="55" spans="1:13" ht="15.75" thickBot="1" x14ac:dyDescent="0.3">
      <c r="A55" s="2"/>
      <c r="B55" s="2"/>
      <c r="C55" s="2"/>
      <c r="J55" s="3"/>
    </row>
    <row r="56" spans="1:13" ht="45.75" thickBot="1" x14ac:dyDescent="0.3">
      <c r="A56" s="33" t="s">
        <v>22</v>
      </c>
      <c r="B56" s="4" t="s">
        <v>18</v>
      </c>
      <c r="C56" s="33" t="s">
        <v>14</v>
      </c>
      <c r="D56" s="33" t="s">
        <v>3</v>
      </c>
      <c r="E56" s="33" t="s">
        <v>4</v>
      </c>
      <c r="F56" s="33" t="s">
        <v>19</v>
      </c>
      <c r="G56" s="33" t="s">
        <v>20</v>
      </c>
      <c r="H56" s="4" t="s">
        <v>21</v>
      </c>
      <c r="I56" s="51" t="s">
        <v>15</v>
      </c>
      <c r="J56" s="34" t="s">
        <v>9</v>
      </c>
    </row>
    <row r="57" spans="1:13" ht="15.75" thickBot="1" x14ac:dyDescent="0.3">
      <c r="A57" s="564" t="s">
        <v>228</v>
      </c>
      <c r="B57" s="566" t="s">
        <v>438</v>
      </c>
      <c r="C57" s="21">
        <v>45962</v>
      </c>
      <c r="D57" s="37"/>
      <c r="E57" s="55"/>
      <c r="F57" s="37">
        <v>60</v>
      </c>
      <c r="G57" s="37">
        <v>5</v>
      </c>
      <c r="H57" s="37"/>
      <c r="I57" s="37"/>
      <c r="J57" s="38">
        <f>SUM(D57:I57)</f>
        <v>65</v>
      </c>
    </row>
    <row r="58" spans="1:13" ht="15.75" thickBot="1" x14ac:dyDescent="0.3">
      <c r="A58" s="594"/>
      <c r="B58" s="597"/>
      <c r="C58" s="21">
        <v>45992</v>
      </c>
      <c r="D58" s="37"/>
      <c r="E58" s="37"/>
      <c r="F58" s="37">
        <v>60</v>
      </c>
      <c r="G58" s="37">
        <v>5</v>
      </c>
      <c r="H58" s="37"/>
      <c r="I58" s="37"/>
      <c r="J58" s="38">
        <f t="shared" ref="J58:J83" si="5">SUM(D58:I58)</f>
        <v>65</v>
      </c>
    </row>
    <row r="59" spans="1:13" ht="15.75" thickBot="1" x14ac:dyDescent="0.3">
      <c r="A59" s="565"/>
      <c r="B59" s="567"/>
      <c r="C59" s="21">
        <v>46023</v>
      </c>
      <c r="D59" s="37"/>
      <c r="E59" s="37"/>
      <c r="F59" s="37">
        <v>60</v>
      </c>
      <c r="G59" s="37">
        <v>5</v>
      </c>
      <c r="H59" s="37">
        <v>10</v>
      </c>
      <c r="I59" s="37"/>
      <c r="J59" s="38">
        <f t="shared" si="5"/>
        <v>75</v>
      </c>
    </row>
    <row r="60" spans="1:13" ht="15.75" thickBot="1" x14ac:dyDescent="0.3">
      <c r="A60" s="564" t="s">
        <v>439</v>
      </c>
      <c r="B60" s="566" t="s">
        <v>440</v>
      </c>
      <c r="C60" s="21">
        <v>45962</v>
      </c>
      <c r="D60" s="37">
        <v>67.900000000000006</v>
      </c>
      <c r="E60" s="37">
        <v>6</v>
      </c>
      <c r="F60" s="37"/>
      <c r="G60" s="37"/>
      <c r="H60" s="37"/>
      <c r="I60" s="37"/>
      <c r="J60" s="38">
        <f t="shared" si="5"/>
        <v>73.900000000000006</v>
      </c>
    </row>
    <row r="61" spans="1:13" ht="15.75" thickBot="1" x14ac:dyDescent="0.3">
      <c r="A61" s="565"/>
      <c r="B61" s="567"/>
      <c r="C61" s="21">
        <v>45992</v>
      </c>
      <c r="D61" s="37">
        <v>68.900000000000006</v>
      </c>
      <c r="E61" s="37">
        <v>6</v>
      </c>
      <c r="F61" s="37"/>
      <c r="G61" s="37"/>
      <c r="H61" s="37"/>
      <c r="I61" s="37"/>
      <c r="J61" s="38">
        <f t="shared" si="5"/>
        <v>74.900000000000006</v>
      </c>
    </row>
    <row r="62" spans="1:13" ht="15.75" thickBot="1" x14ac:dyDescent="0.3">
      <c r="A62" s="564" t="s">
        <v>441</v>
      </c>
      <c r="B62" s="566" t="s">
        <v>442</v>
      </c>
      <c r="C62" s="21">
        <v>45962</v>
      </c>
      <c r="D62" s="37"/>
      <c r="E62" s="37"/>
      <c r="F62" s="37">
        <v>60</v>
      </c>
      <c r="G62" s="37">
        <v>5</v>
      </c>
      <c r="H62" s="37"/>
      <c r="I62" s="37"/>
      <c r="J62" s="38">
        <f t="shared" si="5"/>
        <v>65</v>
      </c>
    </row>
    <row r="63" spans="1:13" ht="15.75" thickBot="1" x14ac:dyDescent="0.3">
      <c r="A63" s="565"/>
      <c r="B63" s="567"/>
      <c r="C63" s="21">
        <v>45992</v>
      </c>
      <c r="D63" s="37"/>
      <c r="E63" s="37"/>
      <c r="F63" s="37">
        <v>60</v>
      </c>
      <c r="G63" s="37">
        <v>5</v>
      </c>
      <c r="H63" s="37"/>
      <c r="I63" s="37"/>
      <c r="J63" s="38">
        <f t="shared" si="5"/>
        <v>65</v>
      </c>
    </row>
    <row r="64" spans="1:13" ht="15.75" thickBot="1" x14ac:dyDescent="0.3">
      <c r="A64" s="564" t="s">
        <v>443</v>
      </c>
      <c r="B64" s="566" t="s">
        <v>444</v>
      </c>
      <c r="C64" s="21">
        <v>45962</v>
      </c>
      <c r="D64" s="37">
        <v>228.5</v>
      </c>
      <c r="E64" s="37">
        <v>28.9</v>
      </c>
      <c r="F64" s="37">
        <v>36</v>
      </c>
      <c r="G64" s="37">
        <v>5</v>
      </c>
      <c r="H64" s="37"/>
      <c r="I64" s="37"/>
      <c r="J64" s="38">
        <f t="shared" si="5"/>
        <v>298.39999999999998</v>
      </c>
    </row>
    <row r="65" spans="1:10" ht="15.75" thickBot="1" x14ac:dyDescent="0.3">
      <c r="A65" s="565"/>
      <c r="B65" s="567"/>
      <c r="C65" s="21">
        <v>45992</v>
      </c>
      <c r="D65" s="37">
        <v>51.6</v>
      </c>
      <c r="E65" s="37"/>
      <c r="F65" s="37"/>
      <c r="G65" s="37"/>
      <c r="H65" s="37"/>
      <c r="I65" s="37"/>
      <c r="J65" s="38">
        <f t="shared" si="5"/>
        <v>51.6</v>
      </c>
    </row>
    <row r="66" spans="1:10" ht="15.75" thickBot="1" x14ac:dyDescent="0.3">
      <c r="A66" s="40" t="s">
        <v>457</v>
      </c>
      <c r="B66" s="383" t="s">
        <v>458</v>
      </c>
      <c r="C66" s="21">
        <v>45962</v>
      </c>
      <c r="D66" s="37">
        <v>49.3</v>
      </c>
      <c r="E66" s="37">
        <v>6</v>
      </c>
      <c r="F66" s="37">
        <v>44.7</v>
      </c>
      <c r="G66" s="37"/>
      <c r="H66" s="37"/>
      <c r="I66" s="37"/>
      <c r="J66" s="38">
        <f t="shared" si="5"/>
        <v>100</v>
      </c>
    </row>
    <row r="67" spans="1:10" ht="15.75" thickBot="1" x14ac:dyDescent="0.3">
      <c r="A67" s="40" t="s">
        <v>215</v>
      </c>
      <c r="B67" s="383" t="s">
        <v>459</v>
      </c>
      <c r="C67" s="21"/>
      <c r="D67" s="37"/>
      <c r="E67" s="37"/>
      <c r="F67" s="37"/>
      <c r="G67" s="37"/>
      <c r="H67" s="37"/>
      <c r="I67" s="37"/>
      <c r="J67" s="38">
        <f t="shared" si="5"/>
        <v>0</v>
      </c>
    </row>
    <row r="68" spans="1:10" ht="15.75" thickBot="1" x14ac:dyDescent="0.3">
      <c r="A68" s="386" t="s">
        <v>215</v>
      </c>
      <c r="B68" s="383" t="s">
        <v>460</v>
      </c>
      <c r="C68" s="21"/>
      <c r="D68" s="37"/>
      <c r="E68" s="37"/>
      <c r="F68" s="37"/>
      <c r="G68" s="37"/>
      <c r="H68" s="37"/>
      <c r="I68" s="37"/>
      <c r="J68" s="38">
        <f t="shared" si="5"/>
        <v>0</v>
      </c>
    </row>
    <row r="69" spans="1:10" ht="15.75" thickBot="1" x14ac:dyDescent="0.3">
      <c r="A69" s="564" t="s">
        <v>116</v>
      </c>
      <c r="B69" s="566" t="s">
        <v>461</v>
      </c>
      <c r="C69" s="21">
        <v>45992</v>
      </c>
      <c r="D69" s="37"/>
      <c r="E69" s="37"/>
      <c r="F69" s="37">
        <v>60</v>
      </c>
      <c r="G69" s="37">
        <v>5</v>
      </c>
      <c r="H69" s="37"/>
      <c r="I69" s="37"/>
      <c r="J69" s="38">
        <f t="shared" si="5"/>
        <v>65</v>
      </c>
    </row>
    <row r="70" spans="1:10" ht="15.75" thickBot="1" x14ac:dyDescent="0.3">
      <c r="A70" s="565"/>
      <c r="B70" s="567"/>
      <c r="C70" s="21">
        <v>46023</v>
      </c>
      <c r="D70" s="37"/>
      <c r="E70" s="37"/>
      <c r="F70" s="37">
        <v>60</v>
      </c>
      <c r="G70" s="37">
        <v>5</v>
      </c>
      <c r="H70" s="37"/>
      <c r="I70" s="37"/>
      <c r="J70" s="38">
        <f t="shared" si="5"/>
        <v>65</v>
      </c>
    </row>
    <row r="71" spans="1:10" ht="15.75" thickBot="1" x14ac:dyDescent="0.3">
      <c r="A71" s="564" t="s">
        <v>462</v>
      </c>
      <c r="B71" s="566" t="s">
        <v>463</v>
      </c>
      <c r="C71" s="21">
        <v>45962</v>
      </c>
      <c r="D71" s="37"/>
      <c r="E71" s="37"/>
      <c r="F71" s="37"/>
      <c r="G71" s="37">
        <v>4.3</v>
      </c>
      <c r="H71" s="37"/>
      <c r="I71" s="37"/>
      <c r="J71" s="38">
        <f t="shared" si="5"/>
        <v>4.3</v>
      </c>
    </row>
    <row r="72" spans="1:10" ht="15.75" thickBot="1" x14ac:dyDescent="0.3">
      <c r="A72" s="565"/>
      <c r="B72" s="567"/>
      <c r="C72" s="21">
        <v>45992</v>
      </c>
      <c r="D72" s="37">
        <v>36</v>
      </c>
      <c r="E72" s="37">
        <v>6</v>
      </c>
      <c r="F72" s="37">
        <v>53.7</v>
      </c>
      <c r="G72" s="37"/>
      <c r="H72" s="37"/>
      <c r="I72" s="37"/>
      <c r="J72" s="38">
        <f t="shared" si="5"/>
        <v>95.7</v>
      </c>
    </row>
    <row r="73" spans="1:10" ht="15.75" thickBot="1" x14ac:dyDescent="0.3">
      <c r="A73" s="564" t="s">
        <v>464</v>
      </c>
      <c r="B73" s="566" t="s">
        <v>465</v>
      </c>
      <c r="C73" s="21">
        <v>45992</v>
      </c>
      <c r="D73" s="37">
        <v>224.6</v>
      </c>
      <c r="E73" s="37">
        <v>23</v>
      </c>
      <c r="F73" s="37"/>
      <c r="G73" s="37"/>
      <c r="H73" s="37"/>
      <c r="I73" s="37"/>
      <c r="J73" s="38">
        <f t="shared" si="5"/>
        <v>247.6</v>
      </c>
    </row>
    <row r="74" spans="1:10" ht="15.75" thickBot="1" x14ac:dyDescent="0.3">
      <c r="A74" s="565"/>
      <c r="B74" s="567"/>
      <c r="C74" s="21">
        <v>46023</v>
      </c>
      <c r="D74" s="37"/>
      <c r="E74" s="37"/>
      <c r="F74" s="37"/>
      <c r="G74" s="37"/>
      <c r="H74" s="37">
        <v>10</v>
      </c>
      <c r="I74" s="37"/>
      <c r="J74" s="38">
        <f t="shared" si="5"/>
        <v>10</v>
      </c>
    </row>
    <row r="75" spans="1:10" ht="15.75" thickBot="1" x14ac:dyDescent="0.3">
      <c r="A75" s="564" t="s">
        <v>472</v>
      </c>
      <c r="B75" s="566" t="s">
        <v>473</v>
      </c>
      <c r="C75" s="21">
        <v>45962</v>
      </c>
      <c r="D75" s="37">
        <v>77</v>
      </c>
      <c r="E75" s="392">
        <v>203.9</v>
      </c>
      <c r="F75" s="37"/>
      <c r="G75" s="37"/>
      <c r="H75" s="37"/>
      <c r="I75" s="37"/>
      <c r="J75" s="38">
        <f t="shared" si="5"/>
        <v>280.89999999999998</v>
      </c>
    </row>
    <row r="76" spans="1:10" ht="15.75" thickBot="1" x14ac:dyDescent="0.3">
      <c r="A76" s="594"/>
      <c r="B76" s="597"/>
      <c r="C76" s="21">
        <v>45992</v>
      </c>
      <c r="D76" s="37">
        <v>76.7</v>
      </c>
      <c r="E76" s="37">
        <v>191.4</v>
      </c>
      <c r="F76" s="37">
        <v>8</v>
      </c>
      <c r="G76" s="37">
        <v>5</v>
      </c>
      <c r="H76" s="37"/>
      <c r="I76" s="37"/>
      <c r="J76" s="38">
        <f t="shared" si="5"/>
        <v>281.10000000000002</v>
      </c>
    </row>
    <row r="77" spans="1:10" ht="15.75" thickBot="1" x14ac:dyDescent="0.3">
      <c r="A77" s="565"/>
      <c r="B77" s="567"/>
      <c r="C77" s="21">
        <v>46023</v>
      </c>
      <c r="D77" s="37"/>
      <c r="E77" s="392"/>
      <c r="F77" s="37"/>
      <c r="G77" s="37"/>
      <c r="H77" s="37">
        <v>10</v>
      </c>
      <c r="I77" s="37"/>
      <c r="J77" s="38">
        <f t="shared" si="5"/>
        <v>10</v>
      </c>
    </row>
    <row r="78" spans="1:10" ht="15.75" thickBot="1" x14ac:dyDescent="0.3">
      <c r="A78" s="381"/>
      <c r="B78" s="383"/>
      <c r="C78" s="21"/>
      <c r="D78" s="37"/>
      <c r="E78" s="37"/>
      <c r="F78" s="37"/>
      <c r="G78" s="37"/>
      <c r="H78" s="37"/>
      <c r="I78" s="37"/>
      <c r="J78" s="38">
        <f t="shared" si="5"/>
        <v>0</v>
      </c>
    </row>
    <row r="79" spans="1:10" ht="15.75" thickBot="1" x14ac:dyDescent="0.3">
      <c r="A79" s="381"/>
      <c r="B79" s="383"/>
      <c r="C79" s="21"/>
      <c r="D79" s="37"/>
      <c r="E79" s="37"/>
      <c r="F79" s="37"/>
      <c r="G79" s="37"/>
      <c r="H79" s="37"/>
      <c r="I79" s="37"/>
      <c r="J79" s="38">
        <f t="shared" si="5"/>
        <v>0</v>
      </c>
    </row>
    <row r="80" spans="1:10" ht="15.75" thickBot="1" x14ac:dyDescent="0.3">
      <c r="A80" s="381"/>
      <c r="B80" s="383"/>
      <c r="C80" s="21"/>
      <c r="D80" s="37"/>
      <c r="E80" s="392"/>
      <c r="F80" s="37"/>
      <c r="G80" s="37"/>
      <c r="H80" s="37"/>
      <c r="I80" s="37"/>
      <c r="J80" s="38">
        <f t="shared" si="5"/>
        <v>0</v>
      </c>
    </row>
    <row r="81" spans="1:10" ht="15.75" thickBot="1" x14ac:dyDescent="0.3">
      <c r="A81" s="40"/>
      <c r="B81" s="21"/>
      <c r="C81" s="21"/>
      <c r="D81" s="37"/>
      <c r="E81" s="166"/>
      <c r="F81" s="37"/>
      <c r="G81" s="37"/>
      <c r="H81" s="37"/>
      <c r="I81" s="37"/>
      <c r="J81" s="38">
        <f t="shared" si="5"/>
        <v>0</v>
      </c>
    </row>
    <row r="82" spans="1:10" ht="15.75" thickBot="1" x14ac:dyDescent="0.3">
      <c r="A82" s="40"/>
      <c r="B82" s="21"/>
      <c r="C82" s="21"/>
      <c r="D82" s="37"/>
      <c r="E82" s="37"/>
      <c r="F82" s="37"/>
      <c r="G82" s="37"/>
      <c r="H82" s="37"/>
      <c r="I82" s="37"/>
      <c r="J82" s="38">
        <f t="shared" si="5"/>
        <v>0</v>
      </c>
    </row>
    <row r="83" spans="1:10" ht="15.75" thickBot="1" x14ac:dyDescent="0.3">
      <c r="A83" s="40"/>
      <c r="B83" s="21"/>
      <c r="C83" s="21"/>
      <c r="D83" s="57"/>
      <c r="E83" s="57"/>
      <c r="F83" s="57"/>
      <c r="G83" s="57"/>
      <c r="H83" s="57"/>
      <c r="I83" s="57"/>
      <c r="J83" s="38">
        <f t="shared" si="5"/>
        <v>0</v>
      </c>
    </row>
    <row r="84" spans="1:10" ht="19.5" thickBot="1" x14ac:dyDescent="0.35">
      <c r="A84" s="23" t="s">
        <v>9</v>
      </c>
      <c r="B84" s="4"/>
      <c r="C84" s="24"/>
      <c r="D84" s="25">
        <f t="shared" ref="D84:J84" si="6">SUM(D57:D83)</f>
        <v>880.50000000000011</v>
      </c>
      <c r="E84" s="25">
        <f t="shared" si="6"/>
        <v>471.20000000000005</v>
      </c>
      <c r="F84" s="25">
        <f t="shared" si="6"/>
        <v>562.4</v>
      </c>
      <c r="G84" s="25">
        <f t="shared" si="6"/>
        <v>49.3</v>
      </c>
      <c r="H84" s="25">
        <f t="shared" si="6"/>
        <v>30</v>
      </c>
      <c r="I84" s="25">
        <f t="shared" si="6"/>
        <v>0</v>
      </c>
      <c r="J84" s="25">
        <f t="shared" si="6"/>
        <v>1993.3999999999996</v>
      </c>
    </row>
    <row r="85" spans="1:10" ht="15.75" x14ac:dyDescent="0.25">
      <c r="A85" s="58"/>
      <c r="B85" s="58"/>
      <c r="C85" s="59"/>
      <c r="D85" s="60"/>
      <c r="E85" s="60"/>
      <c r="F85" s="60"/>
      <c r="G85" s="60"/>
      <c r="H85" s="60"/>
      <c r="I85" s="60"/>
      <c r="J85" s="60"/>
    </row>
    <row r="86" spans="1:10" ht="16.5" thickBot="1" x14ac:dyDescent="0.3">
      <c r="A86" s="58"/>
      <c r="B86" s="58"/>
      <c r="C86" s="59"/>
      <c r="D86" s="60"/>
      <c r="E86" s="60"/>
      <c r="F86" s="60"/>
      <c r="G86" s="60"/>
      <c r="H86" s="60"/>
      <c r="I86" s="60"/>
      <c r="J86" s="60"/>
    </row>
    <row r="87" spans="1:10" ht="19.5" thickBot="1" x14ac:dyDescent="0.35">
      <c r="A87" s="554" t="s">
        <v>23</v>
      </c>
      <c r="B87" s="555"/>
      <c r="C87" s="61"/>
      <c r="D87" s="62"/>
      <c r="E87" s="62"/>
      <c r="F87" s="62"/>
      <c r="G87" s="62"/>
      <c r="H87" s="62"/>
      <c r="I87" s="62"/>
      <c r="J87" s="26">
        <f>+J25+J84</f>
        <v>2760.3999999999996</v>
      </c>
    </row>
    <row r="88" spans="1:10" x14ac:dyDescent="0.25">
      <c r="A88" s="2"/>
      <c r="B88" s="2"/>
      <c r="C88" s="63"/>
      <c r="D88" s="3"/>
      <c r="E88" s="3"/>
      <c r="F88" s="3"/>
      <c r="G88" s="3"/>
      <c r="H88" s="3"/>
      <c r="I88" s="3"/>
      <c r="J88" s="3"/>
    </row>
    <row r="89" spans="1:10" x14ac:dyDescent="0.25">
      <c r="A89" s="2"/>
      <c r="B89" s="2"/>
      <c r="C89" s="63"/>
      <c r="D89" s="3"/>
      <c r="E89" s="3"/>
      <c r="F89" s="3"/>
      <c r="G89" s="3"/>
      <c r="H89" s="3"/>
      <c r="I89" s="3"/>
      <c r="J89" s="3"/>
    </row>
    <row r="90" spans="1:10" ht="16.5" thickBot="1" x14ac:dyDescent="0.3">
      <c r="A90" s="64" t="s">
        <v>24</v>
      </c>
      <c r="B90" s="2"/>
      <c r="C90" s="63"/>
      <c r="D90" s="3"/>
      <c r="E90" s="3"/>
      <c r="F90" s="3"/>
      <c r="G90" s="3"/>
      <c r="H90" s="3"/>
      <c r="I90" s="3"/>
      <c r="J90" s="3"/>
    </row>
    <row r="91" spans="1:10" ht="19.5" thickBot="1" x14ac:dyDescent="0.35">
      <c r="A91" s="65" t="s">
        <v>25</v>
      </c>
      <c r="B91" s="66"/>
      <c r="C91" s="67"/>
      <c r="D91" s="68"/>
      <c r="E91" s="68"/>
      <c r="F91" s="68"/>
      <c r="G91" s="68"/>
      <c r="H91" s="68"/>
      <c r="I91" s="68"/>
      <c r="J91" s="26"/>
    </row>
    <row r="92" spans="1:10" ht="19.5" thickBot="1" x14ac:dyDescent="0.35">
      <c r="A92" s="65" t="s">
        <v>26</v>
      </c>
      <c r="B92" s="66"/>
      <c r="C92" s="69"/>
      <c r="D92" s="68"/>
      <c r="E92" s="68"/>
      <c r="F92" s="68"/>
      <c r="G92" s="68"/>
      <c r="H92" s="68"/>
      <c r="I92" s="68"/>
      <c r="J92" s="26"/>
    </row>
    <row r="93" spans="1:10" ht="18.75" x14ac:dyDescent="0.3">
      <c r="A93" s="70"/>
      <c r="B93" s="70"/>
      <c r="C93" s="71"/>
      <c r="D93" s="72"/>
      <c r="E93" s="72"/>
      <c r="F93" s="72"/>
      <c r="G93" s="72"/>
      <c r="H93" s="72"/>
      <c r="I93" s="72"/>
      <c r="J93" s="30"/>
    </row>
    <row r="94" spans="1:10" ht="18.75" x14ac:dyDescent="0.3">
      <c r="A94" s="70"/>
      <c r="B94" s="70"/>
      <c r="C94" s="71"/>
      <c r="D94" s="72"/>
      <c r="E94" s="72"/>
      <c r="F94" s="72"/>
      <c r="G94" s="72"/>
      <c r="H94" s="72"/>
      <c r="I94" s="72"/>
      <c r="J94" s="30"/>
    </row>
    <row r="95" spans="1:10" ht="16.5" thickBot="1" x14ac:dyDescent="0.3">
      <c r="A95" s="73" t="s">
        <v>27</v>
      </c>
      <c r="B95" s="74"/>
      <c r="C95" s="63"/>
      <c r="D95" s="3"/>
      <c r="E95" s="3"/>
      <c r="F95" s="3"/>
      <c r="G95" s="3"/>
      <c r="H95" s="3"/>
      <c r="I95" s="3"/>
      <c r="J95" s="3"/>
    </row>
    <row r="96" spans="1:10" ht="19.5" thickBot="1" x14ac:dyDescent="0.35">
      <c r="A96" s="75" t="s">
        <v>28</v>
      </c>
      <c r="B96" s="76"/>
      <c r="C96" s="77"/>
      <c r="D96" s="78"/>
      <c r="E96" s="78"/>
      <c r="F96" s="78"/>
      <c r="G96" s="78"/>
      <c r="H96" s="78"/>
      <c r="I96" s="78"/>
      <c r="J96" s="79">
        <v>477</v>
      </c>
    </row>
    <row r="97" spans="1:10" x14ac:dyDescent="0.25">
      <c r="A97" s="80"/>
      <c r="B97" s="2"/>
      <c r="C97" s="63"/>
      <c r="D97" s="3"/>
      <c r="E97" s="3"/>
      <c r="F97" s="3"/>
      <c r="G97" s="3"/>
      <c r="H97" s="3"/>
      <c r="I97" s="3"/>
      <c r="J97" s="3"/>
    </row>
    <row r="98" spans="1:10" ht="16.5" thickBot="1" x14ac:dyDescent="0.3">
      <c r="A98" s="73"/>
      <c r="B98" s="74"/>
      <c r="C98" s="63"/>
      <c r="D98" s="3"/>
      <c r="E98" s="3"/>
      <c r="F98" s="3"/>
      <c r="G98" s="3"/>
      <c r="H98" s="3"/>
      <c r="I98" s="3"/>
      <c r="J98" s="3"/>
    </row>
    <row r="99" spans="1:10" ht="19.5" thickBot="1" x14ac:dyDescent="0.35">
      <c r="A99" s="75" t="s">
        <v>29</v>
      </c>
      <c r="B99" s="76"/>
      <c r="C99" s="81"/>
      <c r="D99" s="78"/>
      <c r="E99" s="78"/>
      <c r="F99" s="78"/>
      <c r="G99" s="78"/>
      <c r="H99" s="78"/>
      <c r="I99" s="78"/>
      <c r="J99" s="82"/>
    </row>
    <row r="100" spans="1:10" ht="15.75" thickBot="1" x14ac:dyDescent="0.3">
      <c r="A100" s="80"/>
      <c r="B100" s="2"/>
      <c r="C100" s="63"/>
      <c r="D100" s="3"/>
      <c r="E100" s="3"/>
      <c r="F100" s="3"/>
      <c r="G100" s="3"/>
      <c r="H100" s="3"/>
      <c r="I100" s="3"/>
      <c r="J100" s="3"/>
    </row>
    <row r="101" spans="1:10" ht="21.75" thickBot="1" x14ac:dyDescent="0.4">
      <c r="A101" s="556" t="s">
        <v>30</v>
      </c>
      <c r="B101" s="557"/>
      <c r="C101" s="83"/>
      <c r="D101" s="84"/>
      <c r="E101" s="84"/>
      <c r="F101" s="84"/>
      <c r="G101" s="84"/>
      <c r="H101" s="84"/>
      <c r="I101" s="84"/>
      <c r="J101" s="85">
        <f>SUM(J87:J100)</f>
        <v>3237.3999999999996</v>
      </c>
    </row>
    <row r="102" spans="1:10" x14ac:dyDescent="0.25">
      <c r="A102" s="2"/>
      <c r="B102" s="2"/>
      <c r="C102" s="63"/>
      <c r="D102" s="3"/>
      <c r="E102" s="3"/>
      <c r="F102" s="3"/>
      <c r="G102" s="3"/>
      <c r="H102" s="3"/>
      <c r="I102" s="3"/>
      <c r="J102" s="3"/>
    </row>
    <row r="103" spans="1:10" ht="21" x14ac:dyDescent="0.35">
      <c r="A103" s="553" t="s">
        <v>437</v>
      </c>
      <c r="B103" s="553"/>
      <c r="C103" s="553"/>
      <c r="D103" s="553"/>
      <c r="E103" s="553"/>
      <c r="F103" s="553"/>
      <c r="G103" s="553"/>
      <c r="H103" s="553"/>
      <c r="I103" s="553"/>
      <c r="J103" s="553"/>
    </row>
    <row r="104" spans="1:10" ht="21.75" thickBot="1" x14ac:dyDescent="0.4">
      <c r="A104" s="379" t="s">
        <v>31</v>
      </c>
      <c r="B104" s="379"/>
      <c r="C104" s="379"/>
      <c r="D104" s="379"/>
      <c r="E104" s="379"/>
      <c r="F104" s="379"/>
      <c r="G104" s="379"/>
      <c r="H104" s="379"/>
      <c r="I104" s="379"/>
      <c r="J104" s="87"/>
    </row>
    <row r="105" spans="1:10" ht="15.75" thickBot="1" x14ac:dyDescent="0.3">
      <c r="A105" s="88" t="s">
        <v>32</v>
      </c>
      <c r="B105" s="89" t="s">
        <v>33</v>
      </c>
      <c r="C105" s="558" t="s">
        <v>2</v>
      </c>
      <c r="D105" s="559"/>
      <c r="E105" s="559"/>
      <c r="F105" s="559"/>
      <c r="G105" s="559"/>
      <c r="H105" s="559"/>
      <c r="I105" s="560"/>
      <c r="J105" s="90" t="s">
        <v>9</v>
      </c>
    </row>
    <row r="106" spans="1:10" ht="15.75" thickBot="1" x14ac:dyDescent="0.3">
      <c r="A106" s="91" t="s">
        <v>142</v>
      </c>
      <c r="B106" s="92" t="s">
        <v>479</v>
      </c>
      <c r="C106" s="550" t="s">
        <v>478</v>
      </c>
      <c r="D106" s="551"/>
      <c r="E106" s="551"/>
      <c r="F106" s="551"/>
      <c r="G106" s="551"/>
      <c r="H106" s="551"/>
      <c r="I106" s="551"/>
      <c r="J106" s="22">
        <v>14</v>
      </c>
    </row>
    <row r="107" spans="1:10" ht="15.75" thickBot="1" x14ac:dyDescent="0.3">
      <c r="A107" s="40"/>
      <c r="B107" s="92"/>
      <c r="C107" s="550"/>
      <c r="D107" s="551"/>
      <c r="E107" s="551"/>
      <c r="F107" s="551"/>
      <c r="G107" s="551"/>
      <c r="H107" s="552"/>
      <c r="I107" s="552"/>
      <c r="J107" s="22"/>
    </row>
    <row r="108" spans="1:10" ht="15.75" thickBot="1" x14ac:dyDescent="0.3">
      <c r="A108" s="40"/>
      <c r="B108" s="92"/>
      <c r="C108" s="561"/>
      <c r="D108" s="562"/>
      <c r="E108" s="562"/>
      <c r="F108" s="562"/>
      <c r="G108" s="562"/>
      <c r="H108" s="562"/>
      <c r="I108" s="562"/>
      <c r="J108" s="93"/>
    </row>
    <row r="109" spans="1:10" ht="15.75" thickBot="1" x14ac:dyDescent="0.3">
      <c r="A109" s="40"/>
      <c r="B109" s="92"/>
      <c r="C109" s="550"/>
      <c r="D109" s="551"/>
      <c r="E109" s="551"/>
      <c r="F109" s="551"/>
      <c r="G109" s="551"/>
      <c r="H109" s="552"/>
      <c r="I109" s="552"/>
      <c r="J109" s="22"/>
    </row>
    <row r="110" spans="1:10" ht="15.75" thickBot="1" x14ac:dyDescent="0.3">
      <c r="A110" s="40"/>
      <c r="B110" s="92"/>
      <c r="C110" s="550"/>
      <c r="D110" s="551"/>
      <c r="E110" s="551"/>
      <c r="F110" s="551"/>
      <c r="G110" s="551"/>
      <c r="H110" s="552"/>
      <c r="I110" s="552"/>
      <c r="J110" s="22"/>
    </row>
    <row r="111" spans="1:10" ht="15.75" thickBot="1" x14ac:dyDescent="0.3">
      <c r="A111" s="40"/>
      <c r="B111" s="92"/>
      <c r="C111" s="550"/>
      <c r="D111" s="551"/>
      <c r="E111" s="551"/>
      <c r="F111" s="551"/>
      <c r="G111" s="551"/>
      <c r="H111" s="552"/>
      <c r="I111" s="552"/>
      <c r="J111" s="22"/>
    </row>
    <row r="112" spans="1:10" ht="15.75" thickBot="1" x14ac:dyDescent="0.3">
      <c r="A112" s="40"/>
      <c r="B112" s="92"/>
      <c r="C112" s="550"/>
      <c r="D112" s="551"/>
      <c r="E112" s="551"/>
      <c r="F112" s="551"/>
      <c r="G112" s="551"/>
      <c r="H112" s="552"/>
      <c r="I112" s="552"/>
      <c r="J112" s="22"/>
    </row>
    <row r="113" spans="1:10" ht="15.75" thickBot="1" x14ac:dyDescent="0.3">
      <c r="A113" s="40"/>
      <c r="B113" s="92"/>
      <c r="C113" s="550"/>
      <c r="D113" s="551"/>
      <c r="E113" s="551"/>
      <c r="F113" s="551"/>
      <c r="G113" s="551"/>
      <c r="H113" s="552"/>
      <c r="I113" s="552"/>
      <c r="J113" s="22"/>
    </row>
    <row r="114" spans="1:10" ht="15.75" thickBot="1" x14ac:dyDescent="0.3">
      <c r="A114" s="40"/>
      <c r="B114" s="92"/>
      <c r="C114" s="550"/>
      <c r="D114" s="551"/>
      <c r="E114" s="551"/>
      <c r="F114" s="551"/>
      <c r="G114" s="551"/>
      <c r="H114" s="552"/>
      <c r="I114" s="552"/>
      <c r="J114" s="37"/>
    </row>
    <row r="115" spans="1:10" ht="15.75" thickBot="1" x14ac:dyDescent="0.3">
      <c r="A115" s="40"/>
      <c r="B115" s="92"/>
      <c r="C115" s="550"/>
      <c r="D115" s="551"/>
      <c r="E115" s="551"/>
      <c r="F115" s="551"/>
      <c r="G115" s="551"/>
      <c r="H115" s="552"/>
      <c r="I115" s="552"/>
      <c r="J115" s="37"/>
    </row>
    <row r="116" spans="1:10" ht="15.75" thickBot="1" x14ac:dyDescent="0.3">
      <c r="A116" s="40"/>
      <c r="B116" s="92"/>
      <c r="C116" s="550"/>
      <c r="D116" s="551"/>
      <c r="E116" s="551"/>
      <c r="F116" s="551"/>
      <c r="G116" s="551"/>
      <c r="H116" s="552"/>
      <c r="I116" s="552"/>
      <c r="J116" s="37"/>
    </row>
    <row r="117" spans="1:10" ht="15.75" thickBot="1" x14ac:dyDescent="0.3">
      <c r="A117" s="40"/>
      <c r="B117" s="92"/>
      <c r="C117" s="550"/>
      <c r="D117" s="551"/>
      <c r="E117" s="551"/>
      <c r="F117" s="551"/>
      <c r="G117" s="551"/>
      <c r="H117" s="552"/>
      <c r="I117" s="552"/>
      <c r="J117" s="37"/>
    </row>
    <row r="118" spans="1:10" ht="15.75" thickBot="1" x14ac:dyDescent="0.3">
      <c r="A118" s="40"/>
      <c r="B118" s="92"/>
      <c r="C118" s="550"/>
      <c r="D118" s="551"/>
      <c r="E118" s="551"/>
      <c r="F118" s="551"/>
      <c r="G118" s="551"/>
      <c r="H118" s="552"/>
      <c r="I118" s="552"/>
      <c r="J118" s="37"/>
    </row>
    <row r="119" spans="1:10" ht="19.5" thickBot="1" x14ac:dyDescent="0.35">
      <c r="A119" s="94" t="s">
        <v>34</v>
      </c>
      <c r="B119" s="554"/>
      <c r="C119" s="563"/>
      <c r="D119" s="563"/>
      <c r="E119" s="563"/>
      <c r="F119" s="563"/>
      <c r="G119" s="563"/>
      <c r="H119" s="563"/>
      <c r="I119" s="563"/>
      <c r="J119" s="95">
        <f>SUM(J106:J118)</f>
        <v>14</v>
      </c>
    </row>
    <row r="120" spans="1:10" ht="18.75" x14ac:dyDescent="0.3">
      <c r="A120" s="27"/>
      <c r="B120" s="27"/>
      <c r="C120" s="96"/>
      <c r="D120" s="96"/>
      <c r="E120" s="96"/>
      <c r="F120" s="97"/>
      <c r="G120" s="96"/>
      <c r="H120" s="96"/>
      <c r="I120" s="96"/>
      <c r="J120" s="30"/>
    </row>
    <row r="121" spans="1:10" ht="18.75" x14ac:dyDescent="0.3">
      <c r="A121" s="27"/>
      <c r="B121" s="27"/>
      <c r="C121" s="96"/>
      <c r="D121" s="96"/>
      <c r="E121" s="96"/>
      <c r="F121" s="97"/>
      <c r="G121" s="96"/>
      <c r="H121" s="96"/>
      <c r="I121" s="96"/>
      <c r="J121" s="30"/>
    </row>
    <row r="122" spans="1:10" ht="18.75" x14ac:dyDescent="0.3">
      <c r="A122" s="58" t="s">
        <v>35</v>
      </c>
      <c r="B122" s="27"/>
      <c r="C122" s="2"/>
      <c r="D122" s="3"/>
      <c r="F122" s="3"/>
      <c r="J122" s="3"/>
    </row>
    <row r="123" spans="1:10" x14ac:dyDescent="0.25">
      <c r="A123" s="2" t="s">
        <v>36</v>
      </c>
      <c r="B123" s="63">
        <f>+J101</f>
        <v>3237.3999999999996</v>
      </c>
      <c r="C123" s="98"/>
      <c r="D123" s="3"/>
      <c r="F123" s="3"/>
      <c r="J123" s="3"/>
    </row>
    <row r="124" spans="1:10" ht="15.75" thickBot="1" x14ac:dyDescent="0.3">
      <c r="A124" s="2" t="s">
        <v>34</v>
      </c>
      <c r="B124" s="99">
        <f>+J119</f>
        <v>14</v>
      </c>
      <c r="C124" s="100"/>
      <c r="D124" s="3"/>
      <c r="F124" s="3"/>
      <c r="G124" s="101"/>
      <c r="H124" s="101"/>
      <c r="I124" s="102"/>
      <c r="J124" s="102"/>
    </row>
    <row r="125" spans="1:10" ht="17.25" thickTop="1" thickBot="1" x14ac:dyDescent="0.3">
      <c r="A125" s="58" t="s">
        <v>37</v>
      </c>
      <c r="B125" s="103">
        <f>++B123-B124</f>
        <v>3223.3999999999996</v>
      </c>
      <c r="C125" s="104"/>
      <c r="D125" s="105"/>
      <c r="E125" s="106"/>
      <c r="F125" s="105"/>
      <c r="G125" s="107"/>
      <c r="H125" s="107"/>
      <c r="I125" s="3"/>
    </row>
    <row r="126" spans="1:10" ht="15.75" thickTop="1" x14ac:dyDescent="0.25"/>
  </sheetData>
  <mergeCells count="44">
    <mergeCell ref="C106:I106"/>
    <mergeCell ref="B5:B6"/>
    <mergeCell ref="A5:A6"/>
    <mergeCell ref="B29:B30"/>
    <mergeCell ref="A1:J1"/>
    <mergeCell ref="A87:B87"/>
    <mergeCell ref="A101:B101"/>
    <mergeCell ref="A103:J103"/>
    <mergeCell ref="C105:I105"/>
    <mergeCell ref="A45:A47"/>
    <mergeCell ref="B45:B47"/>
    <mergeCell ref="B31:B32"/>
    <mergeCell ref="A29:A32"/>
    <mergeCell ref="B75:B77"/>
    <mergeCell ref="A75:A77"/>
    <mergeCell ref="B34:B37"/>
    <mergeCell ref="C108:I108"/>
    <mergeCell ref="C109:I109"/>
    <mergeCell ref="C110:I110"/>
    <mergeCell ref="C111:I111"/>
    <mergeCell ref="C112:I112"/>
    <mergeCell ref="B119:I119"/>
    <mergeCell ref="B57:B59"/>
    <mergeCell ref="A57:A59"/>
    <mergeCell ref="B60:B61"/>
    <mergeCell ref="A60:A61"/>
    <mergeCell ref="B62:B63"/>
    <mergeCell ref="A62:A63"/>
    <mergeCell ref="B64:B65"/>
    <mergeCell ref="A64:A65"/>
    <mergeCell ref="C113:I113"/>
    <mergeCell ref="C114:I114"/>
    <mergeCell ref="C115:I115"/>
    <mergeCell ref="C116:I116"/>
    <mergeCell ref="C117:I117"/>
    <mergeCell ref="C118:I118"/>
    <mergeCell ref="C107:I107"/>
    <mergeCell ref="A73:A74"/>
    <mergeCell ref="B73:B74"/>
    <mergeCell ref="A34:A37"/>
    <mergeCell ref="B69:B70"/>
    <mergeCell ref="A69:A70"/>
    <mergeCell ref="B71:B72"/>
    <mergeCell ref="A71:A72"/>
  </mergeCells>
  <phoneticPr fontId="13" type="noConversion"/>
  <pageMargins left="0.17" right="0.17" top="1.32" bottom="0.17" header="0.17" footer="0.17"/>
  <pageSetup paperSize="9" scale="23" fitToWidth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5D82-E183-4525-A23C-A99DFFFE72FB}">
  <sheetPr>
    <pageSetUpPr fitToPage="1"/>
  </sheetPr>
  <dimension ref="A1:M99"/>
  <sheetViews>
    <sheetView topLeftCell="A31" workbookViewId="0">
      <selection activeCell="J26" sqref="J26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6" max="6" width="13" bestFit="1" customWidth="1"/>
    <col min="10" max="10" width="14" bestFit="1" customWidth="1"/>
  </cols>
  <sheetData>
    <row r="1" spans="1:10" ht="21" x14ac:dyDescent="0.35">
      <c r="A1" s="553" t="s">
        <v>481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10</v>
      </c>
      <c r="B4" s="6" t="s">
        <v>490</v>
      </c>
      <c r="C4" s="7">
        <v>46054</v>
      </c>
      <c r="D4" s="8"/>
      <c r="E4" s="8"/>
      <c r="F4" s="8"/>
      <c r="G4" s="8"/>
      <c r="H4" s="8"/>
      <c r="I4" s="8">
        <v>10</v>
      </c>
      <c r="J4" s="5">
        <f>SUM(D4:I4)</f>
        <v>10</v>
      </c>
    </row>
    <row r="5" spans="1:10" ht="15.75" thickBot="1" x14ac:dyDescent="0.3">
      <c r="A5" s="6" t="s">
        <v>483</v>
      </c>
      <c r="B5" s="6" t="s">
        <v>484</v>
      </c>
      <c r="C5" s="7">
        <v>46023</v>
      </c>
      <c r="D5" s="8"/>
      <c r="E5" s="8"/>
      <c r="F5" s="8">
        <v>300</v>
      </c>
      <c r="G5" s="8"/>
      <c r="H5" s="8"/>
      <c r="I5" s="8"/>
      <c r="J5" s="5">
        <f t="shared" ref="J5:J21" si="0">SUM(D5:I5)</f>
        <v>300</v>
      </c>
    </row>
    <row r="6" spans="1:10" ht="15.75" thickBot="1" x14ac:dyDescent="0.3">
      <c r="A6" s="6" t="s">
        <v>494</v>
      </c>
      <c r="B6" s="6" t="s">
        <v>495</v>
      </c>
      <c r="C6" s="7">
        <v>45962</v>
      </c>
      <c r="D6" s="8"/>
      <c r="E6" s="8"/>
      <c r="F6" s="8">
        <v>170</v>
      </c>
      <c r="G6" s="8"/>
      <c r="H6" s="8"/>
      <c r="I6" s="8"/>
      <c r="J6" s="5">
        <f t="shared" si="0"/>
        <v>170</v>
      </c>
    </row>
    <row r="7" spans="1:10" ht="15.75" thickBot="1" x14ac:dyDescent="0.3">
      <c r="A7" s="6" t="s">
        <v>497</v>
      </c>
      <c r="B7" s="6" t="s">
        <v>498</v>
      </c>
      <c r="C7" s="7">
        <v>46023</v>
      </c>
      <c r="D7" s="8"/>
      <c r="E7" s="8"/>
      <c r="F7" s="8">
        <v>1200</v>
      </c>
      <c r="G7" s="8"/>
      <c r="H7" s="8"/>
      <c r="I7" s="8"/>
      <c r="J7" s="5">
        <f t="shared" si="0"/>
        <v>1200</v>
      </c>
    </row>
    <row r="8" spans="1:10" ht="15.75" thickBot="1" x14ac:dyDescent="0.3">
      <c r="A8" s="6" t="s">
        <v>7</v>
      </c>
      <c r="B8" s="6" t="s">
        <v>505</v>
      </c>
      <c r="C8" s="7">
        <v>46054</v>
      </c>
      <c r="D8" s="8"/>
      <c r="E8" s="8"/>
      <c r="F8" s="8"/>
      <c r="G8" s="8"/>
      <c r="H8" s="8">
        <v>46.5</v>
      </c>
      <c r="I8" s="8"/>
      <c r="J8" s="5">
        <f t="shared" si="0"/>
        <v>46.5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9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9"/>
      <c r="B12" s="398"/>
      <c r="C12" s="7"/>
      <c r="D12" s="8"/>
      <c r="E12" s="8"/>
      <c r="F12" s="8"/>
      <c r="G12" s="8"/>
      <c r="H12" s="8"/>
      <c r="I12" s="11"/>
      <c r="J12" s="12">
        <f t="shared" si="0"/>
        <v>0</v>
      </c>
    </row>
    <row r="13" spans="1:10" ht="15.75" thickBot="1" x14ac:dyDescent="0.3">
      <c r="A13" s="6"/>
      <c r="B13" s="6"/>
      <c r="C13" s="7"/>
      <c r="D13" s="8"/>
      <c r="E13" s="8"/>
      <c r="F13" s="8"/>
      <c r="G13" s="8"/>
      <c r="H13" s="8"/>
      <c r="I13" s="8"/>
      <c r="J13" s="5">
        <f t="shared" si="0"/>
        <v>0</v>
      </c>
    </row>
    <row r="14" spans="1:10" ht="15.75" thickBot="1" x14ac:dyDescent="0.3">
      <c r="A14" s="13"/>
      <c r="B14" s="399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5"/>
      <c r="B15" s="13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396"/>
      <c r="B16" s="396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17"/>
      <c r="B17" s="396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396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8"/>
      <c r="B19" s="396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400"/>
      <c r="B20" s="400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396"/>
      <c r="B21" s="397"/>
      <c r="C21" s="21"/>
      <c r="D21" s="22"/>
      <c r="E21" s="22"/>
      <c r="F21" s="22"/>
      <c r="G21" s="22"/>
      <c r="H21" s="22"/>
      <c r="I21" s="22"/>
      <c r="J21" s="5">
        <f t="shared" si="0"/>
        <v>0</v>
      </c>
    </row>
    <row r="22" spans="1:13" ht="19.5" thickBot="1" x14ac:dyDescent="0.35">
      <c r="A22" s="23" t="s">
        <v>9</v>
      </c>
      <c r="B22" s="4"/>
      <c r="C22" s="24"/>
      <c r="D22" s="25">
        <f t="shared" ref="D22:I22" si="1">SUM(D4:D21)</f>
        <v>0</v>
      </c>
      <c r="E22" s="25">
        <f t="shared" si="1"/>
        <v>0</v>
      </c>
      <c r="F22" s="25">
        <f t="shared" si="1"/>
        <v>1670</v>
      </c>
      <c r="G22" s="25">
        <f t="shared" si="1"/>
        <v>0</v>
      </c>
      <c r="H22" s="25">
        <f t="shared" si="1"/>
        <v>46.5</v>
      </c>
      <c r="I22" s="25">
        <f t="shared" si="1"/>
        <v>10</v>
      </c>
      <c r="J22" s="26">
        <f>SUM(J4:J21)</f>
        <v>1726.5</v>
      </c>
    </row>
    <row r="23" spans="1:13" ht="19.5" thickBot="1" x14ac:dyDescent="0.35">
      <c r="A23" s="27"/>
      <c r="B23" s="28"/>
      <c r="C23" s="29"/>
      <c r="D23" s="30"/>
      <c r="E23" s="30"/>
      <c r="F23" s="30"/>
      <c r="G23" s="30"/>
      <c r="H23" s="30"/>
      <c r="I23" s="30"/>
      <c r="J23" s="30"/>
    </row>
    <row r="24" spans="1:13" ht="24" thickBot="1" x14ac:dyDescent="0.4">
      <c r="A24" s="31" t="s">
        <v>12</v>
      </c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15.75" thickBot="1" x14ac:dyDescent="0.3">
      <c r="A25" s="32" t="s">
        <v>13</v>
      </c>
      <c r="B25" s="4" t="s">
        <v>1</v>
      </c>
      <c r="C25" s="33" t="s">
        <v>14</v>
      </c>
      <c r="D25" s="33" t="s">
        <v>3</v>
      </c>
      <c r="E25" s="33" t="s">
        <v>4</v>
      </c>
      <c r="F25" s="4" t="s">
        <v>5</v>
      </c>
      <c r="G25" s="4" t="s">
        <v>6</v>
      </c>
      <c r="H25" s="4" t="s">
        <v>15</v>
      </c>
      <c r="I25" s="4" t="s">
        <v>8</v>
      </c>
      <c r="J25" s="34" t="s">
        <v>9</v>
      </c>
    </row>
    <row r="26" spans="1:13" ht="15.75" thickBot="1" x14ac:dyDescent="0.3">
      <c r="A26" s="316" t="s">
        <v>485</v>
      </c>
      <c r="B26" s="21" t="s">
        <v>486</v>
      </c>
      <c r="C26" s="21">
        <v>46054</v>
      </c>
      <c r="D26" s="35"/>
      <c r="E26" s="36"/>
      <c r="F26" s="35">
        <v>60</v>
      </c>
      <c r="G26" s="35"/>
      <c r="H26" s="37"/>
      <c r="I26" s="37"/>
      <c r="J26" s="38">
        <f>SUM(D26:I26)</f>
        <v>60</v>
      </c>
    </row>
    <row r="27" spans="1:13" ht="15.75" thickBot="1" x14ac:dyDescent="0.3">
      <c r="A27" s="6" t="s">
        <v>494</v>
      </c>
      <c r="B27" s="21" t="s">
        <v>496</v>
      </c>
      <c r="C27" s="318">
        <v>45962</v>
      </c>
      <c r="D27" s="35"/>
      <c r="E27" s="35"/>
      <c r="F27" s="35">
        <v>30</v>
      </c>
      <c r="G27" s="35"/>
      <c r="H27" s="37"/>
      <c r="I27" s="37"/>
      <c r="J27" s="38">
        <f t="shared" ref="J27:J29" si="2">SUM(D27:I27)</f>
        <v>30</v>
      </c>
    </row>
    <row r="28" spans="1:13" ht="15.75" thickBot="1" x14ac:dyDescent="0.3">
      <c r="A28" s="400"/>
      <c r="B28" s="396"/>
      <c r="C28" s="7"/>
      <c r="D28" s="39"/>
      <c r="E28" s="39"/>
      <c r="F28" s="39"/>
      <c r="G28" s="39"/>
      <c r="H28" s="8"/>
      <c r="I28" s="8"/>
      <c r="J28" s="38">
        <f t="shared" si="2"/>
        <v>0</v>
      </c>
    </row>
    <row r="29" spans="1:13" ht="15.75" thickBot="1" x14ac:dyDescent="0.3">
      <c r="A29" s="4"/>
      <c r="B29" s="40"/>
      <c r="C29" s="7"/>
      <c r="D29" s="39"/>
      <c r="E29" s="39"/>
      <c r="F29" s="39"/>
      <c r="G29" s="39"/>
      <c r="H29" s="8"/>
      <c r="I29" s="8"/>
      <c r="J29" s="38">
        <f t="shared" si="2"/>
        <v>0</v>
      </c>
      <c r="L29" s="41" t="s">
        <v>16</v>
      </c>
      <c r="M29" s="42">
        <f>J30+J38</f>
        <v>90</v>
      </c>
    </row>
    <row r="30" spans="1:13" ht="15.75" thickBot="1" x14ac:dyDescent="0.3">
      <c r="A30" s="4" t="s">
        <v>9</v>
      </c>
      <c r="B30" s="43"/>
      <c r="C30" s="44"/>
      <c r="D30" s="45"/>
      <c r="E30" s="45"/>
      <c r="F30" s="45"/>
      <c r="G30" s="45"/>
      <c r="H30" s="45"/>
      <c r="I30" s="45"/>
      <c r="J30" s="12">
        <f>SUM(J26:J29)</f>
        <v>90</v>
      </c>
    </row>
    <row r="31" spans="1:13" ht="15.75" thickBot="1" x14ac:dyDescent="0.3">
      <c r="A31" s="28"/>
      <c r="B31" s="46"/>
      <c r="C31" s="47"/>
      <c r="D31" s="48"/>
      <c r="E31" s="48"/>
      <c r="F31" s="48"/>
      <c r="G31" s="48"/>
      <c r="H31" s="48"/>
      <c r="I31" s="48"/>
      <c r="J31" s="49"/>
    </row>
    <row r="32" spans="1:13" ht="24" thickBot="1" x14ac:dyDescent="0.4">
      <c r="A32" s="31" t="s">
        <v>12</v>
      </c>
      <c r="B32" s="28"/>
      <c r="C32" s="29"/>
      <c r="D32" s="30"/>
      <c r="E32" s="30"/>
      <c r="F32" s="30"/>
      <c r="G32" s="30"/>
      <c r="H32" s="30"/>
      <c r="I32" s="30"/>
      <c r="J32" s="30"/>
    </row>
    <row r="33" spans="1:13" ht="45.75" thickBot="1" x14ac:dyDescent="0.3">
      <c r="A33" s="50" t="s">
        <v>17</v>
      </c>
      <c r="B33" s="4" t="s">
        <v>18</v>
      </c>
      <c r="C33" s="33" t="s">
        <v>14</v>
      </c>
      <c r="D33" s="33" t="s">
        <v>3</v>
      </c>
      <c r="E33" s="33" t="s">
        <v>4</v>
      </c>
      <c r="F33" s="33" t="s">
        <v>19</v>
      </c>
      <c r="G33" s="33" t="s">
        <v>20</v>
      </c>
      <c r="H33" s="33" t="s">
        <v>15</v>
      </c>
      <c r="I33" s="51" t="s">
        <v>21</v>
      </c>
      <c r="J33" s="34" t="s">
        <v>9</v>
      </c>
    </row>
    <row r="34" spans="1:13" ht="15.75" thickBot="1" x14ac:dyDescent="0.3">
      <c r="A34" s="52"/>
      <c r="B34" s="17"/>
      <c r="C34" s="7"/>
      <c r="D34" s="8"/>
      <c r="E34" s="8"/>
      <c r="F34" s="8"/>
      <c r="G34" s="8"/>
      <c r="H34" s="8"/>
      <c r="I34" s="8"/>
      <c r="J34" s="5">
        <f t="shared" ref="J34:J37" si="3">SUM(D34:I34)</f>
        <v>0</v>
      </c>
    </row>
    <row r="35" spans="1:13" ht="15.75" thickBot="1" x14ac:dyDescent="0.3">
      <c r="A35" s="13"/>
      <c r="B35" s="21"/>
      <c r="C35" s="7"/>
      <c r="D35" s="35"/>
      <c r="E35" s="35"/>
      <c r="F35" s="35"/>
      <c r="G35" s="35"/>
      <c r="H35" s="37"/>
      <c r="I35" s="37"/>
      <c r="J35" s="38">
        <f t="shared" si="3"/>
        <v>0</v>
      </c>
    </row>
    <row r="36" spans="1:13" ht="15.75" thickBot="1" x14ac:dyDescent="0.3">
      <c r="A36" s="400"/>
      <c r="B36" s="396"/>
      <c r="C36" s="7"/>
      <c r="D36" s="39"/>
      <c r="E36" s="39"/>
      <c r="F36" s="39"/>
      <c r="G36" s="39"/>
      <c r="H36" s="8"/>
      <c r="I36" s="8"/>
      <c r="J36" s="38">
        <f t="shared" si="3"/>
        <v>0</v>
      </c>
    </row>
    <row r="37" spans="1:13" ht="15.75" thickBot="1" x14ac:dyDescent="0.3">
      <c r="A37" s="4"/>
      <c r="B37" s="40"/>
      <c r="C37" s="7"/>
      <c r="D37" s="39"/>
      <c r="E37" s="39"/>
      <c r="F37" s="39"/>
      <c r="G37" s="39"/>
      <c r="H37" s="8"/>
      <c r="I37" s="8"/>
      <c r="J37" s="38">
        <f t="shared" si="3"/>
        <v>0</v>
      </c>
      <c r="L37" s="53"/>
      <c r="M37" s="54"/>
    </row>
    <row r="38" spans="1:13" ht="15.75" thickBot="1" x14ac:dyDescent="0.3">
      <c r="A38" s="4" t="s">
        <v>9</v>
      </c>
      <c r="B38" s="43"/>
      <c r="C38" s="44"/>
      <c r="D38" s="45"/>
      <c r="E38" s="45"/>
      <c r="F38" s="45"/>
      <c r="G38" s="45"/>
      <c r="H38" s="45"/>
      <c r="I38" s="45"/>
      <c r="J38" s="12">
        <f>SUM(J34:J37)</f>
        <v>0</v>
      </c>
    </row>
    <row r="39" spans="1:13" x14ac:dyDescent="0.25">
      <c r="A39" s="28"/>
      <c r="B39" s="46"/>
      <c r="C39" s="47"/>
      <c r="D39" s="48"/>
      <c r="E39" s="48"/>
      <c r="F39" s="48"/>
      <c r="G39" s="48"/>
      <c r="H39" s="48"/>
      <c r="I39" s="48"/>
      <c r="J39" s="49"/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ht="15.75" thickBot="1" x14ac:dyDescent="0.3">
      <c r="A41" s="2"/>
      <c r="B41" s="2"/>
      <c r="C41" s="2"/>
      <c r="J41" s="3"/>
    </row>
    <row r="42" spans="1:13" ht="45.75" thickBot="1" x14ac:dyDescent="0.3">
      <c r="A42" s="33" t="s">
        <v>22</v>
      </c>
      <c r="B42" s="4" t="s">
        <v>18</v>
      </c>
      <c r="C42" s="33" t="s">
        <v>14</v>
      </c>
      <c r="D42" s="33" t="s">
        <v>3</v>
      </c>
      <c r="E42" s="33" t="s">
        <v>4</v>
      </c>
      <c r="F42" s="33" t="s">
        <v>19</v>
      </c>
      <c r="G42" s="33" t="s">
        <v>20</v>
      </c>
      <c r="H42" s="4" t="s">
        <v>21</v>
      </c>
      <c r="I42" s="51" t="s">
        <v>15</v>
      </c>
      <c r="J42" s="34" t="s">
        <v>9</v>
      </c>
    </row>
    <row r="43" spans="1:13" ht="15.75" thickBot="1" x14ac:dyDescent="0.3">
      <c r="A43" s="564" t="s">
        <v>500</v>
      </c>
      <c r="B43" s="566" t="s">
        <v>499</v>
      </c>
      <c r="C43" s="21">
        <v>45962</v>
      </c>
      <c r="D43" s="37">
        <v>17</v>
      </c>
      <c r="E43" s="55">
        <v>6</v>
      </c>
      <c r="F43" s="37"/>
      <c r="G43" s="37"/>
      <c r="H43" s="37"/>
      <c r="I43" s="37"/>
      <c r="J43" s="38">
        <f>SUM(D43:I43)</f>
        <v>23</v>
      </c>
    </row>
    <row r="44" spans="1:13" ht="15.75" thickBot="1" x14ac:dyDescent="0.3">
      <c r="A44" s="565"/>
      <c r="B44" s="567"/>
      <c r="C44" s="21">
        <v>45992</v>
      </c>
      <c r="D44" s="37">
        <v>14.6</v>
      </c>
      <c r="E44" s="37">
        <v>6</v>
      </c>
      <c r="F44" s="37"/>
      <c r="G44" s="37"/>
      <c r="H44" s="37"/>
      <c r="I44" s="37"/>
      <c r="J44" s="38">
        <f t="shared" ref="J44:J56" si="4">SUM(D44:I44)</f>
        <v>20.6</v>
      </c>
    </row>
    <row r="45" spans="1:13" ht="15.75" thickBot="1" x14ac:dyDescent="0.3">
      <c r="A45" s="396"/>
      <c r="B45" s="21"/>
      <c r="C45" s="21"/>
      <c r="D45" s="37"/>
      <c r="E45" s="37"/>
      <c r="F45" s="37"/>
      <c r="G45" s="37"/>
      <c r="H45" s="37"/>
      <c r="I45" s="37"/>
      <c r="J45" s="38">
        <f t="shared" si="4"/>
        <v>0</v>
      </c>
    </row>
    <row r="46" spans="1:13" ht="15.75" thickBot="1" x14ac:dyDescent="0.3">
      <c r="A46" s="40"/>
      <c r="B46" s="21"/>
      <c r="C46" s="21"/>
      <c r="D46" s="37"/>
      <c r="E46" s="37"/>
      <c r="F46" s="37"/>
      <c r="G46" s="37"/>
      <c r="H46" s="37"/>
      <c r="I46" s="37"/>
      <c r="J46" s="38">
        <f t="shared" si="4"/>
        <v>0</v>
      </c>
    </row>
    <row r="47" spans="1:13" ht="15.75" thickBot="1" x14ac:dyDescent="0.3">
      <c r="A47" s="40"/>
      <c r="B47" s="21"/>
      <c r="C47" s="21"/>
      <c r="D47" s="37"/>
      <c r="E47" s="37"/>
      <c r="F47" s="37"/>
      <c r="G47" s="37"/>
      <c r="H47" s="37"/>
      <c r="I47" s="37"/>
      <c r="J47" s="38">
        <f t="shared" si="4"/>
        <v>0</v>
      </c>
    </row>
    <row r="48" spans="1:13" ht="15.75" thickBot="1" x14ac:dyDescent="0.3">
      <c r="A48" s="396"/>
      <c r="B48" s="21"/>
      <c r="C48" s="21"/>
      <c r="D48" s="37"/>
      <c r="E48" s="37"/>
      <c r="F48" s="37"/>
      <c r="G48" s="37"/>
      <c r="H48" s="37"/>
      <c r="I48" s="37"/>
      <c r="J48" s="38">
        <f t="shared" si="4"/>
        <v>0</v>
      </c>
    </row>
    <row r="49" spans="1:10" ht="15.75" thickBot="1" x14ac:dyDescent="0.3">
      <c r="A49" s="396"/>
      <c r="B49" s="21"/>
      <c r="C49" s="21"/>
      <c r="D49" s="37"/>
      <c r="E49" s="37"/>
      <c r="F49" s="37"/>
      <c r="G49" s="37"/>
      <c r="H49" s="37"/>
      <c r="I49" s="37"/>
      <c r="J49" s="38">
        <f t="shared" si="4"/>
        <v>0</v>
      </c>
    </row>
    <row r="50" spans="1:10" ht="15.75" thickBot="1" x14ac:dyDescent="0.3">
      <c r="A50" s="396"/>
      <c r="B50" s="21"/>
      <c r="C50" s="21"/>
      <c r="D50" s="37"/>
      <c r="E50" s="37"/>
      <c r="F50" s="37"/>
      <c r="G50" s="37"/>
      <c r="H50" s="37"/>
      <c r="I50" s="37"/>
      <c r="J50" s="38">
        <f t="shared" si="4"/>
        <v>0</v>
      </c>
    </row>
    <row r="51" spans="1:10" ht="15.75" thickBot="1" x14ac:dyDescent="0.3">
      <c r="A51" s="396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396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56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40"/>
      <c r="B54" s="21"/>
      <c r="C54" s="21"/>
      <c r="D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E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57"/>
      <c r="E56" s="57"/>
      <c r="F56" s="57"/>
      <c r="G56" s="57"/>
      <c r="H56" s="57"/>
      <c r="I56" s="57"/>
      <c r="J56" s="38">
        <f t="shared" si="4"/>
        <v>0</v>
      </c>
    </row>
    <row r="57" spans="1:10" ht="19.5" thickBot="1" x14ac:dyDescent="0.35">
      <c r="A57" s="23" t="s">
        <v>9</v>
      </c>
      <c r="B57" s="4"/>
      <c r="C57" s="24"/>
      <c r="D57" s="25">
        <f t="shared" ref="D57:I57" si="5">SUM(D43:D56)</f>
        <v>31.6</v>
      </c>
      <c r="E57" s="25">
        <f t="shared" si="5"/>
        <v>12</v>
      </c>
      <c r="F57" s="25">
        <f t="shared" si="5"/>
        <v>0</v>
      </c>
      <c r="G57" s="25">
        <f t="shared" si="5"/>
        <v>0</v>
      </c>
      <c r="H57" s="25">
        <f t="shared" si="5"/>
        <v>0</v>
      </c>
      <c r="I57" s="25">
        <f t="shared" si="5"/>
        <v>0</v>
      </c>
      <c r="J57" s="25">
        <f>SUM(J43:J56)</f>
        <v>43.6</v>
      </c>
    </row>
    <row r="58" spans="1:10" ht="15.75" x14ac:dyDescent="0.25">
      <c r="A58" s="58"/>
      <c r="B58" s="58"/>
      <c r="C58" s="59"/>
      <c r="D58" s="60"/>
      <c r="E58" s="60"/>
      <c r="F58" s="60"/>
      <c r="G58" s="60"/>
      <c r="H58" s="60"/>
      <c r="I58" s="60"/>
      <c r="J58" s="60"/>
    </row>
    <row r="59" spans="1:10" ht="16.5" thickBot="1" x14ac:dyDescent="0.3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9.5" thickBot="1" x14ac:dyDescent="0.35">
      <c r="A60" s="554" t="s">
        <v>23</v>
      </c>
      <c r="B60" s="555"/>
      <c r="C60" s="61"/>
      <c r="D60" s="62"/>
      <c r="E60" s="62"/>
      <c r="F60" s="62"/>
      <c r="G60" s="62"/>
      <c r="H60" s="62"/>
      <c r="I60" s="62"/>
      <c r="J60" s="26">
        <f>+J22+J57</f>
        <v>1770.1</v>
      </c>
    </row>
    <row r="61" spans="1:10" x14ac:dyDescent="0.25">
      <c r="A61" s="2"/>
      <c r="B61" s="2"/>
      <c r="C61" s="63"/>
      <c r="D61" s="3"/>
      <c r="E61" s="3"/>
      <c r="F61" s="3"/>
      <c r="G61" s="3"/>
      <c r="H61" s="3"/>
      <c r="I61" s="3"/>
      <c r="J61" s="3"/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ht="16.5" thickBot="1" x14ac:dyDescent="0.3">
      <c r="A63" s="64" t="s">
        <v>24</v>
      </c>
      <c r="B63" s="2"/>
      <c r="C63" s="63"/>
      <c r="D63" s="3"/>
      <c r="E63" s="3"/>
      <c r="F63" s="3"/>
      <c r="G63" s="3"/>
      <c r="H63" s="3"/>
      <c r="I63" s="3"/>
      <c r="J63" s="3"/>
    </row>
    <row r="64" spans="1:10" ht="19.5" thickBot="1" x14ac:dyDescent="0.35">
      <c r="A64" s="65" t="s">
        <v>25</v>
      </c>
      <c r="B64" s="66"/>
      <c r="C64" s="67"/>
      <c r="D64" s="68"/>
      <c r="E64" s="68"/>
      <c r="F64" s="68"/>
      <c r="G64" s="68"/>
      <c r="H64" s="68"/>
      <c r="I64" s="68"/>
      <c r="J64" s="26"/>
    </row>
    <row r="65" spans="1:10" ht="19.5" thickBot="1" x14ac:dyDescent="0.35">
      <c r="A65" s="65" t="s">
        <v>26</v>
      </c>
      <c r="B65" s="66"/>
      <c r="C65" s="69"/>
      <c r="D65" s="68"/>
      <c r="E65" s="68"/>
      <c r="F65" s="68"/>
      <c r="G65" s="68"/>
      <c r="H65" s="68"/>
      <c r="I65" s="68"/>
      <c r="J65" s="26"/>
    </row>
    <row r="66" spans="1:10" ht="18.75" x14ac:dyDescent="0.3">
      <c r="A66" s="70"/>
      <c r="B66" s="70"/>
      <c r="C66" s="71"/>
      <c r="D66" s="72"/>
      <c r="E66" s="72"/>
      <c r="F66" s="72"/>
      <c r="G66" s="72"/>
      <c r="H66" s="72"/>
      <c r="I66" s="72"/>
      <c r="J66" s="30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6.5" thickBot="1" x14ac:dyDescent="0.3">
      <c r="A68" s="73" t="s">
        <v>27</v>
      </c>
      <c r="B68" s="74"/>
      <c r="C68" s="63"/>
      <c r="D68" s="3"/>
      <c r="E68" s="3"/>
      <c r="F68" s="3"/>
      <c r="G68" s="3"/>
      <c r="H68" s="3"/>
      <c r="I68" s="3"/>
      <c r="J68" s="3"/>
    </row>
    <row r="69" spans="1:10" ht="19.5" thickBot="1" x14ac:dyDescent="0.35">
      <c r="A69" s="75" t="s">
        <v>28</v>
      </c>
      <c r="B69" s="76"/>
      <c r="C69" s="77"/>
      <c r="D69" s="78"/>
      <c r="E69" s="78"/>
      <c r="F69" s="78"/>
      <c r="G69" s="78"/>
      <c r="H69" s="78"/>
      <c r="I69" s="78"/>
      <c r="J69" s="79">
        <v>455</v>
      </c>
    </row>
    <row r="70" spans="1:10" x14ac:dyDescent="0.25">
      <c r="A70" s="80"/>
      <c r="B70" s="2"/>
      <c r="C70" s="63"/>
      <c r="D70" s="3"/>
      <c r="E70" s="3"/>
      <c r="F70" s="3"/>
      <c r="G70" s="3"/>
      <c r="H70" s="3"/>
      <c r="I70" s="3"/>
      <c r="J70" s="3"/>
    </row>
    <row r="71" spans="1:10" ht="16.5" thickBot="1" x14ac:dyDescent="0.3">
      <c r="A71" s="73"/>
      <c r="B71" s="74"/>
      <c r="C71" s="63"/>
      <c r="D71" s="3"/>
      <c r="E71" s="3"/>
      <c r="F71" s="3"/>
      <c r="G71" s="3"/>
      <c r="H71" s="3"/>
      <c r="I71" s="3"/>
      <c r="J71" s="3"/>
    </row>
    <row r="72" spans="1:10" ht="19.5" thickBot="1" x14ac:dyDescent="0.35">
      <c r="A72" s="75" t="s">
        <v>29</v>
      </c>
      <c r="B72" s="76"/>
      <c r="C72" s="81"/>
      <c r="D72" s="78"/>
      <c r="E72" s="78"/>
      <c r="F72" s="78"/>
      <c r="G72" s="78"/>
      <c r="H72" s="78"/>
      <c r="I72" s="78"/>
      <c r="J72" s="82"/>
    </row>
    <row r="73" spans="1:10" ht="15.75" thickBot="1" x14ac:dyDescent="0.3">
      <c r="A73" s="80"/>
      <c r="B73" s="2"/>
      <c r="C73" s="63"/>
      <c r="D73" s="3"/>
      <c r="E73" s="3"/>
      <c r="F73" s="3"/>
      <c r="G73" s="3"/>
      <c r="H73" s="3"/>
      <c r="I73" s="3"/>
      <c r="J73" s="3"/>
    </row>
    <row r="74" spans="1:10" ht="21.75" thickBot="1" x14ac:dyDescent="0.4">
      <c r="A74" s="556" t="s">
        <v>30</v>
      </c>
      <c r="B74" s="557"/>
      <c r="C74" s="83"/>
      <c r="D74" s="84"/>
      <c r="E74" s="84"/>
      <c r="F74" s="84"/>
      <c r="G74" s="84"/>
      <c r="H74" s="84"/>
      <c r="I74" s="84"/>
      <c r="J74" s="85">
        <f>SUM(J60:J73)</f>
        <v>2225.1</v>
      </c>
    </row>
    <row r="75" spans="1:10" x14ac:dyDescent="0.25">
      <c r="A75" s="2"/>
      <c r="B75" s="2"/>
      <c r="C75" s="63"/>
      <c r="D75" s="3"/>
      <c r="E75" s="3"/>
      <c r="F75" s="3"/>
      <c r="G75" s="3"/>
      <c r="H75" s="3"/>
      <c r="I75" s="3"/>
      <c r="J75" s="3"/>
    </row>
    <row r="76" spans="1:10" ht="21" x14ac:dyDescent="0.35">
      <c r="A76" s="553" t="s">
        <v>482</v>
      </c>
      <c r="B76" s="553"/>
      <c r="C76" s="553"/>
      <c r="D76" s="553"/>
      <c r="E76" s="553"/>
      <c r="F76" s="553"/>
      <c r="G76" s="553"/>
      <c r="H76" s="553"/>
      <c r="I76" s="553"/>
      <c r="J76" s="553"/>
    </row>
    <row r="77" spans="1:10" ht="21.75" thickBot="1" x14ac:dyDescent="0.4">
      <c r="A77" s="395" t="s">
        <v>31</v>
      </c>
      <c r="B77" s="395"/>
      <c r="C77" s="395"/>
      <c r="D77" s="395"/>
      <c r="E77" s="395"/>
      <c r="F77" s="395"/>
      <c r="G77" s="395"/>
      <c r="H77" s="395"/>
      <c r="I77" s="395"/>
      <c r="J77" s="87"/>
    </row>
    <row r="78" spans="1:10" ht="15.75" thickBot="1" x14ac:dyDescent="0.3">
      <c r="A78" s="88" t="s">
        <v>32</v>
      </c>
      <c r="B78" s="89" t="s">
        <v>33</v>
      </c>
      <c r="C78" s="558" t="s">
        <v>2</v>
      </c>
      <c r="D78" s="559"/>
      <c r="E78" s="559"/>
      <c r="F78" s="559"/>
      <c r="G78" s="559"/>
      <c r="H78" s="559"/>
      <c r="I78" s="560"/>
      <c r="J78" s="90" t="s">
        <v>9</v>
      </c>
    </row>
    <row r="79" spans="1:10" ht="15.75" thickBot="1" x14ac:dyDescent="0.3">
      <c r="A79" s="91" t="s">
        <v>487</v>
      </c>
      <c r="B79" s="92" t="s">
        <v>488</v>
      </c>
      <c r="C79" s="550" t="s">
        <v>489</v>
      </c>
      <c r="D79" s="551"/>
      <c r="E79" s="551"/>
      <c r="F79" s="551"/>
      <c r="G79" s="551"/>
      <c r="H79" s="551"/>
      <c r="I79" s="551"/>
      <c r="J79" s="22">
        <v>5</v>
      </c>
    </row>
    <row r="80" spans="1:10" ht="15.75" thickBot="1" x14ac:dyDescent="0.3">
      <c r="A80" s="564" t="s">
        <v>95</v>
      </c>
      <c r="B80" s="92" t="s">
        <v>491</v>
      </c>
      <c r="C80" s="550" t="s">
        <v>493</v>
      </c>
      <c r="D80" s="551"/>
      <c r="E80" s="551"/>
      <c r="F80" s="551"/>
      <c r="G80" s="551"/>
      <c r="H80" s="552"/>
      <c r="I80" s="552"/>
      <c r="J80" s="22">
        <v>1000</v>
      </c>
    </row>
    <row r="81" spans="1:10" ht="15.75" thickBot="1" x14ac:dyDescent="0.3">
      <c r="A81" s="565"/>
      <c r="B81" s="92" t="s">
        <v>492</v>
      </c>
      <c r="C81" s="550" t="s">
        <v>493</v>
      </c>
      <c r="D81" s="551"/>
      <c r="E81" s="551"/>
      <c r="F81" s="551"/>
      <c r="G81" s="551"/>
      <c r="H81" s="552"/>
      <c r="I81" s="552"/>
      <c r="J81" s="93">
        <v>500</v>
      </c>
    </row>
    <row r="82" spans="1:10" ht="15.75" thickBot="1" x14ac:dyDescent="0.3">
      <c r="A82" s="40" t="s">
        <v>129</v>
      </c>
      <c r="B82" s="92">
        <v>986</v>
      </c>
      <c r="C82" s="550" t="s">
        <v>501</v>
      </c>
      <c r="D82" s="551"/>
      <c r="E82" s="551"/>
      <c r="F82" s="551"/>
      <c r="G82" s="551"/>
      <c r="H82" s="552"/>
      <c r="I82" s="552"/>
      <c r="J82" s="22">
        <v>3</v>
      </c>
    </row>
    <row r="83" spans="1:10" ht="15.75" thickBot="1" x14ac:dyDescent="0.3">
      <c r="A83" s="40" t="s">
        <v>502</v>
      </c>
      <c r="B83" s="92" t="s">
        <v>503</v>
      </c>
      <c r="C83" s="550" t="s">
        <v>504</v>
      </c>
      <c r="D83" s="551"/>
      <c r="E83" s="551"/>
      <c r="F83" s="551"/>
      <c r="G83" s="551"/>
      <c r="H83" s="552"/>
      <c r="I83" s="552"/>
      <c r="J83" s="22">
        <v>6.5</v>
      </c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22"/>
    </row>
    <row r="85" spans="1:10" ht="15.75" thickBot="1" x14ac:dyDescent="0.3">
      <c r="A85" s="40"/>
      <c r="B85" s="92"/>
      <c r="C85" s="550"/>
      <c r="D85" s="551"/>
      <c r="E85" s="551"/>
      <c r="F85" s="551"/>
      <c r="G85" s="551"/>
      <c r="H85" s="552"/>
      <c r="I85" s="552"/>
      <c r="J85" s="22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22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37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9.5" thickBot="1" x14ac:dyDescent="0.35">
      <c r="A92" s="94" t="s">
        <v>34</v>
      </c>
      <c r="B92" s="554"/>
      <c r="C92" s="563"/>
      <c r="D92" s="563"/>
      <c r="E92" s="563"/>
      <c r="F92" s="563"/>
      <c r="G92" s="563"/>
      <c r="H92" s="563"/>
      <c r="I92" s="563"/>
      <c r="J92" s="95">
        <f>SUM(J79:J91)</f>
        <v>1514.5</v>
      </c>
    </row>
    <row r="93" spans="1:10" ht="18.75" x14ac:dyDescent="0.3">
      <c r="A93" s="27"/>
      <c r="B93" s="27"/>
      <c r="C93" s="96"/>
      <c r="D93" s="96"/>
      <c r="E93" s="96"/>
      <c r="F93" s="97"/>
      <c r="G93" s="96"/>
      <c r="H93" s="96"/>
      <c r="I93" s="96"/>
      <c r="J93" s="30"/>
    </row>
    <row r="94" spans="1:10" ht="18.75" x14ac:dyDescent="0.3">
      <c r="A94" s="27"/>
      <c r="B94" s="27"/>
      <c r="C94" s="96"/>
      <c r="D94" s="96"/>
      <c r="E94" s="96"/>
      <c r="F94" s="97"/>
      <c r="G94" s="96"/>
      <c r="H94" s="96"/>
      <c r="I94" s="96"/>
      <c r="J94" s="30"/>
    </row>
    <row r="95" spans="1:10" ht="18.75" x14ac:dyDescent="0.3">
      <c r="A95" s="58" t="s">
        <v>35</v>
      </c>
      <c r="B95" s="27"/>
      <c r="C95" s="2"/>
      <c r="D95" s="3"/>
      <c r="F95" s="3"/>
      <c r="J95" s="3"/>
    </row>
    <row r="96" spans="1:10" x14ac:dyDescent="0.25">
      <c r="A96" s="2" t="s">
        <v>36</v>
      </c>
      <c r="B96" s="63">
        <f>+J74</f>
        <v>2225.1</v>
      </c>
      <c r="C96" s="98"/>
      <c r="D96" s="3"/>
      <c r="F96" s="3"/>
      <c r="J96" s="3"/>
    </row>
    <row r="97" spans="1:10" ht="15.75" thickBot="1" x14ac:dyDescent="0.3">
      <c r="A97" s="2" t="s">
        <v>34</v>
      </c>
      <c r="B97" s="99">
        <f>+J92</f>
        <v>1514.5</v>
      </c>
      <c r="C97" s="100"/>
      <c r="D97" s="3"/>
      <c r="F97" s="3"/>
      <c r="G97" s="101"/>
      <c r="H97" s="101"/>
      <c r="I97" s="102"/>
      <c r="J97" s="102"/>
    </row>
    <row r="98" spans="1:10" ht="17.25" thickTop="1" thickBot="1" x14ac:dyDescent="0.3">
      <c r="A98" s="58" t="s">
        <v>37</v>
      </c>
      <c r="B98" s="103">
        <f>++B96-B97</f>
        <v>710.59999999999991</v>
      </c>
      <c r="C98" s="104"/>
      <c r="D98" s="105"/>
      <c r="E98" s="106"/>
      <c r="F98" s="105"/>
      <c r="G98" s="107"/>
      <c r="H98" s="107"/>
      <c r="I98" s="3"/>
    </row>
    <row r="99" spans="1:10" ht="15.75" thickTop="1" x14ac:dyDescent="0.25"/>
  </sheetData>
  <mergeCells count="22">
    <mergeCell ref="C79:I79"/>
    <mergeCell ref="A1:J1"/>
    <mergeCell ref="A60:B60"/>
    <mergeCell ref="A74:B74"/>
    <mergeCell ref="A76:J76"/>
    <mergeCell ref="C78:I78"/>
    <mergeCell ref="B92:I92"/>
    <mergeCell ref="A80:A81"/>
    <mergeCell ref="A43:A44"/>
    <mergeCell ref="B43:B44"/>
    <mergeCell ref="C86:I86"/>
    <mergeCell ref="C87:I87"/>
    <mergeCell ref="C88:I88"/>
    <mergeCell ref="C89:I89"/>
    <mergeCell ref="C90:I90"/>
    <mergeCell ref="C91:I91"/>
    <mergeCell ref="C80:I80"/>
    <mergeCell ref="C81:I81"/>
    <mergeCell ref="C82:I82"/>
    <mergeCell ref="C83:I83"/>
    <mergeCell ref="C84:I84"/>
    <mergeCell ref="C85:I85"/>
  </mergeCells>
  <phoneticPr fontId="13" type="noConversion"/>
  <pageMargins left="0.17" right="0.17" top="0.17" bottom="0.17" header="0.17" footer="0.17"/>
  <pageSetup paperSize="9" scale="49" fitToWidth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8967-B406-484E-9B18-8BEAECD6B7D9}">
  <sheetPr>
    <pageSetUpPr fitToPage="1"/>
  </sheetPr>
  <dimension ref="A1:O100"/>
  <sheetViews>
    <sheetView topLeftCell="A19" workbookViewId="0">
      <selection activeCell="J70" sqref="J70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0" max="10" width="14" bestFit="1" customWidth="1"/>
    <col min="12" max="12" width="12.42578125" customWidth="1"/>
  </cols>
  <sheetData>
    <row r="1" spans="1:10" ht="21" x14ac:dyDescent="0.35">
      <c r="A1" s="553" t="s">
        <v>506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30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10</v>
      </c>
      <c r="B4" s="6" t="s">
        <v>512</v>
      </c>
      <c r="C4" s="7">
        <v>46054</v>
      </c>
      <c r="D4" s="8"/>
      <c r="E4" s="8"/>
      <c r="F4" s="8"/>
      <c r="G4" s="8"/>
      <c r="H4" s="8"/>
      <c r="I4" s="8">
        <v>10</v>
      </c>
      <c r="J4" s="5">
        <f>SUM(D4:I4)</f>
        <v>10</v>
      </c>
    </row>
    <row r="5" spans="1:10" ht="15.75" thickBot="1" x14ac:dyDescent="0.3">
      <c r="A5" s="591" t="s">
        <v>476</v>
      </c>
      <c r="B5" s="591" t="s">
        <v>516</v>
      </c>
      <c r="C5" s="7">
        <v>45901</v>
      </c>
      <c r="D5" s="8">
        <v>10</v>
      </c>
      <c r="E5" s="8">
        <v>4</v>
      </c>
      <c r="F5" s="8"/>
      <c r="G5" s="8"/>
      <c r="H5" s="8"/>
      <c r="I5" s="8"/>
      <c r="J5" s="5">
        <f t="shared" ref="J5:J22" si="0">SUM(D5:I5)</f>
        <v>14</v>
      </c>
    </row>
    <row r="6" spans="1:10" ht="15.75" thickBot="1" x14ac:dyDescent="0.3">
      <c r="A6" s="593"/>
      <c r="B6" s="593"/>
      <c r="C6" s="7">
        <v>45931</v>
      </c>
      <c r="D6" s="8">
        <v>10</v>
      </c>
      <c r="E6" s="8">
        <v>6</v>
      </c>
      <c r="F6" s="8"/>
      <c r="G6" s="8"/>
      <c r="H6" s="8"/>
      <c r="I6" s="8"/>
      <c r="J6" s="5">
        <f t="shared" si="0"/>
        <v>16</v>
      </c>
    </row>
    <row r="7" spans="1:10" ht="15.75" thickBot="1" x14ac:dyDescent="0.3">
      <c r="A7" s="593"/>
      <c r="B7" s="593"/>
      <c r="C7" s="7">
        <v>45962</v>
      </c>
      <c r="D7" s="8">
        <v>10</v>
      </c>
      <c r="E7" s="8">
        <v>5</v>
      </c>
      <c r="F7" s="8"/>
      <c r="G7" s="8"/>
      <c r="H7" s="8"/>
      <c r="I7" s="8"/>
      <c r="J7" s="5">
        <f t="shared" si="0"/>
        <v>15</v>
      </c>
    </row>
    <row r="8" spans="1:10" ht="15.75" thickBot="1" x14ac:dyDescent="0.3">
      <c r="A8" s="592"/>
      <c r="B8" s="592"/>
      <c r="C8" s="7">
        <v>45992</v>
      </c>
      <c r="D8" s="8">
        <v>10</v>
      </c>
      <c r="E8" s="8">
        <v>5</v>
      </c>
      <c r="F8" s="8"/>
      <c r="G8" s="8"/>
      <c r="H8" s="8"/>
      <c r="I8" s="8"/>
      <c r="J8" s="5">
        <f t="shared" si="0"/>
        <v>15</v>
      </c>
    </row>
    <row r="9" spans="1:10" ht="15.75" thickBot="1" x14ac:dyDescent="0.3">
      <c r="A9" s="405"/>
      <c r="B9" s="405"/>
      <c r="C9" s="7"/>
      <c r="D9" s="8"/>
      <c r="E9" s="8"/>
      <c r="F9" s="8"/>
      <c r="G9" s="8"/>
      <c r="H9" s="8"/>
      <c r="I9" s="8"/>
      <c r="J9" s="5"/>
    </row>
    <row r="10" spans="1:10" ht="30.75" thickBot="1" x14ac:dyDescent="0.3">
      <c r="A10" s="186" t="s">
        <v>519</v>
      </c>
      <c r="B10" s="6" t="s">
        <v>520</v>
      </c>
      <c r="C10" s="7">
        <v>46054</v>
      </c>
      <c r="D10" s="8"/>
      <c r="E10" s="8"/>
      <c r="F10" s="8"/>
      <c r="G10" s="8">
        <v>30</v>
      </c>
      <c r="H10" s="8"/>
      <c r="I10" s="8"/>
      <c r="J10" s="5">
        <f t="shared" si="0"/>
        <v>30</v>
      </c>
    </row>
    <row r="11" spans="1:10" ht="15.75" thickBot="1" x14ac:dyDescent="0.3">
      <c r="A11" s="6" t="s">
        <v>7</v>
      </c>
      <c r="B11" s="6" t="s">
        <v>529</v>
      </c>
      <c r="C11" s="7">
        <v>46054</v>
      </c>
      <c r="D11" s="8"/>
      <c r="E11" s="8"/>
      <c r="F11" s="8"/>
      <c r="G11" s="8"/>
      <c r="H11" s="8">
        <v>48</v>
      </c>
      <c r="I11" s="8"/>
      <c r="J11" s="5">
        <f t="shared" si="0"/>
        <v>48</v>
      </c>
    </row>
    <row r="12" spans="1:10" ht="15.75" thickBot="1" x14ac:dyDescent="0.3">
      <c r="A12" s="9"/>
      <c r="B12" s="6"/>
      <c r="C12" s="7"/>
      <c r="D12" s="8"/>
      <c r="E12" s="8"/>
      <c r="F12" s="8"/>
      <c r="G12" s="8"/>
      <c r="H12" s="8"/>
      <c r="I12" s="8"/>
      <c r="J12" s="5">
        <f t="shared" si="0"/>
        <v>0</v>
      </c>
    </row>
    <row r="13" spans="1:10" ht="15.75" thickBot="1" x14ac:dyDescent="0.3">
      <c r="A13" s="9"/>
      <c r="B13" s="404"/>
      <c r="C13" s="7"/>
      <c r="D13" s="8"/>
      <c r="E13" s="8"/>
      <c r="F13" s="8"/>
      <c r="G13" s="8"/>
      <c r="H13" s="8"/>
      <c r="I13" s="11"/>
      <c r="J13" s="12">
        <f t="shared" si="0"/>
        <v>0</v>
      </c>
    </row>
    <row r="14" spans="1:10" ht="15.75" thickBot="1" x14ac:dyDescent="0.3">
      <c r="A14" s="6"/>
      <c r="B14" s="6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3"/>
      <c r="B15" s="405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15"/>
      <c r="B16" s="13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403"/>
      <c r="B17" s="403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403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7"/>
      <c r="B19" s="403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18"/>
      <c r="B20" s="403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406"/>
      <c r="B21" s="406"/>
      <c r="C21" s="7"/>
      <c r="D21" s="8"/>
      <c r="E21" s="8"/>
      <c r="F21" s="8"/>
      <c r="G21" s="8"/>
      <c r="H21" s="8"/>
      <c r="I21" s="8"/>
      <c r="J21" s="5">
        <f t="shared" si="0"/>
        <v>0</v>
      </c>
    </row>
    <row r="22" spans="1:13" ht="15.75" thickBot="1" x14ac:dyDescent="0.3">
      <c r="A22" s="403"/>
      <c r="B22" s="402"/>
      <c r="C22" s="21"/>
      <c r="D22" s="22"/>
      <c r="E22" s="22"/>
      <c r="F22" s="22"/>
      <c r="G22" s="22"/>
      <c r="H22" s="22"/>
      <c r="I22" s="22"/>
      <c r="J22" s="5">
        <f t="shared" si="0"/>
        <v>0</v>
      </c>
    </row>
    <row r="23" spans="1:13" ht="19.5" thickBot="1" x14ac:dyDescent="0.35">
      <c r="A23" s="23" t="s">
        <v>9</v>
      </c>
      <c r="B23" s="4"/>
      <c r="C23" s="24"/>
      <c r="D23" s="25">
        <f t="shared" ref="D23:J23" si="1">SUM(D4:D22)</f>
        <v>40</v>
      </c>
      <c r="E23" s="25">
        <f t="shared" si="1"/>
        <v>20</v>
      </c>
      <c r="F23" s="25">
        <f t="shared" si="1"/>
        <v>0</v>
      </c>
      <c r="G23" s="25">
        <f t="shared" si="1"/>
        <v>30</v>
      </c>
      <c r="H23" s="25">
        <f t="shared" si="1"/>
        <v>48</v>
      </c>
      <c r="I23" s="25">
        <f t="shared" si="1"/>
        <v>10</v>
      </c>
      <c r="J23" s="26">
        <f t="shared" si="1"/>
        <v>148</v>
      </c>
    </row>
    <row r="24" spans="1:13" ht="19.5" thickBot="1" x14ac:dyDescent="0.35">
      <c r="A24" s="27"/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24" thickBot="1" x14ac:dyDescent="0.4">
      <c r="A25" s="31" t="s">
        <v>12</v>
      </c>
      <c r="B25" s="28"/>
      <c r="C25" s="29"/>
      <c r="D25" s="30"/>
      <c r="E25" s="30"/>
      <c r="F25" s="30"/>
      <c r="G25" s="30"/>
      <c r="H25" s="30"/>
      <c r="I25" s="30"/>
      <c r="J25" s="30"/>
    </row>
    <row r="26" spans="1:13" ht="15.75" thickBot="1" x14ac:dyDescent="0.3">
      <c r="A26" s="32" t="s">
        <v>13</v>
      </c>
      <c r="B26" s="4" t="s">
        <v>1</v>
      </c>
      <c r="C26" s="33" t="s">
        <v>14</v>
      </c>
      <c r="D26" s="33" t="s">
        <v>3</v>
      </c>
      <c r="E26" s="33" t="s">
        <v>4</v>
      </c>
      <c r="F26" s="4" t="s">
        <v>5</v>
      </c>
      <c r="G26" s="4" t="s">
        <v>6</v>
      </c>
      <c r="H26" s="4" t="s">
        <v>15</v>
      </c>
      <c r="I26" s="4" t="s">
        <v>8</v>
      </c>
      <c r="J26" s="34" t="s">
        <v>9</v>
      </c>
    </row>
    <row r="27" spans="1:13" ht="15.75" thickBot="1" x14ac:dyDescent="0.3">
      <c r="A27" s="406"/>
      <c r="B27" s="21"/>
      <c r="C27" s="21"/>
      <c r="D27" s="35"/>
      <c r="E27" s="36"/>
      <c r="F27" s="35"/>
      <c r="G27" s="35"/>
      <c r="H27" s="37"/>
      <c r="I27" s="37"/>
      <c r="J27" s="38">
        <f>SUM(D27:I27)</f>
        <v>0</v>
      </c>
    </row>
    <row r="28" spans="1:13" ht="15.75" thickBot="1" x14ac:dyDescent="0.3">
      <c r="A28" s="406"/>
      <c r="B28" s="21"/>
      <c r="C28" s="21"/>
      <c r="D28" s="35"/>
      <c r="E28" s="35"/>
      <c r="F28" s="35"/>
      <c r="G28" s="35"/>
      <c r="H28" s="37"/>
      <c r="I28" s="37"/>
      <c r="J28" s="38">
        <f t="shared" ref="J28:J30" si="2">SUM(D28:I28)</f>
        <v>0</v>
      </c>
    </row>
    <row r="29" spans="1:13" ht="15.75" thickBot="1" x14ac:dyDescent="0.3">
      <c r="A29" s="406"/>
      <c r="B29" s="403"/>
      <c r="C29" s="7"/>
      <c r="D29" s="39"/>
      <c r="E29" s="39"/>
      <c r="F29" s="39"/>
      <c r="G29" s="39"/>
      <c r="H29" s="8"/>
      <c r="I29" s="8"/>
      <c r="J29" s="38">
        <f t="shared" si="2"/>
        <v>0</v>
      </c>
    </row>
    <row r="30" spans="1:13" ht="15.75" thickBot="1" x14ac:dyDescent="0.3">
      <c r="A30" s="4"/>
      <c r="B30" s="40"/>
      <c r="C30" s="7"/>
      <c r="D30" s="39"/>
      <c r="E30" s="39"/>
      <c r="F30" s="39"/>
      <c r="G30" s="39"/>
      <c r="H30" s="8"/>
      <c r="I30" s="8"/>
      <c r="J30" s="38">
        <f t="shared" si="2"/>
        <v>0</v>
      </c>
      <c r="L30" s="41" t="s">
        <v>16</v>
      </c>
      <c r="M30" s="42">
        <f>J31+J39</f>
        <v>0</v>
      </c>
    </row>
    <row r="31" spans="1:13" ht="15.75" thickBot="1" x14ac:dyDescent="0.3">
      <c r="A31" s="4" t="s">
        <v>9</v>
      </c>
      <c r="B31" s="43"/>
      <c r="C31" s="44"/>
      <c r="D31" s="45"/>
      <c r="E31" s="45"/>
      <c r="F31" s="45"/>
      <c r="G31" s="45"/>
      <c r="H31" s="45"/>
      <c r="I31" s="45"/>
      <c r="J31" s="12">
        <f>SUM(J27:J30)</f>
        <v>0</v>
      </c>
    </row>
    <row r="32" spans="1:13" ht="15.75" thickBot="1" x14ac:dyDescent="0.3">
      <c r="A32" s="28"/>
      <c r="B32" s="46"/>
      <c r="C32" s="47"/>
      <c r="D32" s="48"/>
      <c r="E32" s="48"/>
      <c r="F32" s="48"/>
      <c r="G32" s="48"/>
      <c r="H32" s="48"/>
      <c r="I32" s="48"/>
      <c r="J32" s="49"/>
    </row>
    <row r="33" spans="1:13" ht="24" thickBot="1" x14ac:dyDescent="0.4">
      <c r="A33" s="31" t="s">
        <v>12</v>
      </c>
      <c r="B33" s="28"/>
      <c r="C33" s="29"/>
      <c r="D33" s="30"/>
      <c r="E33" s="30"/>
      <c r="F33" s="30"/>
      <c r="G33" s="30"/>
      <c r="H33" s="30"/>
      <c r="I33" s="30"/>
      <c r="J33" s="30"/>
    </row>
    <row r="34" spans="1:13" ht="45.75" thickBot="1" x14ac:dyDescent="0.3">
      <c r="A34" s="50" t="s">
        <v>17</v>
      </c>
      <c r="B34" s="4" t="s">
        <v>18</v>
      </c>
      <c r="C34" s="33" t="s">
        <v>14</v>
      </c>
      <c r="D34" s="33" t="s">
        <v>3</v>
      </c>
      <c r="E34" s="33" t="s">
        <v>4</v>
      </c>
      <c r="F34" s="33" t="s">
        <v>19</v>
      </c>
      <c r="G34" s="33" t="s">
        <v>20</v>
      </c>
      <c r="H34" s="33" t="s">
        <v>15</v>
      </c>
      <c r="I34" s="51" t="s">
        <v>21</v>
      </c>
      <c r="J34" s="34" t="s">
        <v>9</v>
      </c>
    </row>
    <row r="35" spans="1:13" ht="15.75" thickBot="1" x14ac:dyDescent="0.3">
      <c r="A35" s="52"/>
      <c r="B35" s="17"/>
      <c r="C35" s="7"/>
      <c r="D35" s="8"/>
      <c r="E35" s="8"/>
      <c r="F35" s="8"/>
      <c r="G35" s="8"/>
      <c r="H35" s="8"/>
      <c r="I35" s="8"/>
      <c r="J35" s="5">
        <f t="shared" ref="J35:J38" si="3">SUM(D35:I35)</f>
        <v>0</v>
      </c>
    </row>
    <row r="36" spans="1:13" ht="15.75" thickBot="1" x14ac:dyDescent="0.3">
      <c r="A36" s="13"/>
      <c r="B36" s="21"/>
      <c r="C36" s="7"/>
      <c r="D36" s="35"/>
      <c r="E36" s="35"/>
      <c r="F36" s="35"/>
      <c r="G36" s="35"/>
      <c r="H36" s="37"/>
      <c r="I36" s="37"/>
      <c r="J36" s="38">
        <f t="shared" si="3"/>
        <v>0</v>
      </c>
    </row>
    <row r="37" spans="1:13" ht="15.75" thickBot="1" x14ac:dyDescent="0.3">
      <c r="A37" s="406"/>
      <c r="B37" s="403"/>
      <c r="C37" s="7"/>
      <c r="D37" s="39"/>
      <c r="E37" s="39"/>
      <c r="F37" s="39"/>
      <c r="G37" s="39"/>
      <c r="H37" s="8"/>
      <c r="I37" s="8"/>
      <c r="J37" s="38">
        <f t="shared" si="3"/>
        <v>0</v>
      </c>
    </row>
    <row r="38" spans="1:13" ht="15.75" thickBot="1" x14ac:dyDescent="0.3">
      <c r="A38" s="4"/>
      <c r="B38" s="40"/>
      <c r="C38" s="7"/>
      <c r="D38" s="39"/>
      <c r="E38" s="39"/>
      <c r="F38" s="39"/>
      <c r="G38" s="39"/>
      <c r="H38" s="8"/>
      <c r="I38" s="8"/>
      <c r="J38" s="38">
        <f t="shared" si="3"/>
        <v>0</v>
      </c>
      <c r="L38" s="53"/>
      <c r="M38" s="54"/>
    </row>
    <row r="39" spans="1:13" ht="15.75" thickBot="1" x14ac:dyDescent="0.3">
      <c r="A39" s="4" t="s">
        <v>9</v>
      </c>
      <c r="B39" s="43"/>
      <c r="C39" s="44"/>
      <c r="D39" s="45"/>
      <c r="E39" s="45"/>
      <c r="F39" s="45"/>
      <c r="G39" s="45"/>
      <c r="H39" s="45"/>
      <c r="I39" s="45"/>
      <c r="J39" s="12">
        <f>SUM(J35:J38)</f>
        <v>0</v>
      </c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x14ac:dyDescent="0.25">
      <c r="A41" s="28"/>
      <c r="B41" s="46"/>
      <c r="C41" s="47"/>
      <c r="D41" s="48"/>
      <c r="E41" s="48"/>
      <c r="F41" s="48"/>
      <c r="G41" s="48"/>
      <c r="H41" s="48"/>
      <c r="I41" s="48"/>
      <c r="J41" s="49"/>
    </row>
    <row r="42" spans="1:13" ht="15.75" thickBot="1" x14ac:dyDescent="0.3">
      <c r="A42" s="2"/>
      <c r="B42" s="2"/>
      <c r="C42" s="2"/>
      <c r="J42" s="3"/>
    </row>
    <row r="43" spans="1:13" ht="45.75" thickBot="1" x14ac:dyDescent="0.3">
      <c r="A43" s="33" t="s">
        <v>22</v>
      </c>
      <c r="B43" s="4" t="s">
        <v>18</v>
      </c>
      <c r="C43" s="33" t="s">
        <v>14</v>
      </c>
      <c r="D43" s="33" t="s">
        <v>3</v>
      </c>
      <c r="E43" s="33" t="s">
        <v>4</v>
      </c>
      <c r="F43" s="33" t="s">
        <v>19</v>
      </c>
      <c r="G43" s="33" t="s">
        <v>20</v>
      </c>
      <c r="H43" s="4" t="s">
        <v>21</v>
      </c>
      <c r="I43" s="51" t="s">
        <v>15</v>
      </c>
      <c r="J43" s="34" t="s">
        <v>9</v>
      </c>
    </row>
    <row r="44" spans="1:13" ht="15.75" thickBot="1" x14ac:dyDescent="0.3">
      <c r="A44" s="40" t="s">
        <v>508</v>
      </c>
      <c r="B44" s="21" t="s">
        <v>509</v>
      </c>
      <c r="C44" s="21">
        <v>45992</v>
      </c>
      <c r="D44" s="37">
        <v>299.89999999999998</v>
      </c>
      <c r="E44" s="55">
        <v>15</v>
      </c>
      <c r="F44" s="37"/>
      <c r="G44" s="37"/>
      <c r="H44" s="37"/>
      <c r="I44" s="37"/>
      <c r="J44" s="38">
        <f>SUM(D44:I44)</f>
        <v>314.89999999999998</v>
      </c>
    </row>
    <row r="45" spans="1:13" ht="15.75" thickBot="1" x14ac:dyDescent="0.3">
      <c r="A45" s="40" t="s">
        <v>510</v>
      </c>
      <c r="B45" s="21" t="s">
        <v>511</v>
      </c>
      <c r="C45" s="21">
        <v>45992</v>
      </c>
      <c r="D45" s="37">
        <v>45</v>
      </c>
      <c r="E45" s="37">
        <v>15</v>
      </c>
      <c r="F45" s="37"/>
      <c r="G45" s="37"/>
      <c r="H45" s="37"/>
      <c r="I45" s="37"/>
      <c r="J45" s="38">
        <f t="shared" ref="J45:J57" si="4">SUM(D45:I45)</f>
        <v>60</v>
      </c>
    </row>
    <row r="46" spans="1:13" ht="15.75" thickBot="1" x14ac:dyDescent="0.3">
      <c r="A46" s="564" t="s">
        <v>513</v>
      </c>
      <c r="B46" s="21" t="s">
        <v>514</v>
      </c>
      <c r="C46" s="21">
        <v>45992</v>
      </c>
      <c r="D46" s="37">
        <v>14.6</v>
      </c>
      <c r="E46" s="37">
        <v>6</v>
      </c>
      <c r="F46" s="37"/>
      <c r="G46" s="37"/>
      <c r="H46" s="37"/>
      <c r="I46" s="37"/>
      <c r="J46" s="38">
        <f t="shared" si="4"/>
        <v>20.6</v>
      </c>
    </row>
    <row r="47" spans="1:13" ht="15.75" thickBot="1" x14ac:dyDescent="0.3">
      <c r="A47" s="565"/>
      <c r="B47" s="21" t="s">
        <v>515</v>
      </c>
      <c r="C47" s="21">
        <v>46023</v>
      </c>
      <c r="D47" s="37"/>
      <c r="E47" s="37"/>
      <c r="F47" s="37">
        <v>60</v>
      </c>
      <c r="G47" s="37">
        <v>5</v>
      </c>
      <c r="H47" s="37"/>
      <c r="I47" s="37"/>
      <c r="J47" s="38">
        <f t="shared" si="4"/>
        <v>65</v>
      </c>
    </row>
    <row r="48" spans="1:13" ht="15.75" thickBot="1" x14ac:dyDescent="0.3">
      <c r="A48" s="564" t="s">
        <v>517</v>
      </c>
      <c r="B48" s="566" t="s">
        <v>518</v>
      </c>
      <c r="C48" s="21">
        <v>45962</v>
      </c>
      <c r="D48" s="37">
        <v>26.6</v>
      </c>
      <c r="E48" s="37">
        <v>8</v>
      </c>
      <c r="F48" s="37"/>
      <c r="G48" s="37"/>
      <c r="H48" s="37"/>
      <c r="I48" s="37"/>
      <c r="J48" s="38">
        <f t="shared" si="4"/>
        <v>34.6</v>
      </c>
    </row>
    <row r="49" spans="1:10" ht="15.75" thickBot="1" x14ac:dyDescent="0.3">
      <c r="A49" s="594"/>
      <c r="B49" s="597"/>
      <c r="C49" s="21">
        <v>45992</v>
      </c>
      <c r="D49" s="37">
        <v>23.4</v>
      </c>
      <c r="E49" s="37">
        <v>8</v>
      </c>
      <c r="F49" s="37"/>
      <c r="G49" s="37"/>
      <c r="H49" s="37"/>
      <c r="I49" s="37"/>
      <c r="J49" s="38">
        <f t="shared" si="4"/>
        <v>31.4</v>
      </c>
    </row>
    <row r="50" spans="1:10" ht="15.75" thickBot="1" x14ac:dyDescent="0.3">
      <c r="A50" s="565"/>
      <c r="B50" s="567"/>
      <c r="C50" s="21">
        <v>46023</v>
      </c>
      <c r="D50" s="37"/>
      <c r="E50" s="37"/>
      <c r="F50" s="37"/>
      <c r="G50" s="37"/>
      <c r="H50" s="37">
        <v>10</v>
      </c>
      <c r="I50" s="37"/>
      <c r="J50" s="38">
        <f t="shared" si="4"/>
        <v>10</v>
      </c>
    </row>
    <row r="51" spans="1:10" ht="15.75" thickBot="1" x14ac:dyDescent="0.3">
      <c r="A51" s="403" t="s">
        <v>521</v>
      </c>
      <c r="B51" s="21" t="s">
        <v>522</v>
      </c>
      <c r="C51" s="21">
        <v>46023</v>
      </c>
      <c r="D51" s="37"/>
      <c r="E51" s="37"/>
      <c r="F51" s="37">
        <v>60</v>
      </c>
      <c r="G51" s="37">
        <v>5</v>
      </c>
      <c r="H51" s="37"/>
      <c r="I51" s="37"/>
      <c r="J51" s="38">
        <f t="shared" si="4"/>
        <v>65</v>
      </c>
    </row>
    <row r="52" spans="1:10" ht="15.75" thickBot="1" x14ac:dyDescent="0.3">
      <c r="A52" s="403" t="s">
        <v>523</v>
      </c>
      <c r="B52" s="21" t="s">
        <v>524</v>
      </c>
      <c r="C52" s="21">
        <v>45992</v>
      </c>
      <c r="D52" s="37">
        <v>503.3</v>
      </c>
      <c r="E52" s="37">
        <v>9.1999999999999993</v>
      </c>
      <c r="F52" s="37"/>
      <c r="G52" s="37"/>
      <c r="H52" s="37"/>
      <c r="I52" s="37"/>
      <c r="J52" s="38">
        <f t="shared" si="4"/>
        <v>512.5</v>
      </c>
    </row>
    <row r="53" spans="1:10" ht="15.75" thickBot="1" x14ac:dyDescent="0.3">
      <c r="A53" s="403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56"/>
      <c r="B54" s="21"/>
      <c r="C54" s="21"/>
      <c r="D54" s="37"/>
      <c r="E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37"/>
      <c r="E56" s="37"/>
      <c r="F56" s="37"/>
      <c r="G56" s="37"/>
      <c r="H56" s="37"/>
      <c r="I56" s="37"/>
      <c r="J56" s="38">
        <f t="shared" si="4"/>
        <v>0</v>
      </c>
    </row>
    <row r="57" spans="1:10" ht="15.75" thickBot="1" x14ac:dyDescent="0.3">
      <c r="A57" s="40"/>
      <c r="B57" s="21"/>
      <c r="C57" s="21"/>
      <c r="D57" s="57"/>
      <c r="E57" s="57"/>
      <c r="F57" s="57"/>
      <c r="G57" s="57"/>
      <c r="H57" s="57"/>
      <c r="I57" s="57"/>
      <c r="J57" s="38">
        <f t="shared" si="4"/>
        <v>0</v>
      </c>
    </row>
    <row r="58" spans="1:10" ht="19.5" thickBot="1" x14ac:dyDescent="0.35">
      <c r="A58" s="23" t="s">
        <v>9</v>
      </c>
      <c r="B58" s="4"/>
      <c r="C58" s="24"/>
      <c r="D58" s="25">
        <f t="shared" ref="D58:J58" si="5">SUM(D44:D57)</f>
        <v>912.8</v>
      </c>
      <c r="E58" s="25">
        <f t="shared" si="5"/>
        <v>61.2</v>
      </c>
      <c r="F58" s="25">
        <f t="shared" si="5"/>
        <v>120</v>
      </c>
      <c r="G58" s="25">
        <f t="shared" si="5"/>
        <v>10</v>
      </c>
      <c r="H58" s="25">
        <f t="shared" si="5"/>
        <v>10</v>
      </c>
      <c r="I58" s="25">
        <f t="shared" si="5"/>
        <v>0</v>
      </c>
      <c r="J58" s="25">
        <f t="shared" si="5"/>
        <v>1114</v>
      </c>
    </row>
    <row r="59" spans="1:10" ht="15.75" x14ac:dyDescent="0.25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6.5" thickBot="1" x14ac:dyDescent="0.3">
      <c r="A60" s="58"/>
      <c r="B60" s="58"/>
      <c r="C60" s="59"/>
      <c r="D60" s="60"/>
      <c r="E60" s="60"/>
      <c r="F60" s="60"/>
      <c r="G60" s="60"/>
      <c r="H60" s="60"/>
      <c r="I60" s="60"/>
      <c r="J60" s="60"/>
    </row>
    <row r="61" spans="1:10" ht="19.5" thickBot="1" x14ac:dyDescent="0.35">
      <c r="A61" s="554" t="s">
        <v>23</v>
      </c>
      <c r="B61" s="555"/>
      <c r="C61" s="61"/>
      <c r="D61" s="62"/>
      <c r="E61" s="62"/>
      <c r="F61" s="62"/>
      <c r="G61" s="62"/>
      <c r="H61" s="62"/>
      <c r="I61" s="62"/>
      <c r="J61" s="26">
        <f>+J23+J58</f>
        <v>1262</v>
      </c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x14ac:dyDescent="0.25">
      <c r="A63" s="2"/>
      <c r="B63" s="2"/>
      <c r="C63" s="63"/>
      <c r="D63" s="3"/>
      <c r="E63" s="3"/>
      <c r="F63" s="3"/>
      <c r="G63" s="3"/>
      <c r="H63" s="3"/>
      <c r="I63" s="3"/>
      <c r="J63" s="3"/>
    </row>
    <row r="64" spans="1:10" ht="16.5" thickBot="1" x14ac:dyDescent="0.3">
      <c r="A64" s="64" t="s">
        <v>24</v>
      </c>
      <c r="B64" s="2"/>
      <c r="C64" s="63"/>
      <c r="D64" s="3"/>
      <c r="E64" s="3"/>
      <c r="F64" s="3"/>
      <c r="G64" s="3"/>
      <c r="H64" s="3"/>
      <c r="I64" s="3"/>
      <c r="J64" s="3"/>
    </row>
    <row r="65" spans="1:15" ht="19.5" thickBot="1" x14ac:dyDescent="0.35">
      <c r="A65" s="65" t="s">
        <v>25</v>
      </c>
      <c r="B65" s="66"/>
      <c r="C65" s="67"/>
      <c r="D65" s="68"/>
      <c r="E65" s="68"/>
      <c r="F65" s="68"/>
      <c r="G65" s="68"/>
      <c r="H65" s="68"/>
      <c r="I65" s="68"/>
      <c r="J65" s="26">
        <v>1428</v>
      </c>
      <c r="M65">
        <v>100</v>
      </c>
      <c r="N65">
        <v>23</v>
      </c>
      <c r="O65">
        <f>N65*M65</f>
        <v>2300</v>
      </c>
    </row>
    <row r="66" spans="1:15" ht="19.5" thickBot="1" x14ac:dyDescent="0.35">
      <c r="A66" s="65" t="s">
        <v>26</v>
      </c>
      <c r="B66" s="66"/>
      <c r="C66" s="69"/>
      <c r="D66" s="68"/>
      <c r="E66" s="68"/>
      <c r="F66" s="68"/>
      <c r="G66" s="68"/>
      <c r="H66" s="68"/>
      <c r="I66" s="68"/>
      <c r="J66" s="26">
        <v>2385</v>
      </c>
      <c r="K66" s="106">
        <f>J65+J66</f>
        <v>3813</v>
      </c>
      <c r="M66">
        <v>50</v>
      </c>
      <c r="N66">
        <v>15</v>
      </c>
      <c r="O66">
        <f t="shared" ref="O66:O71" si="6">N66*M66</f>
        <v>750</v>
      </c>
    </row>
    <row r="67" spans="1:15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  <c r="K67">
        <v>100</v>
      </c>
      <c r="M67">
        <v>20</v>
      </c>
      <c r="N67">
        <v>34</v>
      </c>
      <c r="O67">
        <f t="shared" si="6"/>
        <v>680</v>
      </c>
    </row>
    <row r="68" spans="1:15" ht="18.75" x14ac:dyDescent="0.3">
      <c r="A68" s="70"/>
      <c r="B68" s="70"/>
      <c r="C68" s="71"/>
      <c r="D68" s="72"/>
      <c r="E68" s="72"/>
      <c r="F68" s="72"/>
      <c r="G68" s="72"/>
      <c r="H68" s="72"/>
      <c r="I68" s="72"/>
      <c r="J68" s="30"/>
      <c r="K68" s="106">
        <f>K66+K67</f>
        <v>3913</v>
      </c>
      <c r="M68">
        <v>10</v>
      </c>
      <c r="N68">
        <v>14</v>
      </c>
      <c r="O68">
        <f t="shared" si="6"/>
        <v>140</v>
      </c>
    </row>
    <row r="69" spans="1:15" ht="16.5" thickBot="1" x14ac:dyDescent="0.3">
      <c r="A69" s="73" t="s">
        <v>27</v>
      </c>
      <c r="B69" s="74"/>
      <c r="C69" s="63"/>
      <c r="D69" s="3"/>
      <c r="E69" s="3"/>
      <c r="F69" s="3"/>
      <c r="G69" s="3"/>
      <c r="H69" s="3"/>
      <c r="I69" s="3"/>
      <c r="J69" s="3"/>
      <c r="M69">
        <v>5</v>
      </c>
      <c r="N69">
        <v>3</v>
      </c>
      <c r="O69">
        <f t="shared" si="6"/>
        <v>15</v>
      </c>
    </row>
    <row r="70" spans="1:15" ht="19.5" thickBot="1" x14ac:dyDescent="0.35">
      <c r="A70" s="75" t="s">
        <v>28</v>
      </c>
      <c r="B70" s="76"/>
      <c r="C70" s="77"/>
      <c r="D70" s="78"/>
      <c r="E70" s="78"/>
      <c r="F70" s="78"/>
      <c r="G70" s="78"/>
      <c r="H70" s="78"/>
      <c r="I70" s="78"/>
      <c r="J70" s="79">
        <v>447.5</v>
      </c>
      <c r="M70">
        <v>2</v>
      </c>
      <c r="N70">
        <v>10</v>
      </c>
      <c r="O70">
        <f t="shared" si="6"/>
        <v>20</v>
      </c>
    </row>
    <row r="71" spans="1:15" x14ac:dyDescent="0.25">
      <c r="A71" s="80"/>
      <c r="B71" s="2"/>
      <c r="C71" s="63"/>
      <c r="D71" s="3"/>
      <c r="E71" s="3"/>
      <c r="F71" s="3"/>
      <c r="G71" s="3"/>
      <c r="H71" s="3"/>
      <c r="I71" s="3"/>
      <c r="J71" s="3"/>
      <c r="M71">
        <v>1</v>
      </c>
      <c r="N71">
        <v>8</v>
      </c>
      <c r="O71">
        <f t="shared" si="6"/>
        <v>8</v>
      </c>
    </row>
    <row r="72" spans="1:15" ht="16.5" thickBot="1" x14ac:dyDescent="0.3">
      <c r="A72" s="73"/>
      <c r="B72" s="74"/>
      <c r="C72" s="63"/>
      <c r="D72" s="3"/>
      <c r="E72" s="3"/>
      <c r="F72" s="3"/>
      <c r="G72" s="3"/>
      <c r="H72" s="3"/>
      <c r="I72" s="3"/>
      <c r="J72" s="3"/>
      <c r="O72">
        <f>SUM(O65:O71)</f>
        <v>3913</v>
      </c>
    </row>
    <row r="73" spans="1:15" ht="19.5" thickBot="1" x14ac:dyDescent="0.35">
      <c r="A73" s="75" t="s">
        <v>29</v>
      </c>
      <c r="B73" s="76"/>
      <c r="C73" s="81"/>
      <c r="D73" s="78"/>
      <c r="E73" s="78"/>
      <c r="F73" s="78"/>
      <c r="G73" s="78"/>
      <c r="H73" s="78"/>
      <c r="I73" s="78"/>
      <c r="J73" s="82"/>
    </row>
    <row r="74" spans="1:15" ht="15.75" thickBot="1" x14ac:dyDescent="0.3">
      <c r="A74" s="80"/>
      <c r="B74" s="2"/>
      <c r="C74" s="63"/>
      <c r="D74" s="3"/>
      <c r="E74" s="3"/>
      <c r="F74" s="3"/>
      <c r="G74" s="3"/>
      <c r="H74" s="3"/>
      <c r="I74" s="3"/>
      <c r="J74" s="3"/>
    </row>
    <row r="75" spans="1:15" ht="21.75" thickBot="1" x14ac:dyDescent="0.4">
      <c r="A75" s="556" t="s">
        <v>30</v>
      </c>
      <c r="B75" s="557"/>
      <c r="C75" s="83"/>
      <c r="D75" s="84"/>
      <c r="E75" s="84"/>
      <c r="F75" s="84"/>
      <c r="G75" s="84"/>
      <c r="H75" s="84"/>
      <c r="I75" s="84"/>
      <c r="J75" s="85">
        <f>SUM(J61:J74)</f>
        <v>5522.5</v>
      </c>
    </row>
    <row r="76" spans="1:15" x14ac:dyDescent="0.25">
      <c r="A76" s="2"/>
      <c r="B76" s="2"/>
      <c r="C76" s="63"/>
      <c r="D76" s="3"/>
      <c r="E76" s="3"/>
      <c r="F76" s="3"/>
      <c r="G76" s="3"/>
      <c r="H76" s="3"/>
      <c r="I76" s="3"/>
      <c r="J76" s="3"/>
    </row>
    <row r="77" spans="1:15" ht="21" x14ac:dyDescent="0.35">
      <c r="A77" s="553" t="s">
        <v>507</v>
      </c>
      <c r="B77" s="553"/>
      <c r="C77" s="553"/>
      <c r="D77" s="553"/>
      <c r="E77" s="553"/>
      <c r="F77" s="553"/>
      <c r="G77" s="553"/>
      <c r="H77" s="553"/>
      <c r="I77" s="553"/>
      <c r="J77" s="553"/>
    </row>
    <row r="78" spans="1:15" ht="21.75" thickBot="1" x14ac:dyDescent="0.4">
      <c r="A78" s="401" t="s">
        <v>31</v>
      </c>
      <c r="B78" s="401"/>
      <c r="C78" s="401"/>
      <c r="D78" s="401"/>
      <c r="E78" s="401"/>
      <c r="F78" s="401"/>
      <c r="G78" s="401"/>
      <c r="H78" s="401"/>
      <c r="I78" s="401"/>
      <c r="J78" s="87"/>
    </row>
    <row r="79" spans="1:15" ht="15.75" thickBot="1" x14ac:dyDescent="0.3">
      <c r="A79" s="88" t="s">
        <v>32</v>
      </c>
      <c r="B79" s="89" t="s">
        <v>33</v>
      </c>
      <c r="C79" s="558" t="s">
        <v>2</v>
      </c>
      <c r="D79" s="559"/>
      <c r="E79" s="559"/>
      <c r="F79" s="559"/>
      <c r="G79" s="559"/>
      <c r="H79" s="559"/>
      <c r="I79" s="560"/>
      <c r="J79" s="90" t="s">
        <v>9</v>
      </c>
    </row>
    <row r="80" spans="1:15" ht="15.75" thickBot="1" x14ac:dyDescent="0.3">
      <c r="A80" s="91" t="s">
        <v>525</v>
      </c>
      <c r="B80" s="92">
        <v>812</v>
      </c>
      <c r="C80" s="550" t="s">
        <v>526</v>
      </c>
      <c r="D80" s="551"/>
      <c r="E80" s="551"/>
      <c r="F80" s="551"/>
      <c r="G80" s="551"/>
      <c r="H80" s="551"/>
      <c r="I80" s="551"/>
      <c r="J80" s="22">
        <v>66</v>
      </c>
    </row>
    <row r="81" spans="1:10" ht="34.5" customHeight="1" thickBot="1" x14ac:dyDescent="0.3">
      <c r="A81" s="40" t="s">
        <v>367</v>
      </c>
      <c r="B81" s="92" t="s">
        <v>527</v>
      </c>
      <c r="C81" s="550" t="s">
        <v>528</v>
      </c>
      <c r="D81" s="551"/>
      <c r="E81" s="551"/>
      <c r="F81" s="551"/>
      <c r="G81" s="551"/>
      <c r="H81" s="552"/>
      <c r="I81" s="552"/>
      <c r="J81" s="22">
        <v>12</v>
      </c>
    </row>
    <row r="82" spans="1:10" ht="15.75" thickBot="1" x14ac:dyDescent="0.3">
      <c r="A82" s="40"/>
      <c r="B82" s="92"/>
      <c r="C82" s="561"/>
      <c r="D82" s="562"/>
      <c r="E82" s="562"/>
      <c r="F82" s="562"/>
      <c r="G82" s="562"/>
      <c r="H82" s="562"/>
      <c r="I82" s="562"/>
      <c r="J82" s="93"/>
    </row>
    <row r="83" spans="1:10" ht="15.75" thickBot="1" x14ac:dyDescent="0.3">
      <c r="A83" s="40"/>
      <c r="B83" s="92"/>
      <c r="C83" s="550"/>
      <c r="D83" s="551"/>
      <c r="E83" s="551"/>
      <c r="F83" s="551"/>
      <c r="G83" s="551"/>
      <c r="H83" s="552"/>
      <c r="I83" s="552"/>
      <c r="J83" s="22"/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22"/>
    </row>
    <row r="85" spans="1:10" ht="15.75" thickBot="1" x14ac:dyDescent="0.3">
      <c r="A85" s="40"/>
      <c r="B85" s="92"/>
      <c r="C85" s="550"/>
      <c r="D85" s="551"/>
      <c r="E85" s="551"/>
      <c r="F85" s="551"/>
      <c r="G85" s="551"/>
      <c r="H85" s="552"/>
      <c r="I85" s="552"/>
      <c r="J85" s="22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22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22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5.75" thickBot="1" x14ac:dyDescent="0.3">
      <c r="A92" s="40"/>
      <c r="B92" s="92"/>
      <c r="C92" s="550"/>
      <c r="D92" s="551"/>
      <c r="E92" s="551"/>
      <c r="F92" s="551"/>
      <c r="G92" s="551"/>
      <c r="H92" s="552"/>
      <c r="I92" s="552"/>
      <c r="J92" s="37"/>
    </row>
    <row r="93" spans="1:10" ht="19.5" thickBot="1" x14ac:dyDescent="0.35">
      <c r="A93" s="94" t="s">
        <v>34</v>
      </c>
      <c r="B93" s="554"/>
      <c r="C93" s="563"/>
      <c r="D93" s="563"/>
      <c r="E93" s="563"/>
      <c r="F93" s="563"/>
      <c r="G93" s="563"/>
      <c r="H93" s="563"/>
      <c r="I93" s="563"/>
      <c r="J93" s="95">
        <f>SUM(J80:J92)</f>
        <v>78</v>
      </c>
    </row>
    <row r="94" spans="1:10" ht="18.75" x14ac:dyDescent="0.3">
      <c r="A94" s="27"/>
      <c r="B94" s="27"/>
      <c r="C94" s="96"/>
      <c r="D94" s="96"/>
      <c r="E94" s="96"/>
      <c r="F94" s="97"/>
      <c r="G94" s="96"/>
      <c r="H94" s="96"/>
      <c r="I94" s="96"/>
      <c r="J94" s="30"/>
    </row>
    <row r="95" spans="1:10" ht="18.75" x14ac:dyDescent="0.3">
      <c r="A95" s="27"/>
      <c r="B95" s="27"/>
      <c r="C95" s="96"/>
      <c r="D95" s="96"/>
      <c r="E95" s="96"/>
      <c r="F95" s="97"/>
      <c r="G95" s="96"/>
      <c r="H95" s="96"/>
      <c r="I95" s="96"/>
      <c r="J95" s="30"/>
    </row>
    <row r="96" spans="1:10" ht="18.75" x14ac:dyDescent="0.3">
      <c r="A96" s="58" t="s">
        <v>35</v>
      </c>
      <c r="B96" s="27"/>
      <c r="C96" s="2"/>
      <c r="D96" s="3"/>
      <c r="F96" s="3"/>
      <c r="J96" s="3"/>
    </row>
    <row r="97" spans="1:10" x14ac:dyDescent="0.25">
      <c r="A97" s="2" t="s">
        <v>36</v>
      </c>
      <c r="B97" s="63">
        <f>+J75</f>
        <v>5522.5</v>
      </c>
      <c r="C97" s="98"/>
      <c r="D97" s="3"/>
      <c r="F97" s="3"/>
      <c r="J97" s="3"/>
    </row>
    <row r="98" spans="1:10" ht="15.75" thickBot="1" x14ac:dyDescent="0.3">
      <c r="A98" s="2" t="s">
        <v>34</v>
      </c>
      <c r="B98" s="99">
        <f>+J93</f>
        <v>78</v>
      </c>
      <c r="C98" s="100"/>
      <c r="D98" s="3"/>
      <c r="F98" s="3"/>
      <c r="G98" s="101"/>
      <c r="H98" s="101"/>
      <c r="I98" s="102"/>
      <c r="J98" s="102"/>
    </row>
    <row r="99" spans="1:10" ht="17.25" thickTop="1" thickBot="1" x14ac:dyDescent="0.3">
      <c r="A99" s="58" t="s">
        <v>37</v>
      </c>
      <c r="B99" s="103">
        <f>++B97-B98</f>
        <v>5444.5</v>
      </c>
      <c r="C99" s="104"/>
      <c r="D99" s="105"/>
      <c r="E99" s="106"/>
      <c r="F99" s="105"/>
      <c r="G99" s="107"/>
      <c r="H99" s="107"/>
      <c r="I99" s="3"/>
    </row>
    <row r="100" spans="1:10" ht="15.75" thickTop="1" x14ac:dyDescent="0.25"/>
  </sheetData>
  <mergeCells count="24">
    <mergeCell ref="B93:I93"/>
    <mergeCell ref="A46:A47"/>
    <mergeCell ref="B5:B8"/>
    <mergeCell ref="A5:A8"/>
    <mergeCell ref="B48:B50"/>
    <mergeCell ref="A48:A50"/>
    <mergeCell ref="C87:I87"/>
    <mergeCell ref="C88:I88"/>
    <mergeCell ref="C89:I89"/>
    <mergeCell ref="C90:I90"/>
    <mergeCell ref="C91:I91"/>
    <mergeCell ref="C92:I92"/>
    <mergeCell ref="C81:I81"/>
    <mergeCell ref="C82:I82"/>
    <mergeCell ref="C83:I83"/>
    <mergeCell ref="C84:I84"/>
    <mergeCell ref="C85:I85"/>
    <mergeCell ref="C86:I86"/>
    <mergeCell ref="A1:J1"/>
    <mergeCell ref="A61:B61"/>
    <mergeCell ref="A75:B75"/>
    <mergeCell ref="A77:J77"/>
    <mergeCell ref="C79:I79"/>
    <mergeCell ref="C80:I80"/>
  </mergeCells>
  <phoneticPr fontId="13" type="noConversion"/>
  <pageMargins left="0.17" right="0.17" top="1.41" bottom="0.17" header="0.17" footer="0.17"/>
  <pageSetup paperSize="9" scale="2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C8A2-FFDA-4278-A8B1-D2885E7C4C23}">
  <sheetPr>
    <pageSetUpPr fitToPage="1"/>
  </sheetPr>
  <dimension ref="A1:M99"/>
  <sheetViews>
    <sheetView topLeftCell="A25" workbookViewId="0">
      <selection activeCell="G40" sqref="G39:G40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7" max="7" width="13.85546875" customWidth="1"/>
    <col min="10" max="10" width="14" bestFit="1" customWidth="1"/>
    <col min="12" max="12" width="10.42578125" customWidth="1"/>
  </cols>
  <sheetData>
    <row r="1" spans="1:10" ht="21" x14ac:dyDescent="0.35">
      <c r="A1" s="553" t="s">
        <v>530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10</v>
      </c>
      <c r="B4" s="6" t="s">
        <v>539</v>
      </c>
      <c r="C4" s="7">
        <v>46054</v>
      </c>
      <c r="D4" s="8"/>
      <c r="E4" s="8"/>
      <c r="F4" s="8"/>
      <c r="G4" s="8">
        <v>10</v>
      </c>
      <c r="H4" s="8"/>
      <c r="I4" s="8"/>
      <c r="J4" s="5">
        <f>SUM(D4:I4)</f>
        <v>10</v>
      </c>
    </row>
    <row r="5" spans="1:10" ht="15.75" thickBot="1" x14ac:dyDescent="0.3">
      <c r="A5" s="6" t="s">
        <v>538</v>
      </c>
      <c r="B5" s="6" t="s">
        <v>540</v>
      </c>
      <c r="C5" s="7">
        <v>46054</v>
      </c>
      <c r="D5" s="8"/>
      <c r="E5" s="8"/>
      <c r="F5" s="8"/>
      <c r="G5" s="8">
        <v>15</v>
      </c>
      <c r="H5" s="8"/>
      <c r="I5" s="8"/>
      <c r="J5" s="5">
        <f t="shared" ref="J5:J22" si="0">SUM(D5:I5)</f>
        <v>15</v>
      </c>
    </row>
    <row r="6" spans="1:10" ht="15.75" thickBot="1" x14ac:dyDescent="0.3">
      <c r="A6" s="6" t="s">
        <v>532</v>
      </c>
      <c r="B6" s="6" t="s">
        <v>533</v>
      </c>
      <c r="C6" s="7">
        <v>45992</v>
      </c>
      <c r="D6" s="8"/>
      <c r="E6" s="8"/>
      <c r="F6" s="8">
        <v>300</v>
      </c>
      <c r="G6" s="8"/>
      <c r="H6" s="8"/>
      <c r="I6" s="8"/>
      <c r="J6" s="5">
        <f t="shared" si="0"/>
        <v>300</v>
      </c>
    </row>
    <row r="7" spans="1:10" ht="15.75" thickBot="1" x14ac:dyDescent="0.3">
      <c r="A7" s="6" t="s">
        <v>534</v>
      </c>
      <c r="B7" s="6" t="s">
        <v>535</v>
      </c>
      <c r="C7" s="7">
        <v>46054</v>
      </c>
      <c r="D7" s="8"/>
      <c r="E7" s="8"/>
      <c r="F7" s="8"/>
      <c r="G7" s="8">
        <v>30</v>
      </c>
      <c r="H7" s="8"/>
      <c r="I7" s="8"/>
      <c r="J7" s="5">
        <f t="shared" si="0"/>
        <v>30</v>
      </c>
    </row>
    <row r="8" spans="1:10" ht="15.75" thickBot="1" x14ac:dyDescent="0.3">
      <c r="A8" s="6" t="s">
        <v>7</v>
      </c>
      <c r="B8" s="6" t="s">
        <v>544</v>
      </c>
      <c r="C8" s="7">
        <v>46054</v>
      </c>
      <c r="D8" s="8"/>
      <c r="E8" s="8"/>
      <c r="F8" s="8"/>
      <c r="G8" s="8"/>
      <c r="H8" s="8">
        <v>63</v>
      </c>
      <c r="I8" s="8"/>
      <c r="J8" s="5">
        <f t="shared" si="0"/>
        <v>63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6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9"/>
      <c r="B12" s="6"/>
      <c r="C12" s="7"/>
      <c r="D12" s="8"/>
      <c r="E12" s="8"/>
      <c r="F12" s="8"/>
      <c r="G12" s="8"/>
      <c r="H12" s="8"/>
      <c r="I12" s="8"/>
      <c r="J12" s="5">
        <f t="shared" si="0"/>
        <v>0</v>
      </c>
    </row>
    <row r="13" spans="1:10" ht="15.75" thickBot="1" x14ac:dyDescent="0.3">
      <c r="A13" s="9"/>
      <c r="B13" s="410"/>
      <c r="C13" s="7"/>
      <c r="D13" s="8"/>
      <c r="E13" s="8"/>
      <c r="F13" s="8"/>
      <c r="G13" s="8"/>
      <c r="H13" s="8"/>
      <c r="I13" s="11"/>
      <c r="J13" s="5">
        <f t="shared" si="0"/>
        <v>0</v>
      </c>
    </row>
    <row r="14" spans="1:10" ht="15.75" thickBot="1" x14ac:dyDescent="0.3">
      <c r="A14" s="6"/>
      <c r="B14" s="6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3"/>
      <c r="B15" s="411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15"/>
      <c r="B16" s="13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408"/>
      <c r="B17" s="408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408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7"/>
      <c r="B19" s="408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18"/>
      <c r="B20" s="408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412"/>
      <c r="B21" s="412"/>
      <c r="C21" s="7"/>
      <c r="D21" s="8"/>
      <c r="E21" s="8"/>
      <c r="F21" s="8"/>
      <c r="G21" s="8"/>
      <c r="H21" s="8"/>
      <c r="I21" s="8"/>
      <c r="J21" s="5">
        <f t="shared" si="0"/>
        <v>0</v>
      </c>
    </row>
    <row r="22" spans="1:13" ht="15.75" thickBot="1" x14ac:dyDescent="0.3">
      <c r="A22" s="408"/>
      <c r="B22" s="409"/>
      <c r="C22" s="21"/>
      <c r="D22" s="22"/>
      <c r="E22" s="22"/>
      <c r="F22" s="22"/>
      <c r="G22" s="22"/>
      <c r="H22" s="22"/>
      <c r="I22" s="22"/>
      <c r="J22" s="5">
        <f t="shared" si="0"/>
        <v>0</v>
      </c>
    </row>
    <row r="23" spans="1:13" ht="19.5" thickBot="1" x14ac:dyDescent="0.35">
      <c r="A23" s="23" t="s">
        <v>9</v>
      </c>
      <c r="B23" s="4"/>
      <c r="C23" s="24"/>
      <c r="D23" s="25">
        <f t="shared" ref="D23:I23" si="1">SUM(D4:D22)</f>
        <v>0</v>
      </c>
      <c r="E23" s="25">
        <f t="shared" si="1"/>
        <v>0</v>
      </c>
      <c r="F23" s="25">
        <f t="shared" si="1"/>
        <v>300</v>
      </c>
      <c r="G23" s="25">
        <f t="shared" si="1"/>
        <v>55</v>
      </c>
      <c r="H23" s="25">
        <f t="shared" si="1"/>
        <v>63</v>
      </c>
      <c r="I23" s="25">
        <f t="shared" si="1"/>
        <v>0</v>
      </c>
      <c r="J23" s="26">
        <f>SUM(J4:J22)</f>
        <v>418</v>
      </c>
    </row>
    <row r="24" spans="1:13" ht="19.5" thickBot="1" x14ac:dyDescent="0.35">
      <c r="A24" s="27"/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24" thickBot="1" x14ac:dyDescent="0.4">
      <c r="A25" s="31" t="s">
        <v>12</v>
      </c>
      <c r="B25" s="28"/>
      <c r="C25" s="29"/>
      <c r="D25" s="30"/>
      <c r="E25" s="30"/>
      <c r="F25" s="30"/>
      <c r="G25" s="30"/>
      <c r="H25" s="30"/>
      <c r="I25" s="30"/>
      <c r="J25" s="30"/>
    </row>
    <row r="26" spans="1:13" ht="15.75" thickBot="1" x14ac:dyDescent="0.3">
      <c r="A26" s="32" t="s">
        <v>13</v>
      </c>
      <c r="B26" s="4" t="s">
        <v>1</v>
      </c>
      <c r="C26" s="33" t="s">
        <v>14</v>
      </c>
      <c r="D26" s="33" t="s">
        <v>3</v>
      </c>
      <c r="E26" s="33" t="s">
        <v>4</v>
      </c>
      <c r="F26" s="4" t="s">
        <v>5</v>
      </c>
      <c r="G26" s="4" t="s">
        <v>6</v>
      </c>
      <c r="H26" s="4" t="s">
        <v>15</v>
      </c>
      <c r="I26" s="4" t="s">
        <v>8</v>
      </c>
      <c r="J26" s="34" t="s">
        <v>9</v>
      </c>
    </row>
    <row r="27" spans="1:13" ht="15.75" thickBot="1" x14ac:dyDescent="0.3">
      <c r="A27" s="412"/>
      <c r="B27" s="21"/>
      <c r="C27" s="21"/>
      <c r="D27" s="35"/>
      <c r="E27" s="36"/>
      <c r="F27" s="35"/>
      <c r="G27" s="35"/>
      <c r="H27" s="37"/>
      <c r="I27" s="37"/>
      <c r="J27" s="38">
        <f>SUM(D27:I27)</f>
        <v>0</v>
      </c>
    </row>
    <row r="28" spans="1:13" ht="15.75" thickBot="1" x14ac:dyDescent="0.3">
      <c r="A28" s="412"/>
      <c r="B28" s="21"/>
      <c r="C28" s="21"/>
      <c r="D28" s="35"/>
      <c r="E28" s="35"/>
      <c r="F28" s="35"/>
      <c r="G28" s="35"/>
      <c r="H28" s="37"/>
      <c r="I28" s="37"/>
      <c r="J28" s="38">
        <f t="shared" ref="J28:J30" si="2">SUM(D28:I28)</f>
        <v>0</v>
      </c>
    </row>
    <row r="29" spans="1:13" ht="15.75" thickBot="1" x14ac:dyDescent="0.3">
      <c r="A29" s="412"/>
      <c r="B29" s="408"/>
      <c r="C29" s="7"/>
      <c r="D29" s="39"/>
      <c r="E29" s="39"/>
      <c r="F29" s="39"/>
      <c r="G29" s="39"/>
      <c r="H29" s="8"/>
      <c r="I29" s="8"/>
      <c r="J29" s="38">
        <f t="shared" si="2"/>
        <v>0</v>
      </c>
    </row>
    <row r="30" spans="1:13" ht="15.75" thickBot="1" x14ac:dyDescent="0.3">
      <c r="A30" s="4"/>
      <c r="B30" s="40"/>
      <c r="C30" s="7"/>
      <c r="D30" s="39"/>
      <c r="E30" s="39"/>
      <c r="F30" s="39"/>
      <c r="G30" s="39"/>
      <c r="H30" s="8"/>
      <c r="I30" s="8"/>
      <c r="J30" s="38">
        <f t="shared" si="2"/>
        <v>0</v>
      </c>
      <c r="L30" s="41" t="s">
        <v>16</v>
      </c>
      <c r="M30" s="42">
        <f>J31+J39</f>
        <v>0</v>
      </c>
    </row>
    <row r="31" spans="1:13" ht="15.75" thickBot="1" x14ac:dyDescent="0.3">
      <c r="A31" s="4" t="s">
        <v>9</v>
      </c>
      <c r="B31" s="43"/>
      <c r="C31" s="44"/>
      <c r="D31" s="45"/>
      <c r="E31" s="45"/>
      <c r="F31" s="45"/>
      <c r="G31" s="45"/>
      <c r="H31" s="45"/>
      <c r="I31" s="45"/>
      <c r="J31" s="12">
        <f>SUM(J27:J30)</f>
        <v>0</v>
      </c>
    </row>
    <row r="32" spans="1:13" ht="15.75" thickBot="1" x14ac:dyDescent="0.3">
      <c r="A32" s="28"/>
      <c r="B32" s="46"/>
      <c r="C32" s="47"/>
      <c r="D32" s="48"/>
      <c r="E32" s="48"/>
      <c r="F32" s="48"/>
      <c r="G32" s="48"/>
      <c r="H32" s="48"/>
      <c r="I32" s="48"/>
      <c r="J32" s="49"/>
    </row>
    <row r="33" spans="1:13" ht="24" thickBot="1" x14ac:dyDescent="0.4">
      <c r="A33" s="31" t="s">
        <v>12</v>
      </c>
      <c r="B33" s="28"/>
      <c r="C33" s="29"/>
      <c r="D33" s="30"/>
      <c r="E33" s="30"/>
      <c r="F33" s="30"/>
      <c r="G33" s="30"/>
      <c r="H33" s="30"/>
      <c r="I33" s="30"/>
      <c r="J33" s="30"/>
    </row>
    <row r="34" spans="1:13" ht="45.75" thickBot="1" x14ac:dyDescent="0.3">
      <c r="A34" s="50" t="s">
        <v>17</v>
      </c>
      <c r="B34" s="4" t="s">
        <v>18</v>
      </c>
      <c r="C34" s="33" t="s">
        <v>14</v>
      </c>
      <c r="D34" s="33" t="s">
        <v>3</v>
      </c>
      <c r="E34" s="33" t="s">
        <v>4</v>
      </c>
      <c r="F34" s="33" t="s">
        <v>19</v>
      </c>
      <c r="G34" s="33" t="s">
        <v>20</v>
      </c>
      <c r="H34" s="33" t="s">
        <v>15</v>
      </c>
      <c r="I34" s="51" t="s">
        <v>21</v>
      </c>
      <c r="J34" s="34" t="s">
        <v>9</v>
      </c>
    </row>
    <row r="35" spans="1:13" ht="15.75" thickBot="1" x14ac:dyDescent="0.3">
      <c r="A35" s="52"/>
      <c r="B35" s="17"/>
      <c r="C35" s="7"/>
      <c r="D35" s="8"/>
      <c r="E35" s="8"/>
      <c r="F35" s="8"/>
      <c r="G35" s="8"/>
      <c r="H35" s="8"/>
      <c r="I35" s="8"/>
      <c r="J35" s="5">
        <f t="shared" ref="J35:J38" si="3">SUM(D35:I35)</f>
        <v>0</v>
      </c>
    </row>
    <row r="36" spans="1:13" ht="15.75" thickBot="1" x14ac:dyDescent="0.3">
      <c r="A36" s="13"/>
      <c r="B36" s="21"/>
      <c r="C36" s="7"/>
      <c r="D36" s="35"/>
      <c r="E36" s="35"/>
      <c r="F36" s="35"/>
      <c r="G36" s="35"/>
      <c r="H36" s="37"/>
      <c r="I36" s="37"/>
      <c r="J36" s="38">
        <f t="shared" si="3"/>
        <v>0</v>
      </c>
    </row>
    <row r="37" spans="1:13" ht="15.75" thickBot="1" x14ac:dyDescent="0.3">
      <c r="A37" s="412"/>
      <c r="B37" s="408"/>
      <c r="C37" s="7"/>
      <c r="D37" s="39"/>
      <c r="E37" s="39"/>
      <c r="F37" s="39"/>
      <c r="G37" s="39"/>
      <c r="H37" s="8"/>
      <c r="I37" s="8"/>
      <c r="J37" s="38">
        <f t="shared" si="3"/>
        <v>0</v>
      </c>
    </row>
    <row r="38" spans="1:13" ht="15.75" thickBot="1" x14ac:dyDescent="0.3">
      <c r="A38" s="4"/>
      <c r="B38" s="40"/>
      <c r="C38" s="7"/>
      <c r="D38" s="39"/>
      <c r="E38" s="39"/>
      <c r="F38" s="39"/>
      <c r="G38" s="39"/>
      <c r="H38" s="8"/>
      <c r="I38" s="8"/>
      <c r="J38" s="38">
        <f t="shared" si="3"/>
        <v>0</v>
      </c>
      <c r="L38" s="53"/>
      <c r="M38" s="54"/>
    </row>
    <row r="39" spans="1:13" ht="15.75" thickBot="1" x14ac:dyDescent="0.3">
      <c r="A39" s="4" t="s">
        <v>9</v>
      </c>
      <c r="B39" s="43"/>
      <c r="C39" s="44"/>
      <c r="D39" s="45"/>
      <c r="E39" s="45"/>
      <c r="F39" s="45"/>
      <c r="G39" s="45"/>
      <c r="H39" s="45"/>
      <c r="I39" s="45"/>
      <c r="J39" s="12">
        <f>SUM(J35:J38)</f>
        <v>0</v>
      </c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x14ac:dyDescent="0.25">
      <c r="A41" s="28"/>
      <c r="B41" s="46"/>
      <c r="C41" s="47"/>
      <c r="D41" s="48"/>
      <c r="E41" s="48"/>
      <c r="F41" s="48"/>
      <c r="G41" s="48"/>
      <c r="H41" s="48"/>
      <c r="I41" s="48"/>
      <c r="J41" s="49"/>
    </row>
    <row r="42" spans="1:13" ht="15.75" thickBot="1" x14ac:dyDescent="0.3">
      <c r="A42" s="2"/>
      <c r="B42" s="2"/>
      <c r="C42" s="2"/>
      <c r="J42" s="3"/>
    </row>
    <row r="43" spans="1:13" ht="45.75" thickBot="1" x14ac:dyDescent="0.3">
      <c r="A43" s="33" t="s">
        <v>22</v>
      </c>
      <c r="B43" s="4" t="s">
        <v>18</v>
      </c>
      <c r="C43" s="33" t="s">
        <v>14</v>
      </c>
      <c r="D43" s="33" t="s">
        <v>3</v>
      </c>
      <c r="E43" s="33" t="s">
        <v>4</v>
      </c>
      <c r="F43" s="33" t="s">
        <v>19</v>
      </c>
      <c r="G43" s="33" t="s">
        <v>20</v>
      </c>
      <c r="H43" s="4" t="s">
        <v>21</v>
      </c>
      <c r="I43" s="51" t="s">
        <v>15</v>
      </c>
      <c r="J43" s="34" t="s">
        <v>9</v>
      </c>
    </row>
    <row r="44" spans="1:13" ht="15.75" thickBot="1" x14ac:dyDescent="0.3">
      <c r="A44" s="40"/>
      <c r="B44" s="21"/>
      <c r="C44" s="21"/>
      <c r="D44" s="37"/>
      <c r="E44" s="55"/>
      <c r="F44" s="37"/>
      <c r="G44" s="37"/>
      <c r="H44" s="37"/>
      <c r="I44" s="37"/>
      <c r="J44" s="38">
        <f>SUM(D44:I44)</f>
        <v>0</v>
      </c>
    </row>
    <row r="45" spans="1:13" ht="15.75" thickBot="1" x14ac:dyDescent="0.3">
      <c r="A45" s="40"/>
      <c r="B45" s="21"/>
      <c r="C45" s="21"/>
      <c r="D45" s="37"/>
      <c r="E45" s="37"/>
      <c r="F45" s="37"/>
      <c r="G45" s="37"/>
      <c r="H45" s="37"/>
      <c r="I45" s="37"/>
      <c r="J45" s="38">
        <f t="shared" ref="J45:J57" si="4">SUM(D45:I45)</f>
        <v>0</v>
      </c>
    </row>
    <row r="46" spans="1:13" ht="15.75" thickBot="1" x14ac:dyDescent="0.3">
      <c r="A46" s="408"/>
      <c r="B46" s="21"/>
      <c r="C46" s="21"/>
      <c r="D46" s="37"/>
      <c r="E46" s="37"/>
      <c r="F46" s="37"/>
      <c r="G46" s="37"/>
      <c r="H46" s="37"/>
      <c r="I46" s="37"/>
      <c r="J46" s="38">
        <f t="shared" si="4"/>
        <v>0</v>
      </c>
    </row>
    <row r="47" spans="1:13" ht="15.75" thickBot="1" x14ac:dyDescent="0.3">
      <c r="A47" s="40"/>
      <c r="B47" s="21"/>
      <c r="C47" s="21"/>
      <c r="D47" s="37"/>
      <c r="E47" s="37"/>
      <c r="F47" s="37"/>
      <c r="G47" s="37"/>
      <c r="H47" s="37"/>
      <c r="I47" s="37"/>
      <c r="J47" s="38">
        <f t="shared" si="4"/>
        <v>0</v>
      </c>
    </row>
    <row r="48" spans="1:13" ht="15.75" thickBot="1" x14ac:dyDescent="0.3">
      <c r="A48" s="40"/>
      <c r="B48" s="21"/>
      <c r="C48" s="21"/>
      <c r="D48" s="37"/>
      <c r="E48" s="37"/>
      <c r="F48" s="37"/>
      <c r="G48" s="37"/>
      <c r="H48" s="37"/>
      <c r="I48" s="37"/>
      <c r="J48" s="38">
        <f t="shared" si="4"/>
        <v>0</v>
      </c>
    </row>
    <row r="49" spans="1:10" ht="15.75" thickBot="1" x14ac:dyDescent="0.3">
      <c r="A49" s="408"/>
      <c r="B49" s="21"/>
      <c r="C49" s="21"/>
      <c r="D49" s="37"/>
      <c r="E49" s="37"/>
      <c r="F49" s="37"/>
      <c r="G49" s="37"/>
      <c r="H49" s="37"/>
      <c r="I49" s="37"/>
      <c r="J49" s="38">
        <f t="shared" si="4"/>
        <v>0</v>
      </c>
    </row>
    <row r="50" spans="1:10" ht="15.75" thickBot="1" x14ac:dyDescent="0.3">
      <c r="A50" s="408"/>
      <c r="B50" s="21"/>
      <c r="C50" s="21"/>
      <c r="D50" s="37"/>
      <c r="E50" s="37"/>
      <c r="F50" s="37"/>
      <c r="G50" s="37"/>
      <c r="H50" s="37"/>
      <c r="I50" s="37"/>
      <c r="J50" s="38">
        <f t="shared" si="4"/>
        <v>0</v>
      </c>
    </row>
    <row r="51" spans="1:10" ht="15.75" thickBot="1" x14ac:dyDescent="0.3">
      <c r="A51" s="408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408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408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56"/>
      <c r="B54" s="21"/>
      <c r="C54" s="21"/>
      <c r="D54" s="37"/>
      <c r="E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37"/>
      <c r="E56" s="37"/>
      <c r="F56" s="37"/>
      <c r="G56" s="37"/>
      <c r="H56" s="37"/>
      <c r="I56" s="37"/>
      <c r="J56" s="38">
        <f t="shared" si="4"/>
        <v>0</v>
      </c>
    </row>
    <row r="57" spans="1:10" ht="15.75" thickBot="1" x14ac:dyDescent="0.3">
      <c r="A57" s="40"/>
      <c r="B57" s="21"/>
      <c r="C57" s="21"/>
      <c r="D57" s="57"/>
      <c r="E57" s="57"/>
      <c r="F57" s="57"/>
      <c r="G57" s="57"/>
      <c r="H57" s="57"/>
      <c r="I57" s="57"/>
      <c r="J57" s="38">
        <f t="shared" si="4"/>
        <v>0</v>
      </c>
    </row>
    <row r="58" spans="1:10" ht="19.5" thickBot="1" x14ac:dyDescent="0.35">
      <c r="A58" s="23" t="s">
        <v>9</v>
      </c>
      <c r="B58" s="4"/>
      <c r="C58" s="24"/>
      <c r="D58" s="25">
        <f t="shared" ref="D58:J58" si="5">SUM(D44:D57)</f>
        <v>0</v>
      </c>
      <c r="E58" s="25">
        <f t="shared" si="5"/>
        <v>0</v>
      </c>
      <c r="F58" s="25">
        <f t="shared" si="5"/>
        <v>0</v>
      </c>
      <c r="G58" s="25">
        <f t="shared" si="5"/>
        <v>0</v>
      </c>
      <c r="H58" s="25">
        <f t="shared" si="5"/>
        <v>0</v>
      </c>
      <c r="I58" s="25">
        <f t="shared" si="5"/>
        <v>0</v>
      </c>
      <c r="J58" s="25">
        <f t="shared" si="5"/>
        <v>0</v>
      </c>
    </row>
    <row r="59" spans="1:10" ht="15.75" x14ac:dyDescent="0.25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6.5" thickBot="1" x14ac:dyDescent="0.3">
      <c r="A60" s="58"/>
      <c r="B60" s="58"/>
      <c r="C60" s="59"/>
      <c r="D60" s="60"/>
      <c r="E60" s="60"/>
      <c r="F60" s="60"/>
      <c r="G60" s="60"/>
      <c r="H60" s="60"/>
      <c r="I60" s="60"/>
      <c r="J60" s="60"/>
    </row>
    <row r="61" spans="1:10" ht="19.5" thickBot="1" x14ac:dyDescent="0.35">
      <c r="A61" s="554" t="s">
        <v>23</v>
      </c>
      <c r="B61" s="555"/>
      <c r="C61" s="61"/>
      <c r="D61" s="62"/>
      <c r="E61" s="62"/>
      <c r="F61" s="62"/>
      <c r="G61" s="62"/>
      <c r="H61" s="62"/>
      <c r="I61" s="62"/>
      <c r="J61" s="26">
        <f>+J23+J58</f>
        <v>418</v>
      </c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x14ac:dyDescent="0.25">
      <c r="A63" s="2"/>
      <c r="B63" s="2"/>
      <c r="C63" s="63"/>
      <c r="D63" s="3"/>
      <c r="E63" s="3"/>
      <c r="F63" s="3"/>
      <c r="G63" s="3"/>
      <c r="H63" s="3"/>
      <c r="I63" s="3"/>
      <c r="J63" s="3"/>
    </row>
    <row r="64" spans="1:10" ht="16.5" thickBot="1" x14ac:dyDescent="0.3">
      <c r="A64" s="64" t="s">
        <v>24</v>
      </c>
      <c r="B64" s="2"/>
      <c r="C64" s="63"/>
      <c r="D64" s="3"/>
      <c r="E64" s="3"/>
      <c r="F64" s="3"/>
      <c r="G64" s="3"/>
      <c r="H64" s="3"/>
      <c r="I64" s="3"/>
      <c r="J64" s="3"/>
    </row>
    <row r="65" spans="1:10" ht="19.5" thickBot="1" x14ac:dyDescent="0.35">
      <c r="A65" s="65" t="s">
        <v>25</v>
      </c>
      <c r="B65" s="66"/>
      <c r="C65" s="67"/>
      <c r="D65" s="68"/>
      <c r="E65" s="68"/>
      <c r="F65" s="68"/>
      <c r="G65" s="68"/>
      <c r="H65" s="68"/>
      <c r="I65" s="68"/>
      <c r="J65" s="26"/>
    </row>
    <row r="66" spans="1:10" ht="19.5" thickBot="1" x14ac:dyDescent="0.35">
      <c r="A66" s="65" t="s">
        <v>26</v>
      </c>
      <c r="B66" s="66"/>
      <c r="C66" s="69"/>
      <c r="D66" s="68"/>
      <c r="E66" s="68"/>
      <c r="F66" s="68"/>
      <c r="G66" s="68"/>
      <c r="H66" s="68"/>
      <c r="I66" s="68"/>
      <c r="J66" s="26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8.75" x14ac:dyDescent="0.3">
      <c r="A68" s="70"/>
      <c r="B68" s="70"/>
      <c r="C68" s="71"/>
      <c r="D68" s="72"/>
      <c r="E68" s="72"/>
      <c r="F68" s="72"/>
      <c r="G68" s="72"/>
      <c r="H68" s="72"/>
      <c r="I68" s="72"/>
      <c r="J68" s="30"/>
    </row>
    <row r="69" spans="1:10" ht="16.5" thickBot="1" x14ac:dyDescent="0.3">
      <c r="A69" s="73" t="s">
        <v>27</v>
      </c>
      <c r="B69" s="74"/>
      <c r="C69" s="63"/>
      <c r="D69" s="3"/>
      <c r="E69" s="3"/>
      <c r="F69" s="3"/>
      <c r="G69" s="3"/>
      <c r="H69" s="3"/>
      <c r="I69" s="3"/>
      <c r="J69" s="3"/>
    </row>
    <row r="70" spans="1:10" ht="19.5" thickBot="1" x14ac:dyDescent="0.35">
      <c r="A70" s="75" t="s">
        <v>28</v>
      </c>
      <c r="B70" s="76"/>
      <c r="C70" s="77"/>
      <c r="D70" s="78"/>
      <c r="E70" s="78"/>
      <c r="F70" s="78"/>
      <c r="G70" s="78"/>
      <c r="H70" s="78"/>
      <c r="I70" s="78"/>
      <c r="J70" s="79">
        <v>724.5</v>
      </c>
    </row>
    <row r="71" spans="1:10" x14ac:dyDescent="0.25">
      <c r="A71" s="80"/>
      <c r="B71" s="2"/>
      <c r="C71" s="63"/>
      <c r="D71" s="3"/>
      <c r="E71" s="3"/>
      <c r="F71" s="3"/>
      <c r="G71" s="3"/>
      <c r="H71" s="3"/>
      <c r="I71" s="3"/>
      <c r="J71" s="3"/>
    </row>
    <row r="72" spans="1:10" ht="16.5" thickBot="1" x14ac:dyDescent="0.3">
      <c r="A72" s="73"/>
      <c r="B72" s="74"/>
      <c r="C72" s="63"/>
      <c r="D72" s="3"/>
      <c r="E72" s="3"/>
      <c r="F72" s="3"/>
      <c r="G72" s="3"/>
      <c r="H72" s="3"/>
      <c r="I72" s="3"/>
      <c r="J72" s="3"/>
    </row>
    <row r="73" spans="1:10" ht="19.5" thickBot="1" x14ac:dyDescent="0.35">
      <c r="A73" s="75" t="s">
        <v>29</v>
      </c>
      <c r="B73" s="76"/>
      <c r="C73" s="81"/>
      <c r="D73" s="78"/>
      <c r="E73" s="78"/>
      <c r="F73" s="78"/>
      <c r="G73" s="78"/>
      <c r="H73" s="78"/>
      <c r="I73" s="78"/>
      <c r="J73" s="82"/>
    </row>
    <row r="74" spans="1:10" ht="15.75" thickBot="1" x14ac:dyDescent="0.3">
      <c r="A74" s="80"/>
      <c r="B74" s="2"/>
      <c r="C74" s="63"/>
      <c r="D74" s="3"/>
      <c r="E74" s="3"/>
      <c r="F74" s="3"/>
      <c r="G74" s="3"/>
      <c r="H74" s="3"/>
      <c r="I74" s="3"/>
      <c r="J74" s="3"/>
    </row>
    <row r="75" spans="1:10" ht="21.75" thickBot="1" x14ac:dyDescent="0.4">
      <c r="A75" s="556" t="s">
        <v>30</v>
      </c>
      <c r="B75" s="557"/>
      <c r="C75" s="83"/>
      <c r="D75" s="84"/>
      <c r="E75" s="84"/>
      <c r="F75" s="84"/>
      <c r="G75" s="84"/>
      <c r="H75" s="84"/>
      <c r="I75" s="84"/>
      <c r="J75" s="85">
        <f>SUM(J61:J74)</f>
        <v>1142.5</v>
      </c>
    </row>
    <row r="76" spans="1:10" x14ac:dyDescent="0.25">
      <c r="A76" s="2"/>
      <c r="B76" s="2"/>
      <c r="C76" s="63"/>
      <c r="D76" s="3"/>
      <c r="E76" s="3"/>
      <c r="F76" s="3"/>
      <c r="G76" s="3"/>
      <c r="H76" s="3"/>
      <c r="I76" s="3"/>
      <c r="J76" s="3"/>
    </row>
    <row r="77" spans="1:10" ht="21" x14ac:dyDescent="0.35">
      <c r="A77" s="553" t="s">
        <v>531</v>
      </c>
      <c r="B77" s="553"/>
      <c r="C77" s="553"/>
      <c r="D77" s="553"/>
      <c r="E77" s="553"/>
      <c r="F77" s="553"/>
      <c r="G77" s="553"/>
      <c r="H77" s="553"/>
      <c r="I77" s="553"/>
      <c r="J77" s="553"/>
    </row>
    <row r="78" spans="1:10" ht="21.75" thickBot="1" x14ac:dyDescent="0.4">
      <c r="A78" s="407" t="s">
        <v>31</v>
      </c>
      <c r="B78" s="407"/>
      <c r="C78" s="407"/>
      <c r="D78" s="407"/>
      <c r="E78" s="407"/>
      <c r="F78" s="407"/>
      <c r="G78" s="407"/>
      <c r="H78" s="407"/>
      <c r="I78" s="407"/>
      <c r="J78" s="87"/>
    </row>
    <row r="79" spans="1:10" ht="15.75" thickBot="1" x14ac:dyDescent="0.3">
      <c r="A79" s="88" t="s">
        <v>32</v>
      </c>
      <c r="B79" s="89" t="s">
        <v>33</v>
      </c>
      <c r="C79" s="558" t="s">
        <v>2</v>
      </c>
      <c r="D79" s="559"/>
      <c r="E79" s="559"/>
      <c r="F79" s="559"/>
      <c r="G79" s="559"/>
      <c r="H79" s="559"/>
      <c r="I79" s="560"/>
      <c r="J79" s="90" t="s">
        <v>9</v>
      </c>
    </row>
    <row r="80" spans="1:10" ht="15.75" thickBot="1" x14ac:dyDescent="0.3">
      <c r="A80" s="40" t="s">
        <v>536</v>
      </c>
      <c r="B80" s="92">
        <v>7683</v>
      </c>
      <c r="C80" s="550" t="s">
        <v>545</v>
      </c>
      <c r="D80" s="551"/>
      <c r="E80" s="551"/>
      <c r="F80" s="551"/>
      <c r="G80" s="551"/>
      <c r="H80" s="551"/>
      <c r="I80" s="551"/>
      <c r="J80" s="22">
        <v>600</v>
      </c>
    </row>
    <row r="81" spans="1:10" ht="15.75" thickBot="1" x14ac:dyDescent="0.3">
      <c r="A81" s="40" t="s">
        <v>120</v>
      </c>
      <c r="B81" s="92">
        <v>7684</v>
      </c>
      <c r="C81" s="550" t="s">
        <v>545</v>
      </c>
      <c r="D81" s="551"/>
      <c r="E81" s="551"/>
      <c r="F81" s="551"/>
      <c r="G81" s="551"/>
      <c r="H81" s="551"/>
      <c r="I81" s="551"/>
      <c r="J81" s="93">
        <v>600</v>
      </c>
    </row>
    <row r="82" spans="1:10" ht="15.75" thickBot="1" x14ac:dyDescent="0.3">
      <c r="A82" s="40" t="s">
        <v>121</v>
      </c>
      <c r="B82" s="92">
        <v>7685</v>
      </c>
      <c r="C82" s="550" t="s">
        <v>545</v>
      </c>
      <c r="D82" s="551"/>
      <c r="E82" s="551"/>
      <c r="F82" s="551"/>
      <c r="G82" s="551"/>
      <c r="H82" s="551"/>
      <c r="I82" s="551"/>
      <c r="J82" s="22">
        <v>600</v>
      </c>
    </row>
    <row r="83" spans="1:10" ht="15.75" thickBot="1" x14ac:dyDescent="0.3">
      <c r="A83" s="40" t="s">
        <v>122</v>
      </c>
      <c r="B83" s="92">
        <v>7687</v>
      </c>
      <c r="C83" s="550" t="s">
        <v>545</v>
      </c>
      <c r="D83" s="551"/>
      <c r="E83" s="551"/>
      <c r="F83" s="551"/>
      <c r="G83" s="551"/>
      <c r="H83" s="551"/>
      <c r="I83" s="551"/>
      <c r="J83" s="22">
        <v>600</v>
      </c>
    </row>
    <row r="84" spans="1:10" ht="15.75" thickBot="1" x14ac:dyDescent="0.3">
      <c r="A84" s="40" t="s">
        <v>123</v>
      </c>
      <c r="B84" s="92">
        <v>7688</v>
      </c>
      <c r="C84" s="550" t="s">
        <v>545</v>
      </c>
      <c r="D84" s="551"/>
      <c r="E84" s="551"/>
      <c r="F84" s="551"/>
      <c r="G84" s="551"/>
      <c r="H84" s="551"/>
      <c r="I84" s="551"/>
      <c r="J84" s="22">
        <v>600</v>
      </c>
    </row>
    <row r="85" spans="1:10" ht="15.75" thickBot="1" x14ac:dyDescent="0.3">
      <c r="A85" s="40" t="s">
        <v>124</v>
      </c>
      <c r="B85" s="92">
        <v>2163</v>
      </c>
      <c r="C85" s="550" t="s">
        <v>545</v>
      </c>
      <c r="D85" s="551"/>
      <c r="E85" s="551"/>
      <c r="F85" s="551"/>
      <c r="G85" s="551"/>
      <c r="H85" s="551"/>
      <c r="I85" s="551"/>
      <c r="J85" s="22">
        <v>450</v>
      </c>
    </row>
    <row r="86" spans="1:10" ht="15.75" thickBot="1" x14ac:dyDescent="0.3">
      <c r="A86" s="40" t="s">
        <v>537</v>
      </c>
      <c r="B86" s="92">
        <v>7686</v>
      </c>
      <c r="C86" s="550" t="s">
        <v>545</v>
      </c>
      <c r="D86" s="551"/>
      <c r="E86" s="551"/>
      <c r="F86" s="551"/>
      <c r="G86" s="551"/>
      <c r="H86" s="551"/>
      <c r="I86" s="551"/>
      <c r="J86" s="22">
        <v>450</v>
      </c>
    </row>
    <row r="87" spans="1:10" ht="15.75" thickBot="1" x14ac:dyDescent="0.3">
      <c r="A87" s="40" t="s">
        <v>126</v>
      </c>
      <c r="B87" s="92">
        <v>7689</v>
      </c>
      <c r="C87" s="550" t="s">
        <v>545</v>
      </c>
      <c r="D87" s="551"/>
      <c r="E87" s="551"/>
      <c r="F87" s="551"/>
      <c r="G87" s="551"/>
      <c r="H87" s="551"/>
      <c r="I87" s="551"/>
      <c r="J87" s="37">
        <v>600</v>
      </c>
    </row>
    <row r="88" spans="1:10" ht="15.75" thickBot="1" x14ac:dyDescent="0.3">
      <c r="A88" s="40" t="s">
        <v>128</v>
      </c>
      <c r="B88" s="92">
        <v>7690</v>
      </c>
      <c r="C88" s="550" t="s">
        <v>545</v>
      </c>
      <c r="D88" s="551"/>
      <c r="E88" s="551"/>
      <c r="F88" s="551"/>
      <c r="G88" s="551"/>
      <c r="H88" s="551"/>
      <c r="I88" s="551"/>
      <c r="J88" s="37">
        <v>500</v>
      </c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9.5" thickBot="1" x14ac:dyDescent="0.35">
      <c r="A92" s="94" t="s">
        <v>34</v>
      </c>
      <c r="B92" s="554"/>
      <c r="C92" s="563"/>
      <c r="D92" s="563"/>
      <c r="E92" s="563"/>
      <c r="F92" s="563"/>
      <c r="G92" s="563"/>
      <c r="H92" s="563"/>
      <c r="I92" s="563"/>
      <c r="J92" s="95">
        <f>SUM(J80:J91)</f>
        <v>5000</v>
      </c>
    </row>
    <row r="93" spans="1:10" ht="18.75" x14ac:dyDescent="0.3">
      <c r="A93" s="27"/>
      <c r="B93" s="27"/>
      <c r="C93" s="96"/>
      <c r="D93" s="96"/>
      <c r="E93" s="96"/>
      <c r="F93" s="97"/>
      <c r="G93" s="96"/>
      <c r="H93" s="96"/>
      <c r="I93" s="96"/>
      <c r="J93" s="30"/>
    </row>
    <row r="94" spans="1:10" ht="18.75" x14ac:dyDescent="0.3">
      <c r="A94" s="27"/>
      <c r="B94" s="27"/>
      <c r="C94" s="96"/>
      <c r="D94" s="96"/>
      <c r="E94" s="96"/>
      <c r="F94" s="97"/>
      <c r="G94" s="96"/>
      <c r="H94" s="96"/>
      <c r="I94" s="96"/>
      <c r="J94" s="30"/>
    </row>
    <row r="95" spans="1:10" ht="18.75" x14ac:dyDescent="0.3">
      <c r="A95" s="58" t="s">
        <v>35</v>
      </c>
      <c r="B95" s="27"/>
      <c r="C95" s="2"/>
      <c r="D95" s="3"/>
      <c r="F95" s="3"/>
      <c r="J95" s="3"/>
    </row>
    <row r="96" spans="1:10" x14ac:dyDescent="0.25">
      <c r="A96" s="2" t="s">
        <v>36</v>
      </c>
      <c r="B96" s="63">
        <f>+J75</f>
        <v>1142.5</v>
      </c>
      <c r="C96" s="98"/>
      <c r="D96" s="3"/>
      <c r="F96" s="3"/>
      <c r="J96" s="3"/>
    </row>
    <row r="97" spans="1:10" ht="15.75" thickBot="1" x14ac:dyDescent="0.3">
      <c r="A97" s="2" t="s">
        <v>34</v>
      </c>
      <c r="B97" s="99">
        <f>+J92</f>
        <v>5000</v>
      </c>
      <c r="C97" s="100"/>
      <c r="D97" s="3"/>
      <c r="F97" s="3"/>
      <c r="G97" s="101"/>
      <c r="H97" s="101"/>
      <c r="I97" s="102"/>
      <c r="J97" s="102"/>
    </row>
    <row r="98" spans="1:10" ht="17.25" thickTop="1" thickBot="1" x14ac:dyDescent="0.3">
      <c r="A98" s="58" t="s">
        <v>37</v>
      </c>
      <c r="B98" s="103">
        <f>++B96-B97</f>
        <v>-3857.5</v>
      </c>
      <c r="C98" s="104"/>
      <c r="D98" s="105"/>
      <c r="E98" s="106"/>
      <c r="F98" s="105"/>
      <c r="G98" s="107"/>
      <c r="H98" s="107"/>
      <c r="I98" s="3"/>
    </row>
    <row r="99" spans="1:10" ht="15.75" thickTop="1" x14ac:dyDescent="0.25"/>
  </sheetData>
  <mergeCells count="18">
    <mergeCell ref="C80:I80"/>
    <mergeCell ref="A1:J1"/>
    <mergeCell ref="A61:B61"/>
    <mergeCell ref="A75:B75"/>
    <mergeCell ref="A77:J77"/>
    <mergeCell ref="C79:I79"/>
    <mergeCell ref="C81:I81"/>
    <mergeCell ref="C82:I82"/>
    <mergeCell ref="C83:I83"/>
    <mergeCell ref="C84:I84"/>
    <mergeCell ref="C85:I85"/>
    <mergeCell ref="B92:I92"/>
    <mergeCell ref="C86:I86"/>
    <mergeCell ref="C87:I87"/>
    <mergeCell ref="C88:I88"/>
    <mergeCell ref="C89:I89"/>
    <mergeCell ref="C90:I90"/>
    <mergeCell ref="C91:I91"/>
  </mergeCells>
  <phoneticPr fontId="13" type="noConversion"/>
  <pageMargins left="0.28000000000000003" right="0.34" top="0.17" bottom="0.17" header="0.17" footer="0.17"/>
  <pageSetup paperSize="9" scale="49" fitToWidth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A28C-8C08-4AC9-A977-F157E7ECABED}">
  <sheetPr>
    <pageSetUpPr fitToPage="1"/>
  </sheetPr>
  <dimension ref="A1:M99"/>
  <sheetViews>
    <sheetView workbookViewId="0">
      <selection activeCell="A3" sqref="A1:XFD1048576"/>
    </sheetView>
  </sheetViews>
  <sheetFormatPr baseColWidth="10" defaultRowHeight="15" x14ac:dyDescent="0.25"/>
  <cols>
    <col min="1" max="1" width="32.140625" bestFit="1" customWidth="1"/>
    <col min="2" max="2" width="15.42578125" bestFit="1" customWidth="1"/>
  </cols>
  <sheetData>
    <row r="1" spans="1:10" ht="21" x14ac:dyDescent="0.35">
      <c r="A1" s="553" t="s">
        <v>541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/>
      <c r="B4" s="6"/>
      <c r="C4" s="7"/>
      <c r="D4" s="8"/>
      <c r="E4" s="8"/>
      <c r="F4" s="8"/>
      <c r="G4" s="8"/>
      <c r="H4" s="8"/>
      <c r="I4" s="8"/>
      <c r="J4" s="5">
        <f>SUM(D4:I4)</f>
        <v>0</v>
      </c>
    </row>
    <row r="5" spans="1:10" ht="15.75" thickBot="1" x14ac:dyDescent="0.3">
      <c r="A5" s="6"/>
      <c r="B5" s="6"/>
      <c r="C5" s="7"/>
      <c r="D5" s="8"/>
      <c r="E5" s="8"/>
      <c r="F5" s="8"/>
      <c r="G5" s="8"/>
      <c r="H5" s="8"/>
      <c r="I5" s="8"/>
      <c r="J5" s="5">
        <f t="shared" ref="J5:J21" si="0">SUM(D5:I5)</f>
        <v>0</v>
      </c>
    </row>
    <row r="6" spans="1:10" ht="15.75" thickBot="1" x14ac:dyDescent="0.3">
      <c r="A6" s="6"/>
      <c r="B6" s="6"/>
      <c r="C6" s="7"/>
      <c r="D6" s="8"/>
      <c r="E6" s="8"/>
      <c r="F6" s="8"/>
      <c r="G6" s="8"/>
      <c r="H6" s="8"/>
      <c r="I6" s="8"/>
      <c r="J6" s="5">
        <f t="shared" si="0"/>
        <v>0</v>
      </c>
    </row>
    <row r="7" spans="1:10" ht="15.75" thickBot="1" x14ac:dyDescent="0.3">
      <c r="A7" s="6"/>
      <c r="B7" s="6"/>
      <c r="C7" s="7"/>
      <c r="D7" s="8"/>
      <c r="E7" s="8"/>
      <c r="F7" s="8"/>
      <c r="G7" s="8"/>
      <c r="H7" s="8"/>
      <c r="I7" s="8"/>
      <c r="J7" s="5">
        <f t="shared" si="0"/>
        <v>0</v>
      </c>
    </row>
    <row r="8" spans="1:10" ht="15.75" thickBot="1" x14ac:dyDescent="0.3">
      <c r="A8" s="6"/>
      <c r="B8" s="6"/>
      <c r="C8" s="7"/>
      <c r="D8" s="8"/>
      <c r="E8" s="8"/>
      <c r="F8" s="8"/>
      <c r="G8" s="8"/>
      <c r="H8" s="8"/>
      <c r="I8" s="8"/>
      <c r="J8" s="5">
        <f t="shared" si="0"/>
        <v>0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9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9"/>
      <c r="B12" s="420"/>
      <c r="C12" s="7"/>
      <c r="D12" s="8"/>
      <c r="E12" s="8"/>
      <c r="F12" s="8"/>
      <c r="G12" s="8"/>
      <c r="H12" s="8"/>
      <c r="I12" s="11"/>
      <c r="J12" s="12">
        <f t="shared" si="0"/>
        <v>0</v>
      </c>
    </row>
    <row r="13" spans="1:10" ht="15.75" thickBot="1" x14ac:dyDescent="0.3">
      <c r="A13" s="6"/>
      <c r="B13" s="6"/>
      <c r="C13" s="7"/>
      <c r="D13" s="8"/>
      <c r="E13" s="8"/>
      <c r="F13" s="8"/>
      <c r="G13" s="8"/>
      <c r="H13" s="8"/>
      <c r="I13" s="8"/>
      <c r="J13" s="5">
        <f t="shared" si="0"/>
        <v>0</v>
      </c>
    </row>
    <row r="14" spans="1:10" ht="15.75" thickBot="1" x14ac:dyDescent="0.3">
      <c r="A14" s="13"/>
      <c r="B14" s="421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5"/>
      <c r="B15" s="13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419"/>
      <c r="B16" s="419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17"/>
      <c r="B17" s="419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419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8"/>
      <c r="B19" s="419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422"/>
      <c r="B20" s="422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419"/>
      <c r="B21" s="418"/>
      <c r="C21" s="21"/>
      <c r="D21" s="22"/>
      <c r="E21" s="22"/>
      <c r="F21" s="22"/>
      <c r="G21" s="22"/>
      <c r="H21" s="22"/>
      <c r="I21" s="22"/>
      <c r="J21" s="5">
        <f t="shared" si="0"/>
        <v>0</v>
      </c>
    </row>
    <row r="22" spans="1:13" ht="19.5" thickBot="1" x14ac:dyDescent="0.35">
      <c r="A22" s="23" t="s">
        <v>9</v>
      </c>
      <c r="B22" s="4"/>
      <c r="C22" s="24"/>
      <c r="D22" s="25">
        <f t="shared" ref="D22:J22" si="1">SUM(D4:D21)</f>
        <v>0</v>
      </c>
      <c r="E22" s="25">
        <f t="shared" si="1"/>
        <v>0</v>
      </c>
      <c r="F22" s="25">
        <f t="shared" si="1"/>
        <v>0</v>
      </c>
      <c r="G22" s="25">
        <f t="shared" si="1"/>
        <v>0</v>
      </c>
      <c r="H22" s="25">
        <f t="shared" si="1"/>
        <v>0</v>
      </c>
      <c r="I22" s="25">
        <f t="shared" si="1"/>
        <v>0</v>
      </c>
      <c r="J22" s="26">
        <f t="shared" si="1"/>
        <v>0</v>
      </c>
    </row>
    <row r="23" spans="1:13" ht="19.5" thickBot="1" x14ac:dyDescent="0.35">
      <c r="A23" s="27"/>
      <c r="B23" s="28"/>
      <c r="C23" s="29"/>
      <c r="D23" s="30"/>
      <c r="E23" s="30"/>
      <c r="F23" s="30"/>
      <c r="G23" s="30"/>
      <c r="H23" s="30"/>
      <c r="I23" s="30"/>
      <c r="J23" s="30"/>
    </row>
    <row r="24" spans="1:13" ht="24" thickBot="1" x14ac:dyDescent="0.4">
      <c r="A24" s="31" t="s">
        <v>12</v>
      </c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15.75" thickBot="1" x14ac:dyDescent="0.3">
      <c r="A25" s="32" t="s">
        <v>13</v>
      </c>
      <c r="B25" s="4" t="s">
        <v>1</v>
      </c>
      <c r="C25" s="33" t="s">
        <v>14</v>
      </c>
      <c r="D25" s="33" t="s">
        <v>3</v>
      </c>
      <c r="E25" s="33" t="s">
        <v>4</v>
      </c>
      <c r="F25" s="4" t="s">
        <v>5</v>
      </c>
      <c r="G25" s="4" t="s">
        <v>6</v>
      </c>
      <c r="H25" s="4" t="s">
        <v>15</v>
      </c>
      <c r="I25" s="4" t="s">
        <v>8</v>
      </c>
      <c r="J25" s="34" t="s">
        <v>9</v>
      </c>
    </row>
    <row r="26" spans="1:13" ht="15.75" thickBot="1" x14ac:dyDescent="0.3">
      <c r="A26" s="422"/>
      <c r="B26" s="21"/>
      <c r="C26" s="21"/>
      <c r="D26" s="35"/>
      <c r="E26" s="36"/>
      <c r="F26" s="35"/>
      <c r="G26" s="35"/>
      <c r="H26" s="37"/>
      <c r="I26" s="37"/>
      <c r="J26" s="38">
        <f>SUM(D26:I26)</f>
        <v>0</v>
      </c>
    </row>
    <row r="27" spans="1:13" ht="15.75" thickBot="1" x14ac:dyDescent="0.3">
      <c r="A27" s="422"/>
      <c r="B27" s="21"/>
      <c r="C27" s="21"/>
      <c r="D27" s="35"/>
      <c r="E27" s="35"/>
      <c r="F27" s="35"/>
      <c r="G27" s="35"/>
      <c r="H27" s="37"/>
      <c r="I27" s="37"/>
      <c r="J27" s="38">
        <f t="shared" ref="J27:J29" si="2">SUM(D27:I27)</f>
        <v>0</v>
      </c>
    </row>
    <row r="28" spans="1:13" ht="15.75" thickBot="1" x14ac:dyDescent="0.3">
      <c r="A28" s="422"/>
      <c r="B28" s="419"/>
      <c r="C28" s="7"/>
      <c r="D28" s="39"/>
      <c r="E28" s="39"/>
      <c r="F28" s="39"/>
      <c r="G28" s="39"/>
      <c r="H28" s="8"/>
      <c r="I28" s="8"/>
      <c r="J28" s="38">
        <f t="shared" si="2"/>
        <v>0</v>
      </c>
    </row>
    <row r="29" spans="1:13" ht="15.75" thickBot="1" x14ac:dyDescent="0.3">
      <c r="A29" s="4"/>
      <c r="B29" s="40"/>
      <c r="C29" s="7"/>
      <c r="D29" s="39"/>
      <c r="E29" s="39"/>
      <c r="F29" s="39"/>
      <c r="G29" s="39"/>
      <c r="H29" s="8"/>
      <c r="I29" s="8"/>
      <c r="J29" s="38">
        <f t="shared" si="2"/>
        <v>0</v>
      </c>
      <c r="L29" s="41" t="s">
        <v>16</v>
      </c>
      <c r="M29" s="42">
        <f>J30+J38</f>
        <v>0</v>
      </c>
    </row>
    <row r="30" spans="1:13" ht="15.75" thickBot="1" x14ac:dyDescent="0.3">
      <c r="A30" s="4" t="s">
        <v>9</v>
      </c>
      <c r="B30" s="43"/>
      <c r="C30" s="44"/>
      <c r="D30" s="45"/>
      <c r="E30" s="45"/>
      <c r="F30" s="45"/>
      <c r="G30" s="45"/>
      <c r="H30" s="45"/>
      <c r="I30" s="45"/>
      <c r="J30" s="12">
        <f>SUM(J26:J29)</f>
        <v>0</v>
      </c>
    </row>
    <row r="31" spans="1:13" ht="15.75" thickBot="1" x14ac:dyDescent="0.3">
      <c r="A31" s="28"/>
      <c r="B31" s="46"/>
      <c r="C31" s="47"/>
      <c r="D31" s="48"/>
      <c r="E31" s="48"/>
      <c r="F31" s="48"/>
      <c r="G31" s="48"/>
      <c r="H31" s="48"/>
      <c r="I31" s="48"/>
      <c r="J31" s="49"/>
    </row>
    <row r="32" spans="1:13" ht="24" thickBot="1" x14ac:dyDescent="0.4">
      <c r="A32" s="31" t="s">
        <v>12</v>
      </c>
      <c r="B32" s="28"/>
      <c r="C32" s="29"/>
      <c r="D32" s="30"/>
      <c r="E32" s="30"/>
      <c r="F32" s="30"/>
      <c r="G32" s="30"/>
      <c r="H32" s="30"/>
      <c r="I32" s="30"/>
      <c r="J32" s="30"/>
    </row>
    <row r="33" spans="1:13" ht="45.75" thickBot="1" x14ac:dyDescent="0.3">
      <c r="A33" s="50" t="s">
        <v>17</v>
      </c>
      <c r="B33" s="4" t="s">
        <v>18</v>
      </c>
      <c r="C33" s="33" t="s">
        <v>14</v>
      </c>
      <c r="D33" s="33" t="s">
        <v>3</v>
      </c>
      <c r="E33" s="33" t="s">
        <v>4</v>
      </c>
      <c r="F33" s="33" t="s">
        <v>19</v>
      </c>
      <c r="G33" s="33" t="s">
        <v>20</v>
      </c>
      <c r="H33" s="33" t="s">
        <v>15</v>
      </c>
      <c r="I33" s="51" t="s">
        <v>21</v>
      </c>
      <c r="J33" s="34" t="s">
        <v>9</v>
      </c>
    </row>
    <row r="34" spans="1:13" ht="15.75" thickBot="1" x14ac:dyDescent="0.3">
      <c r="A34" s="52"/>
      <c r="B34" s="17"/>
      <c r="C34" s="7"/>
      <c r="D34" s="8"/>
      <c r="E34" s="8"/>
      <c r="F34" s="8"/>
      <c r="G34" s="8"/>
      <c r="H34" s="8"/>
      <c r="I34" s="8"/>
      <c r="J34" s="5">
        <f t="shared" ref="J34:J37" si="3">SUM(D34:I34)</f>
        <v>0</v>
      </c>
    </row>
    <row r="35" spans="1:13" ht="15.75" thickBot="1" x14ac:dyDescent="0.3">
      <c r="A35" s="13"/>
      <c r="B35" s="21"/>
      <c r="C35" s="7"/>
      <c r="D35" s="35"/>
      <c r="E35" s="35"/>
      <c r="F35" s="35"/>
      <c r="G35" s="35"/>
      <c r="H35" s="37"/>
      <c r="I35" s="37"/>
      <c r="J35" s="38">
        <f t="shared" si="3"/>
        <v>0</v>
      </c>
    </row>
    <row r="36" spans="1:13" ht="15.75" thickBot="1" x14ac:dyDescent="0.3">
      <c r="A36" s="422"/>
      <c r="B36" s="419"/>
      <c r="C36" s="7"/>
      <c r="D36" s="39"/>
      <c r="E36" s="39"/>
      <c r="F36" s="39"/>
      <c r="G36" s="39"/>
      <c r="H36" s="8"/>
      <c r="I36" s="8"/>
      <c r="J36" s="38">
        <f t="shared" si="3"/>
        <v>0</v>
      </c>
    </row>
    <row r="37" spans="1:13" ht="15.75" thickBot="1" x14ac:dyDescent="0.3">
      <c r="A37" s="4"/>
      <c r="B37" s="40"/>
      <c r="C37" s="7"/>
      <c r="D37" s="39"/>
      <c r="E37" s="39"/>
      <c r="F37" s="39"/>
      <c r="G37" s="39"/>
      <c r="H37" s="8"/>
      <c r="I37" s="8"/>
      <c r="J37" s="38">
        <f t="shared" si="3"/>
        <v>0</v>
      </c>
      <c r="L37" s="53"/>
      <c r="M37" s="54"/>
    </row>
    <row r="38" spans="1:13" ht="15.75" thickBot="1" x14ac:dyDescent="0.3">
      <c r="A38" s="4" t="s">
        <v>9</v>
      </c>
      <c r="B38" s="43"/>
      <c r="C38" s="44"/>
      <c r="D38" s="45"/>
      <c r="E38" s="45"/>
      <c r="F38" s="45"/>
      <c r="G38" s="45"/>
      <c r="H38" s="45"/>
      <c r="I38" s="45"/>
      <c r="J38" s="12">
        <f>SUM(J34:J37)</f>
        <v>0</v>
      </c>
    </row>
    <row r="39" spans="1:13" x14ac:dyDescent="0.25">
      <c r="A39" s="28"/>
      <c r="B39" s="46"/>
      <c r="C39" s="47"/>
      <c r="D39" s="48"/>
      <c r="E39" s="48"/>
      <c r="F39" s="48"/>
      <c r="G39" s="48"/>
      <c r="H39" s="48"/>
      <c r="I39" s="48"/>
      <c r="J39" s="49"/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ht="15.75" thickBot="1" x14ac:dyDescent="0.3">
      <c r="A41" s="2"/>
      <c r="B41" s="2"/>
      <c r="C41" s="2"/>
      <c r="J41" s="3"/>
    </row>
    <row r="42" spans="1:13" ht="45.75" thickBot="1" x14ac:dyDescent="0.3">
      <c r="A42" s="33" t="s">
        <v>22</v>
      </c>
      <c r="B42" s="4" t="s">
        <v>18</v>
      </c>
      <c r="C42" s="33" t="s">
        <v>14</v>
      </c>
      <c r="D42" s="33" t="s">
        <v>3</v>
      </c>
      <c r="E42" s="33" t="s">
        <v>4</v>
      </c>
      <c r="F42" s="33" t="s">
        <v>19</v>
      </c>
      <c r="G42" s="33" t="s">
        <v>20</v>
      </c>
      <c r="H42" s="4" t="s">
        <v>21</v>
      </c>
      <c r="I42" s="51" t="s">
        <v>15</v>
      </c>
      <c r="J42" s="34" t="s">
        <v>9</v>
      </c>
    </row>
    <row r="43" spans="1:13" ht="15.75" thickBot="1" x14ac:dyDescent="0.3">
      <c r="A43" s="40"/>
      <c r="B43" s="21"/>
      <c r="C43" s="21"/>
      <c r="D43" s="37"/>
      <c r="E43" s="55"/>
      <c r="F43" s="37"/>
      <c r="G43" s="37"/>
      <c r="H43" s="37"/>
      <c r="I43" s="37"/>
      <c r="J43" s="38">
        <f>SUM(D43:I43)</f>
        <v>0</v>
      </c>
    </row>
    <row r="44" spans="1:13" ht="15.75" thickBot="1" x14ac:dyDescent="0.3">
      <c r="A44" s="40"/>
      <c r="B44" s="21"/>
      <c r="C44" s="21"/>
      <c r="D44" s="37"/>
      <c r="E44" s="37"/>
      <c r="F44" s="37"/>
      <c r="G44" s="37"/>
      <c r="H44" s="37"/>
      <c r="I44" s="37"/>
      <c r="J44" s="38">
        <f t="shared" ref="J44:J56" si="4">SUM(D44:I44)</f>
        <v>0</v>
      </c>
    </row>
    <row r="45" spans="1:13" ht="15.75" thickBot="1" x14ac:dyDescent="0.3">
      <c r="A45" s="419"/>
      <c r="B45" s="21"/>
      <c r="C45" s="21"/>
      <c r="D45" s="37"/>
      <c r="E45" s="37"/>
      <c r="F45" s="37"/>
      <c r="G45" s="37"/>
      <c r="H45" s="37"/>
      <c r="I45" s="37"/>
      <c r="J45" s="38">
        <f t="shared" si="4"/>
        <v>0</v>
      </c>
    </row>
    <row r="46" spans="1:13" ht="15.75" thickBot="1" x14ac:dyDescent="0.3">
      <c r="A46" s="40"/>
      <c r="B46" s="21"/>
      <c r="C46" s="21"/>
      <c r="D46" s="37"/>
      <c r="E46" s="37"/>
      <c r="F46" s="37"/>
      <c r="G46" s="37"/>
      <c r="H46" s="37"/>
      <c r="I46" s="37"/>
      <c r="J46" s="38">
        <f t="shared" si="4"/>
        <v>0</v>
      </c>
    </row>
    <row r="47" spans="1:13" ht="15.75" thickBot="1" x14ac:dyDescent="0.3">
      <c r="A47" s="40"/>
      <c r="B47" s="21"/>
      <c r="C47" s="21"/>
      <c r="D47" s="37"/>
      <c r="E47" s="37"/>
      <c r="F47" s="37"/>
      <c r="G47" s="37"/>
      <c r="H47" s="37"/>
      <c r="I47" s="37"/>
      <c r="J47" s="38">
        <f t="shared" si="4"/>
        <v>0</v>
      </c>
    </row>
    <row r="48" spans="1:13" ht="15.75" thickBot="1" x14ac:dyDescent="0.3">
      <c r="A48" s="419"/>
      <c r="B48" s="21"/>
      <c r="C48" s="21"/>
      <c r="D48" s="37"/>
      <c r="E48" s="37"/>
      <c r="F48" s="37"/>
      <c r="G48" s="37"/>
      <c r="H48" s="37"/>
      <c r="I48" s="37"/>
      <c r="J48" s="38">
        <f t="shared" si="4"/>
        <v>0</v>
      </c>
    </row>
    <row r="49" spans="1:10" ht="15.75" thickBot="1" x14ac:dyDescent="0.3">
      <c r="A49" s="419"/>
      <c r="B49" s="21"/>
      <c r="C49" s="21"/>
      <c r="D49" s="37"/>
      <c r="E49" s="37"/>
      <c r="F49" s="37"/>
      <c r="G49" s="37"/>
      <c r="H49" s="37"/>
      <c r="I49" s="37"/>
      <c r="J49" s="38">
        <f t="shared" si="4"/>
        <v>0</v>
      </c>
    </row>
    <row r="50" spans="1:10" ht="15.75" thickBot="1" x14ac:dyDescent="0.3">
      <c r="A50" s="419"/>
      <c r="B50" s="21"/>
      <c r="C50" s="21"/>
      <c r="D50" s="37"/>
      <c r="E50" s="37"/>
      <c r="F50" s="37"/>
      <c r="G50" s="37"/>
      <c r="H50" s="37"/>
      <c r="I50" s="37"/>
      <c r="J50" s="38">
        <f t="shared" si="4"/>
        <v>0</v>
      </c>
    </row>
    <row r="51" spans="1:10" ht="15.75" thickBot="1" x14ac:dyDescent="0.3">
      <c r="A51" s="419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419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56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40"/>
      <c r="B54" s="21"/>
      <c r="C54" s="21"/>
      <c r="D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E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57"/>
      <c r="E56" s="57"/>
      <c r="F56" s="57"/>
      <c r="G56" s="57"/>
      <c r="H56" s="57"/>
      <c r="I56" s="57"/>
      <c r="J56" s="38">
        <f t="shared" si="4"/>
        <v>0</v>
      </c>
    </row>
    <row r="57" spans="1:10" ht="19.5" thickBot="1" x14ac:dyDescent="0.35">
      <c r="A57" s="23" t="s">
        <v>9</v>
      </c>
      <c r="B57" s="4"/>
      <c r="C57" s="24"/>
      <c r="D57" s="25">
        <f t="shared" ref="D57:J57" si="5">SUM(D43:D56)</f>
        <v>0</v>
      </c>
      <c r="E57" s="25">
        <f t="shared" si="5"/>
        <v>0</v>
      </c>
      <c r="F57" s="25">
        <f t="shared" si="5"/>
        <v>0</v>
      </c>
      <c r="G57" s="25">
        <f t="shared" si="5"/>
        <v>0</v>
      </c>
      <c r="H57" s="25">
        <f t="shared" si="5"/>
        <v>0</v>
      </c>
      <c r="I57" s="25">
        <f t="shared" si="5"/>
        <v>0</v>
      </c>
      <c r="J57" s="25">
        <f t="shared" si="5"/>
        <v>0</v>
      </c>
    </row>
    <row r="58" spans="1:10" ht="15.75" x14ac:dyDescent="0.25">
      <c r="A58" s="58"/>
      <c r="B58" s="58"/>
      <c r="C58" s="59"/>
      <c r="D58" s="60"/>
      <c r="E58" s="60"/>
      <c r="F58" s="60"/>
      <c r="G58" s="60"/>
      <c r="H58" s="60"/>
      <c r="I58" s="60"/>
      <c r="J58" s="60"/>
    </row>
    <row r="59" spans="1:10" ht="16.5" thickBot="1" x14ac:dyDescent="0.3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9.5" thickBot="1" x14ac:dyDescent="0.35">
      <c r="A60" s="554" t="s">
        <v>23</v>
      </c>
      <c r="B60" s="555"/>
      <c r="C60" s="61"/>
      <c r="D60" s="62"/>
      <c r="E60" s="62"/>
      <c r="F60" s="62"/>
      <c r="G60" s="62"/>
      <c r="H60" s="62"/>
      <c r="I60" s="62"/>
      <c r="J60" s="26">
        <f>+J22+J57</f>
        <v>0</v>
      </c>
    </row>
    <row r="61" spans="1:10" x14ac:dyDescent="0.25">
      <c r="A61" s="2"/>
      <c r="B61" s="2"/>
      <c r="C61" s="63"/>
      <c r="D61" s="3"/>
      <c r="E61" s="3"/>
      <c r="F61" s="3"/>
      <c r="G61" s="3"/>
      <c r="H61" s="3"/>
      <c r="I61" s="3"/>
      <c r="J61" s="3"/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ht="16.5" thickBot="1" x14ac:dyDescent="0.3">
      <c r="A63" s="64" t="s">
        <v>24</v>
      </c>
      <c r="B63" s="2"/>
      <c r="C63" s="63"/>
      <c r="D63" s="3"/>
      <c r="E63" s="3"/>
      <c r="F63" s="3"/>
      <c r="G63" s="3"/>
      <c r="H63" s="3"/>
      <c r="I63" s="3"/>
      <c r="J63" s="3"/>
    </row>
    <row r="64" spans="1:10" ht="19.5" thickBot="1" x14ac:dyDescent="0.35">
      <c r="A64" s="65" t="s">
        <v>25</v>
      </c>
      <c r="B64" s="66"/>
      <c r="C64" s="67"/>
      <c r="D64" s="68"/>
      <c r="E64" s="68"/>
      <c r="F64" s="68"/>
      <c r="G64" s="68"/>
      <c r="H64" s="68"/>
      <c r="I64" s="68"/>
      <c r="J64" s="26"/>
    </row>
    <row r="65" spans="1:10" ht="19.5" thickBot="1" x14ac:dyDescent="0.35">
      <c r="A65" s="65" t="s">
        <v>26</v>
      </c>
      <c r="B65" s="66"/>
      <c r="C65" s="69"/>
      <c r="D65" s="68"/>
      <c r="E65" s="68"/>
      <c r="F65" s="68"/>
      <c r="G65" s="68"/>
      <c r="H65" s="68"/>
      <c r="I65" s="68"/>
      <c r="J65" s="26"/>
    </row>
    <row r="66" spans="1:10" ht="18.75" x14ac:dyDescent="0.3">
      <c r="A66" s="70"/>
      <c r="B66" s="70"/>
      <c r="C66" s="71"/>
      <c r="D66" s="72"/>
      <c r="E66" s="72"/>
      <c r="F66" s="72"/>
      <c r="G66" s="72"/>
      <c r="H66" s="72"/>
      <c r="I66" s="72"/>
      <c r="J66" s="30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6.5" thickBot="1" x14ac:dyDescent="0.3">
      <c r="A68" s="73" t="s">
        <v>27</v>
      </c>
      <c r="B68" s="74"/>
      <c r="C68" s="63"/>
      <c r="D68" s="3"/>
      <c r="E68" s="3"/>
      <c r="F68" s="3"/>
      <c r="G68" s="3"/>
      <c r="H68" s="3"/>
      <c r="I68" s="3"/>
      <c r="J68" s="3"/>
    </row>
    <row r="69" spans="1:10" ht="19.5" thickBot="1" x14ac:dyDescent="0.35">
      <c r="A69" s="75" t="s">
        <v>28</v>
      </c>
      <c r="B69" s="76"/>
      <c r="C69" s="77"/>
      <c r="D69" s="78"/>
      <c r="E69" s="78"/>
      <c r="F69" s="78"/>
      <c r="G69" s="78"/>
      <c r="H69" s="78"/>
      <c r="I69" s="78"/>
      <c r="J69" s="79">
        <v>216</v>
      </c>
    </row>
    <row r="70" spans="1:10" x14ac:dyDescent="0.25">
      <c r="A70" s="80"/>
      <c r="B70" s="2"/>
      <c r="C70" s="63"/>
      <c r="D70" s="3"/>
      <c r="E70" s="3"/>
      <c r="F70" s="3"/>
      <c r="G70" s="3"/>
      <c r="H70" s="3"/>
      <c r="I70" s="3"/>
      <c r="J70" s="3"/>
    </row>
    <row r="71" spans="1:10" ht="16.5" thickBot="1" x14ac:dyDescent="0.3">
      <c r="A71" s="73"/>
      <c r="B71" s="74"/>
      <c r="C71" s="63"/>
      <c r="D71" s="3"/>
      <c r="E71" s="3"/>
      <c r="F71" s="3"/>
      <c r="G71" s="3"/>
      <c r="H71" s="3"/>
      <c r="I71" s="3"/>
      <c r="J71" s="3"/>
    </row>
    <row r="72" spans="1:10" ht="19.5" thickBot="1" x14ac:dyDescent="0.35">
      <c r="A72" s="75" t="s">
        <v>29</v>
      </c>
      <c r="B72" s="76"/>
      <c r="C72" s="81"/>
      <c r="D72" s="78"/>
      <c r="E72" s="78"/>
      <c r="F72" s="78"/>
      <c r="G72" s="78"/>
      <c r="H72" s="78"/>
      <c r="I72" s="78"/>
      <c r="J72" s="82"/>
    </row>
    <row r="73" spans="1:10" ht="15.75" thickBot="1" x14ac:dyDescent="0.3">
      <c r="A73" s="80"/>
      <c r="B73" s="2"/>
      <c r="C73" s="63"/>
      <c r="D73" s="3"/>
      <c r="E73" s="3"/>
      <c r="F73" s="3"/>
      <c r="G73" s="3"/>
      <c r="H73" s="3"/>
      <c r="I73" s="3"/>
      <c r="J73" s="3"/>
    </row>
    <row r="74" spans="1:10" ht="21.75" thickBot="1" x14ac:dyDescent="0.4">
      <c r="A74" s="556" t="s">
        <v>30</v>
      </c>
      <c r="B74" s="557"/>
      <c r="C74" s="83"/>
      <c r="D74" s="84"/>
      <c r="E74" s="84"/>
      <c r="F74" s="84"/>
      <c r="G74" s="84"/>
      <c r="H74" s="84"/>
      <c r="I74" s="84"/>
      <c r="J74" s="85">
        <f>SUM(J60:J73)</f>
        <v>216</v>
      </c>
    </row>
    <row r="75" spans="1:10" x14ac:dyDescent="0.25">
      <c r="A75" s="2"/>
      <c r="B75" s="2"/>
      <c r="C75" s="63"/>
      <c r="D75" s="3"/>
      <c r="E75" s="3"/>
      <c r="F75" s="3"/>
      <c r="G75" s="3"/>
      <c r="H75" s="3"/>
      <c r="I75" s="3"/>
      <c r="J75" s="3"/>
    </row>
    <row r="76" spans="1:10" ht="21" x14ac:dyDescent="0.35">
      <c r="A76" s="553" t="s">
        <v>588</v>
      </c>
      <c r="B76" s="553"/>
      <c r="C76" s="553"/>
      <c r="D76" s="553"/>
      <c r="E76" s="553"/>
      <c r="F76" s="553"/>
      <c r="G76" s="553"/>
      <c r="H76" s="553"/>
      <c r="I76" s="553"/>
      <c r="J76" s="553"/>
    </row>
    <row r="77" spans="1:10" ht="21.75" thickBot="1" x14ac:dyDescent="0.4">
      <c r="A77" s="417" t="s">
        <v>31</v>
      </c>
      <c r="B77" s="417"/>
      <c r="C77" s="417"/>
      <c r="D77" s="417"/>
      <c r="E77" s="417"/>
      <c r="F77" s="417"/>
      <c r="G77" s="417"/>
      <c r="H77" s="417"/>
      <c r="I77" s="417"/>
      <c r="J77" s="87"/>
    </row>
    <row r="78" spans="1:10" ht="15.75" thickBot="1" x14ac:dyDescent="0.3">
      <c r="A78" s="88" t="s">
        <v>32</v>
      </c>
      <c r="B78" s="89" t="s">
        <v>33</v>
      </c>
      <c r="C78" s="558" t="s">
        <v>2</v>
      </c>
      <c r="D78" s="559"/>
      <c r="E78" s="559"/>
      <c r="F78" s="559"/>
      <c r="G78" s="559"/>
      <c r="H78" s="559"/>
      <c r="I78" s="560"/>
      <c r="J78" s="90" t="s">
        <v>9</v>
      </c>
    </row>
    <row r="79" spans="1:10" ht="15.75" thickBot="1" x14ac:dyDescent="0.3">
      <c r="A79" s="91"/>
      <c r="B79" s="92"/>
      <c r="C79" s="550"/>
      <c r="D79" s="551"/>
      <c r="E79" s="551"/>
      <c r="F79" s="551"/>
      <c r="G79" s="551"/>
      <c r="H79" s="551"/>
      <c r="I79" s="551"/>
      <c r="J79" s="22"/>
    </row>
    <row r="80" spans="1:10" ht="15.75" thickBot="1" x14ac:dyDescent="0.3">
      <c r="A80" s="40"/>
      <c r="B80" s="92"/>
      <c r="C80" s="550"/>
      <c r="D80" s="551"/>
      <c r="E80" s="551"/>
      <c r="F80" s="551"/>
      <c r="G80" s="551"/>
      <c r="H80" s="552"/>
      <c r="I80" s="552"/>
      <c r="J80" s="22"/>
    </row>
    <row r="81" spans="1:10" ht="15.75" thickBot="1" x14ac:dyDescent="0.3">
      <c r="A81" s="40"/>
      <c r="B81" s="92"/>
      <c r="C81" s="561"/>
      <c r="D81" s="562"/>
      <c r="E81" s="562"/>
      <c r="F81" s="562"/>
      <c r="G81" s="562"/>
      <c r="H81" s="562"/>
      <c r="I81" s="562"/>
      <c r="J81" s="93"/>
    </row>
    <row r="82" spans="1:10" ht="15.75" thickBot="1" x14ac:dyDescent="0.3">
      <c r="A82" s="40"/>
      <c r="B82" s="92"/>
      <c r="C82" s="550"/>
      <c r="D82" s="551"/>
      <c r="E82" s="551"/>
      <c r="F82" s="551"/>
      <c r="G82" s="551"/>
      <c r="H82" s="552"/>
      <c r="I82" s="552"/>
      <c r="J82" s="22"/>
    </row>
    <row r="83" spans="1:10" ht="15.75" thickBot="1" x14ac:dyDescent="0.3">
      <c r="A83" s="40"/>
      <c r="B83" s="92"/>
      <c r="C83" s="550"/>
      <c r="D83" s="551"/>
      <c r="E83" s="551"/>
      <c r="F83" s="551"/>
      <c r="G83" s="551"/>
      <c r="H83" s="552"/>
      <c r="I83" s="552"/>
      <c r="J83" s="22"/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22"/>
    </row>
    <row r="85" spans="1:10" ht="15.75" thickBot="1" x14ac:dyDescent="0.3">
      <c r="A85" s="40"/>
      <c r="B85" s="92"/>
      <c r="C85" s="550"/>
      <c r="D85" s="551"/>
      <c r="E85" s="551"/>
      <c r="F85" s="551"/>
      <c r="G85" s="551"/>
      <c r="H85" s="552"/>
      <c r="I85" s="552"/>
      <c r="J85" s="22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22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37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9.5" thickBot="1" x14ac:dyDescent="0.35">
      <c r="A92" s="94" t="s">
        <v>34</v>
      </c>
      <c r="B92" s="554"/>
      <c r="C92" s="563"/>
      <c r="D92" s="563"/>
      <c r="E92" s="563"/>
      <c r="F92" s="563"/>
      <c r="G92" s="563"/>
      <c r="H92" s="563"/>
      <c r="I92" s="563"/>
      <c r="J92" s="95">
        <f>SUM(J79:J91)</f>
        <v>0</v>
      </c>
    </row>
    <row r="93" spans="1:10" ht="18.75" x14ac:dyDescent="0.3">
      <c r="A93" s="27"/>
      <c r="B93" s="27"/>
      <c r="C93" s="96"/>
      <c r="D93" s="96"/>
      <c r="E93" s="96"/>
      <c r="F93" s="97"/>
      <c r="G93" s="96"/>
      <c r="H93" s="96"/>
      <c r="I93" s="96"/>
      <c r="J93" s="30"/>
    </row>
    <row r="94" spans="1:10" ht="18.75" x14ac:dyDescent="0.3">
      <c r="A94" s="27"/>
      <c r="B94" s="27"/>
      <c r="C94" s="96"/>
      <c r="D94" s="96"/>
      <c r="E94" s="96"/>
      <c r="F94" s="97"/>
      <c r="G94" s="96"/>
      <c r="H94" s="96"/>
      <c r="I94" s="96"/>
      <c r="J94" s="30"/>
    </row>
    <row r="95" spans="1:10" ht="18.75" x14ac:dyDescent="0.3">
      <c r="A95" s="58" t="s">
        <v>35</v>
      </c>
      <c r="B95" s="27"/>
      <c r="C95" s="2"/>
      <c r="D95" s="3"/>
      <c r="F95" s="3"/>
      <c r="J95" s="3"/>
    </row>
    <row r="96" spans="1:10" x14ac:dyDescent="0.25">
      <c r="A96" s="2" t="s">
        <v>36</v>
      </c>
      <c r="B96" s="63">
        <f>+J74</f>
        <v>216</v>
      </c>
      <c r="C96" s="98"/>
      <c r="D96" s="3"/>
      <c r="F96" s="3"/>
      <c r="J96" s="3"/>
    </row>
    <row r="97" spans="1:10" ht="15.75" thickBot="1" x14ac:dyDescent="0.3">
      <c r="A97" s="2" t="s">
        <v>34</v>
      </c>
      <c r="B97" s="99">
        <f>+J92</f>
        <v>0</v>
      </c>
      <c r="C97" s="100"/>
      <c r="D97" s="3"/>
      <c r="F97" s="3"/>
      <c r="G97" s="101"/>
      <c r="H97" s="101"/>
      <c r="I97" s="102"/>
      <c r="J97" s="102"/>
    </row>
    <row r="98" spans="1:10" ht="17.25" thickTop="1" thickBot="1" x14ac:dyDescent="0.3">
      <c r="A98" s="58" t="s">
        <v>37</v>
      </c>
      <c r="B98" s="103">
        <f>++B96-B97</f>
        <v>216</v>
      </c>
      <c r="C98" s="104"/>
      <c r="D98" s="105"/>
      <c r="E98" s="106"/>
      <c r="F98" s="105"/>
      <c r="G98" s="107"/>
      <c r="H98" s="107"/>
      <c r="I98" s="3"/>
    </row>
    <row r="99" spans="1:10" ht="15.75" thickTop="1" x14ac:dyDescent="0.25"/>
  </sheetData>
  <mergeCells count="19">
    <mergeCell ref="B92:I92"/>
    <mergeCell ref="C86:I86"/>
    <mergeCell ref="C87:I87"/>
    <mergeCell ref="C88:I88"/>
    <mergeCell ref="C89:I89"/>
    <mergeCell ref="C90:I90"/>
    <mergeCell ref="C91:I91"/>
    <mergeCell ref="C85:I85"/>
    <mergeCell ref="A1:J1"/>
    <mergeCell ref="A60:B60"/>
    <mergeCell ref="A74:B74"/>
    <mergeCell ref="A76:J76"/>
    <mergeCell ref="C78:I78"/>
    <mergeCell ref="C79:I79"/>
    <mergeCell ref="C80:I80"/>
    <mergeCell ref="C81:I81"/>
    <mergeCell ref="C82:I82"/>
    <mergeCell ref="C83:I83"/>
    <mergeCell ref="C84:I84"/>
  </mergeCells>
  <pageMargins left="0.17" right="0.17" top="0.17" bottom="0.17" header="0.17" footer="0.17"/>
  <pageSetup paperSize="9" scale="4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341B-65A5-49BB-8FDD-EBDCCE288715}">
  <sheetPr>
    <pageSetUpPr fitToPage="1"/>
  </sheetPr>
  <dimension ref="A1:M97"/>
  <sheetViews>
    <sheetView topLeftCell="A28" workbookViewId="0">
      <selection activeCell="J59" sqref="J59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9" max="9" width="16" customWidth="1"/>
    <col min="10" max="10" width="14" bestFit="1" customWidth="1"/>
  </cols>
  <sheetData>
    <row r="1" spans="1:10" ht="21" x14ac:dyDescent="0.35">
      <c r="A1" s="553" t="s">
        <v>542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30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558</v>
      </c>
      <c r="J3" s="5" t="s">
        <v>9</v>
      </c>
    </row>
    <row r="4" spans="1:10" ht="15.75" thickBot="1" x14ac:dyDescent="0.3">
      <c r="A4" s="6" t="s">
        <v>485</v>
      </c>
      <c r="B4" s="6" t="s">
        <v>546</v>
      </c>
      <c r="C4" s="7">
        <v>46054</v>
      </c>
      <c r="D4" s="8"/>
      <c r="E4" s="8"/>
      <c r="F4" s="8"/>
      <c r="G4" s="8">
        <v>60</v>
      </c>
      <c r="H4" s="8"/>
      <c r="I4" s="8"/>
      <c r="J4" s="5">
        <f t="shared" ref="J4:J20" si="0">SUM(D4:I4)</f>
        <v>60</v>
      </c>
    </row>
    <row r="5" spans="1:10" ht="15.75" thickBot="1" x14ac:dyDescent="0.3">
      <c r="A5" s="6" t="s">
        <v>163</v>
      </c>
      <c r="B5" s="6" t="s">
        <v>552</v>
      </c>
      <c r="C5" s="7">
        <v>46023</v>
      </c>
      <c r="D5" s="8"/>
      <c r="E5" s="8"/>
      <c r="F5" s="8">
        <v>50</v>
      </c>
      <c r="G5" s="8"/>
      <c r="H5" s="8"/>
      <c r="I5" s="8"/>
      <c r="J5" s="5">
        <f t="shared" si="0"/>
        <v>50</v>
      </c>
    </row>
    <row r="6" spans="1:10" ht="15.75" thickBot="1" x14ac:dyDescent="0.3">
      <c r="A6" s="6" t="s">
        <v>7</v>
      </c>
      <c r="B6" s="6" t="s">
        <v>560</v>
      </c>
      <c r="C6" s="7">
        <v>46054</v>
      </c>
      <c r="D6" s="8"/>
      <c r="E6" s="8"/>
      <c r="F6" s="8"/>
      <c r="G6" s="8"/>
      <c r="H6" s="8">
        <v>51.5</v>
      </c>
      <c r="I6" s="8"/>
      <c r="J6" s="5">
        <f t="shared" si="0"/>
        <v>51.5</v>
      </c>
    </row>
    <row r="7" spans="1:10" ht="15.75" thickBot="1" x14ac:dyDescent="0.3">
      <c r="A7" s="6"/>
      <c r="B7" s="6"/>
      <c r="C7" s="7"/>
      <c r="D7" s="8"/>
      <c r="E7" s="8"/>
      <c r="F7" s="8"/>
      <c r="G7" s="8"/>
      <c r="H7" s="8"/>
      <c r="I7" s="8"/>
      <c r="J7" s="5">
        <f t="shared" si="0"/>
        <v>0</v>
      </c>
    </row>
    <row r="8" spans="1:10" ht="15.75" thickBot="1" x14ac:dyDescent="0.3">
      <c r="A8" s="6"/>
      <c r="B8" s="6"/>
      <c r="C8" s="7"/>
      <c r="D8" s="8"/>
      <c r="E8" s="8"/>
      <c r="F8" s="8"/>
      <c r="G8" s="8"/>
      <c r="H8" s="8"/>
      <c r="I8" s="8"/>
      <c r="J8" s="5">
        <f t="shared" si="0"/>
        <v>0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9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9"/>
      <c r="B11" s="420"/>
      <c r="C11" s="7"/>
      <c r="D11" s="8"/>
      <c r="E11" s="8"/>
      <c r="F11" s="8"/>
      <c r="G11" s="8"/>
      <c r="H11" s="8"/>
      <c r="I11" s="11"/>
      <c r="J11" s="12">
        <f t="shared" si="0"/>
        <v>0</v>
      </c>
    </row>
    <row r="12" spans="1:10" ht="15.75" thickBot="1" x14ac:dyDescent="0.3">
      <c r="A12" s="6"/>
      <c r="B12" s="6"/>
      <c r="C12" s="7"/>
      <c r="D12" s="8"/>
      <c r="E12" s="8"/>
      <c r="F12" s="8"/>
      <c r="G12" s="8"/>
      <c r="H12" s="8"/>
      <c r="I12" s="8"/>
      <c r="J12" s="5">
        <f t="shared" si="0"/>
        <v>0</v>
      </c>
    </row>
    <row r="13" spans="1:10" ht="15.75" thickBot="1" x14ac:dyDescent="0.3">
      <c r="A13" s="421" t="s">
        <v>432</v>
      </c>
      <c r="B13" s="421" t="s">
        <v>557</v>
      </c>
      <c r="C13" s="7">
        <v>46023</v>
      </c>
      <c r="D13" s="8"/>
      <c r="E13" s="8"/>
      <c r="F13" s="8"/>
      <c r="G13" s="8"/>
      <c r="H13" s="8"/>
      <c r="I13" s="8">
        <v>28.3</v>
      </c>
      <c r="J13" s="5">
        <f t="shared" si="0"/>
        <v>28.3</v>
      </c>
    </row>
    <row r="14" spans="1:10" ht="15.75" thickBot="1" x14ac:dyDescent="0.3">
      <c r="A14" s="15"/>
      <c r="B14" s="13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419"/>
      <c r="B15" s="419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17"/>
      <c r="B16" s="419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17"/>
      <c r="B17" s="419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8"/>
      <c r="B18" s="419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422"/>
      <c r="B19" s="422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419"/>
      <c r="B20" s="418"/>
      <c r="C20" s="21"/>
      <c r="D20" s="22"/>
      <c r="E20" s="22"/>
      <c r="F20" s="22"/>
      <c r="G20" s="22"/>
      <c r="H20" s="22"/>
      <c r="I20" s="22"/>
      <c r="J20" s="5">
        <f t="shared" si="0"/>
        <v>0</v>
      </c>
    </row>
    <row r="21" spans="1:13" ht="19.5" thickBot="1" x14ac:dyDescent="0.35">
      <c r="A21" s="23" t="s">
        <v>9</v>
      </c>
      <c r="B21" s="4"/>
      <c r="C21" s="24"/>
      <c r="D21" s="25">
        <f t="shared" ref="D21:J21" si="1">SUM(D4:D20)</f>
        <v>0</v>
      </c>
      <c r="E21" s="25">
        <f t="shared" si="1"/>
        <v>0</v>
      </c>
      <c r="F21" s="25">
        <f t="shared" si="1"/>
        <v>50</v>
      </c>
      <c r="G21" s="25">
        <f t="shared" si="1"/>
        <v>60</v>
      </c>
      <c r="H21" s="25">
        <f t="shared" si="1"/>
        <v>51.5</v>
      </c>
      <c r="I21" s="25">
        <f t="shared" si="1"/>
        <v>28.3</v>
      </c>
      <c r="J21" s="26">
        <f t="shared" si="1"/>
        <v>189.8</v>
      </c>
    </row>
    <row r="22" spans="1:13" ht="19.5" thickBot="1" x14ac:dyDescent="0.35">
      <c r="A22" s="27"/>
      <c r="B22" s="28"/>
      <c r="C22" s="29"/>
      <c r="D22" s="30"/>
      <c r="E22" s="30"/>
      <c r="F22" s="30"/>
      <c r="G22" s="30"/>
      <c r="H22" s="30"/>
      <c r="I22" s="30"/>
      <c r="J22" s="30"/>
    </row>
    <row r="23" spans="1:13" ht="24" thickBot="1" x14ac:dyDescent="0.4">
      <c r="A23" s="31" t="s">
        <v>12</v>
      </c>
      <c r="B23" s="28"/>
      <c r="C23" s="29"/>
      <c r="D23" s="30"/>
      <c r="E23" s="30"/>
      <c r="F23" s="30"/>
      <c r="G23" s="30"/>
      <c r="H23" s="30"/>
      <c r="I23" s="30"/>
      <c r="J23" s="30"/>
    </row>
    <row r="24" spans="1:13" ht="15.75" thickBot="1" x14ac:dyDescent="0.3">
      <c r="A24" s="32" t="s">
        <v>13</v>
      </c>
      <c r="B24" s="4" t="s">
        <v>1</v>
      </c>
      <c r="C24" s="33" t="s">
        <v>14</v>
      </c>
      <c r="D24" s="33" t="s">
        <v>3</v>
      </c>
      <c r="E24" s="33" t="s">
        <v>4</v>
      </c>
      <c r="F24" s="4" t="s">
        <v>5</v>
      </c>
      <c r="G24" s="4" t="s">
        <v>6</v>
      </c>
      <c r="H24" s="4" t="s">
        <v>15</v>
      </c>
      <c r="I24" s="4" t="s">
        <v>8</v>
      </c>
      <c r="J24" s="34" t="s">
        <v>9</v>
      </c>
    </row>
    <row r="25" spans="1:13" ht="15.75" thickBot="1" x14ac:dyDescent="0.3">
      <c r="A25" s="422"/>
      <c r="B25" s="21"/>
      <c r="C25" s="21"/>
      <c r="D25" s="35"/>
      <c r="E25" s="36"/>
      <c r="F25" s="35"/>
      <c r="G25" s="35"/>
      <c r="H25" s="37"/>
      <c r="I25" s="37"/>
      <c r="J25" s="38">
        <f>SUM(D25:I25)</f>
        <v>0</v>
      </c>
    </row>
    <row r="26" spans="1:13" ht="15.75" thickBot="1" x14ac:dyDescent="0.3">
      <c r="A26" s="422"/>
      <c r="B26" s="21"/>
      <c r="C26" s="21"/>
      <c r="D26" s="35"/>
      <c r="E26" s="35"/>
      <c r="F26" s="35"/>
      <c r="G26" s="35"/>
      <c r="H26" s="37"/>
      <c r="I26" s="37"/>
      <c r="J26" s="38">
        <f t="shared" ref="J26:J28" si="2">SUM(D26:I26)</f>
        <v>0</v>
      </c>
    </row>
    <row r="27" spans="1:13" ht="15.75" thickBot="1" x14ac:dyDescent="0.3">
      <c r="A27" s="422"/>
      <c r="B27" s="419"/>
      <c r="C27" s="7"/>
      <c r="D27" s="39"/>
      <c r="E27" s="39"/>
      <c r="F27" s="39"/>
      <c r="G27" s="39"/>
      <c r="H27" s="8"/>
      <c r="I27" s="8"/>
      <c r="J27" s="38">
        <f t="shared" si="2"/>
        <v>0</v>
      </c>
    </row>
    <row r="28" spans="1:13" ht="15.75" thickBot="1" x14ac:dyDescent="0.3">
      <c r="A28" s="4"/>
      <c r="B28" s="40"/>
      <c r="C28" s="7"/>
      <c r="D28" s="39"/>
      <c r="E28" s="39"/>
      <c r="F28" s="39"/>
      <c r="G28" s="39"/>
      <c r="H28" s="8"/>
      <c r="I28" s="8"/>
      <c r="J28" s="38">
        <f t="shared" si="2"/>
        <v>0</v>
      </c>
      <c r="L28" s="41" t="s">
        <v>16</v>
      </c>
      <c r="M28" s="42">
        <f>J29+J39</f>
        <v>510</v>
      </c>
    </row>
    <row r="29" spans="1:13" ht="15.75" thickBot="1" x14ac:dyDescent="0.3">
      <c r="A29" s="4" t="s">
        <v>9</v>
      </c>
      <c r="B29" s="43"/>
      <c r="C29" s="44"/>
      <c r="D29" s="45"/>
      <c r="E29" s="45"/>
      <c r="F29" s="45"/>
      <c r="G29" s="45"/>
      <c r="H29" s="45"/>
      <c r="I29" s="45"/>
      <c r="J29" s="12">
        <f>SUM(J25:J28)</f>
        <v>0</v>
      </c>
    </row>
    <row r="30" spans="1:13" ht="15.75" thickBot="1" x14ac:dyDescent="0.3">
      <c r="A30" s="28"/>
      <c r="B30" s="46"/>
      <c r="C30" s="47"/>
      <c r="D30" s="48"/>
      <c r="E30" s="48"/>
      <c r="F30" s="48"/>
      <c r="G30" s="48"/>
      <c r="H30" s="48"/>
      <c r="I30" s="48"/>
      <c r="J30" s="49"/>
    </row>
    <row r="31" spans="1:13" ht="24" thickBot="1" x14ac:dyDescent="0.4">
      <c r="A31" s="31" t="s">
        <v>12</v>
      </c>
      <c r="B31" s="28"/>
      <c r="C31" s="29"/>
      <c r="D31" s="30"/>
      <c r="E31" s="30"/>
      <c r="F31" s="30"/>
      <c r="G31" s="30"/>
      <c r="H31" s="30"/>
      <c r="I31" s="30"/>
      <c r="J31" s="30"/>
    </row>
    <row r="32" spans="1:13" ht="30.75" thickBot="1" x14ac:dyDescent="0.3">
      <c r="A32" s="50" t="s">
        <v>17</v>
      </c>
      <c r="B32" s="4" t="s">
        <v>18</v>
      </c>
      <c r="C32" s="33" t="s">
        <v>14</v>
      </c>
      <c r="D32" s="33" t="s">
        <v>3</v>
      </c>
      <c r="E32" s="33" t="s">
        <v>4</v>
      </c>
      <c r="F32" s="33" t="s">
        <v>19</v>
      </c>
      <c r="G32" s="33" t="s">
        <v>20</v>
      </c>
      <c r="H32" s="33" t="s">
        <v>15</v>
      </c>
      <c r="I32" s="51" t="s">
        <v>21</v>
      </c>
      <c r="J32" s="34" t="s">
        <v>9</v>
      </c>
    </row>
    <row r="33" spans="1:13" ht="15.75" thickBot="1" x14ac:dyDescent="0.3">
      <c r="A33" s="591" t="s">
        <v>549</v>
      </c>
      <c r="B33" s="591" t="s">
        <v>550</v>
      </c>
      <c r="C33" s="7">
        <v>45962</v>
      </c>
      <c r="D33" s="8">
        <v>24.7</v>
      </c>
      <c r="E33" s="8">
        <v>7</v>
      </c>
      <c r="F33" s="8"/>
      <c r="G33" s="8"/>
      <c r="H33" s="8">
        <v>200</v>
      </c>
      <c r="I33" s="8"/>
      <c r="J33" s="5">
        <f t="shared" ref="J33:J38" si="3">SUM(D33:I33)</f>
        <v>231.7</v>
      </c>
    </row>
    <row r="34" spans="1:13" ht="15.75" thickBot="1" x14ac:dyDescent="0.3">
      <c r="A34" s="593"/>
      <c r="B34" s="593"/>
      <c r="C34" s="7">
        <v>45992</v>
      </c>
      <c r="D34" s="35">
        <v>25.8</v>
      </c>
      <c r="E34" s="35">
        <v>6.1</v>
      </c>
      <c r="F34" s="35"/>
      <c r="G34" s="35"/>
      <c r="H34" s="37">
        <v>200</v>
      </c>
      <c r="I34" s="37"/>
      <c r="J34" s="38">
        <f t="shared" si="3"/>
        <v>231.9</v>
      </c>
    </row>
    <row r="35" spans="1:13" ht="15.75" thickBot="1" x14ac:dyDescent="0.3">
      <c r="A35" s="592"/>
      <c r="B35" s="592"/>
      <c r="C35" s="7">
        <v>46023</v>
      </c>
      <c r="D35" s="39">
        <v>28.4</v>
      </c>
      <c r="E35" s="39">
        <v>8</v>
      </c>
      <c r="F35" s="39"/>
      <c r="G35" s="39"/>
      <c r="H35" s="8"/>
      <c r="I35" s="8">
        <v>10</v>
      </c>
      <c r="J35" s="38">
        <f t="shared" si="3"/>
        <v>46.4</v>
      </c>
    </row>
    <row r="36" spans="1:13" ht="15.75" thickBot="1" x14ac:dyDescent="0.3">
      <c r="A36" s="421"/>
      <c r="B36" s="421"/>
      <c r="C36" s="7"/>
      <c r="D36" s="39"/>
      <c r="E36" s="39"/>
      <c r="F36" s="39"/>
      <c r="G36" s="39"/>
      <c r="H36" s="8"/>
      <c r="I36" s="8"/>
      <c r="J36" s="38"/>
    </row>
    <row r="37" spans="1:13" ht="15.75" thickBot="1" x14ac:dyDescent="0.3">
      <c r="A37" s="421"/>
      <c r="B37" s="421"/>
      <c r="C37" s="7"/>
      <c r="D37" s="39"/>
      <c r="E37" s="39"/>
      <c r="F37" s="39"/>
      <c r="G37" s="39"/>
      <c r="H37" s="8"/>
      <c r="I37" s="8"/>
      <c r="J37" s="38"/>
    </row>
    <row r="38" spans="1:13" ht="15.75" thickBot="1" x14ac:dyDescent="0.3">
      <c r="A38" s="4"/>
      <c r="B38" s="40"/>
      <c r="C38" s="7"/>
      <c r="D38" s="39"/>
      <c r="E38" s="39"/>
      <c r="F38" s="39"/>
      <c r="G38" s="39"/>
      <c r="H38" s="8"/>
      <c r="I38" s="8"/>
      <c r="J38" s="38">
        <f t="shared" si="3"/>
        <v>0</v>
      </c>
      <c r="L38" s="53"/>
      <c r="M38" s="54"/>
    </row>
    <row r="39" spans="1:13" ht="15.75" thickBot="1" x14ac:dyDescent="0.3">
      <c r="A39" s="4" t="s">
        <v>9</v>
      </c>
      <c r="B39" s="43"/>
      <c r="C39" s="44"/>
      <c r="D39" s="45"/>
      <c r="E39" s="45"/>
      <c r="F39" s="45"/>
      <c r="G39" s="45"/>
      <c r="H39" s="45"/>
      <c r="I39" s="45"/>
      <c r="J39" s="12">
        <f>SUM(J33:J38)</f>
        <v>510</v>
      </c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x14ac:dyDescent="0.25">
      <c r="A41" s="28"/>
      <c r="B41" s="46"/>
      <c r="C41" s="47"/>
      <c r="D41" s="48"/>
      <c r="E41" s="48"/>
      <c r="F41" s="48"/>
      <c r="G41" s="48"/>
      <c r="H41" s="48"/>
      <c r="I41" s="48"/>
      <c r="J41" s="49"/>
    </row>
    <row r="42" spans="1:13" ht="15.75" thickBot="1" x14ac:dyDescent="0.3">
      <c r="A42" s="2"/>
      <c r="B42" s="2"/>
      <c r="C42" s="2"/>
      <c r="J42" s="3"/>
    </row>
    <row r="43" spans="1:13" ht="45.75" thickBot="1" x14ac:dyDescent="0.3">
      <c r="A43" s="33" t="s">
        <v>22</v>
      </c>
      <c r="B43" s="4" t="s">
        <v>18</v>
      </c>
      <c r="C43" s="33" t="s">
        <v>14</v>
      </c>
      <c r="D43" s="33" t="s">
        <v>3</v>
      </c>
      <c r="E43" s="33" t="s">
        <v>4</v>
      </c>
      <c r="F43" s="33" t="s">
        <v>19</v>
      </c>
      <c r="G43" s="33" t="s">
        <v>20</v>
      </c>
      <c r="H43" s="4" t="s">
        <v>21</v>
      </c>
      <c r="I43" s="51" t="s">
        <v>15</v>
      </c>
      <c r="J43" s="34" t="s">
        <v>9</v>
      </c>
    </row>
    <row r="44" spans="1:13" ht="15.75" thickBot="1" x14ac:dyDescent="0.3">
      <c r="A44" s="564" t="s">
        <v>559</v>
      </c>
      <c r="B44" s="566" t="s">
        <v>697</v>
      </c>
      <c r="C44" s="428">
        <v>45962</v>
      </c>
      <c r="D44" s="330">
        <v>31.3</v>
      </c>
      <c r="E44" s="55">
        <v>6</v>
      </c>
      <c r="F44" s="37"/>
      <c r="G44" s="37"/>
      <c r="H44" s="37"/>
      <c r="I44" s="37"/>
      <c r="J44" s="38">
        <f t="shared" ref="J44:J46" si="4">SUM(D44:I44)</f>
        <v>37.299999999999997</v>
      </c>
    </row>
    <row r="45" spans="1:13" ht="15.75" thickBot="1" x14ac:dyDescent="0.3">
      <c r="A45" s="594"/>
      <c r="B45" s="597"/>
      <c r="C45" s="21">
        <v>45992</v>
      </c>
      <c r="D45" s="22">
        <v>31.8</v>
      </c>
      <c r="E45" s="22">
        <v>6</v>
      </c>
      <c r="F45" s="37"/>
      <c r="G45" s="37"/>
      <c r="H45" s="37"/>
      <c r="I45" s="37"/>
      <c r="J45" s="38">
        <f t="shared" si="4"/>
        <v>37.799999999999997</v>
      </c>
    </row>
    <row r="46" spans="1:13" ht="15.75" thickBot="1" x14ac:dyDescent="0.3">
      <c r="A46" s="565"/>
      <c r="B46" s="567"/>
      <c r="C46" s="7">
        <v>46054</v>
      </c>
      <c r="D46" s="22">
        <v>30.9</v>
      </c>
      <c r="E46" s="22">
        <v>5</v>
      </c>
      <c r="F46" s="37"/>
      <c r="G46" s="37"/>
      <c r="H46" s="37"/>
      <c r="I46" s="37"/>
      <c r="J46" s="38">
        <f t="shared" si="4"/>
        <v>35.9</v>
      </c>
    </row>
    <row r="47" spans="1:13" ht="15.75" thickBot="1" x14ac:dyDescent="0.3">
      <c r="A47" s="40" t="s">
        <v>549</v>
      </c>
      <c r="B47" s="21" t="s">
        <v>551</v>
      </c>
      <c r="C47" s="21">
        <v>46023</v>
      </c>
      <c r="D47" s="22"/>
      <c r="E47" s="55">
        <v>0.1</v>
      </c>
      <c r="F47" s="37"/>
      <c r="G47" s="37"/>
      <c r="H47" s="37"/>
      <c r="I47" s="37"/>
      <c r="J47" s="38">
        <f>SUM(D47:I47)</f>
        <v>0.1</v>
      </c>
    </row>
    <row r="48" spans="1:13" ht="15.75" thickBot="1" x14ac:dyDescent="0.3">
      <c r="A48" s="40" t="s">
        <v>553</v>
      </c>
      <c r="B48" s="21" t="s">
        <v>554</v>
      </c>
      <c r="C48" s="21">
        <v>46023</v>
      </c>
      <c r="D48" s="22">
        <v>325.60000000000002</v>
      </c>
      <c r="E48" s="22">
        <v>5</v>
      </c>
      <c r="F48" s="37">
        <v>60</v>
      </c>
      <c r="G48" s="37">
        <v>5</v>
      </c>
      <c r="H48" s="37"/>
      <c r="I48" s="37"/>
      <c r="J48" s="38">
        <f t="shared" ref="J48:J57" si="5">SUM(D48:I48)</f>
        <v>395.6</v>
      </c>
    </row>
    <row r="49" spans="1:10" ht="15.75" thickBot="1" x14ac:dyDescent="0.3">
      <c r="A49" s="419" t="s">
        <v>521</v>
      </c>
      <c r="B49" s="21" t="s">
        <v>555</v>
      </c>
      <c r="C49" s="21">
        <v>46023</v>
      </c>
      <c r="D49" s="22">
        <v>245.7</v>
      </c>
      <c r="E49" s="22">
        <v>6</v>
      </c>
      <c r="F49" s="37"/>
      <c r="G49" s="37"/>
      <c r="H49" s="37"/>
      <c r="I49" s="37"/>
      <c r="J49" s="38">
        <f t="shared" si="5"/>
        <v>251.7</v>
      </c>
    </row>
    <row r="50" spans="1:10" ht="15.75" thickBot="1" x14ac:dyDescent="0.3">
      <c r="A50" s="419"/>
      <c r="B50" s="21"/>
      <c r="C50" s="21"/>
      <c r="D50" s="22"/>
      <c r="E50" s="22"/>
      <c r="F50" s="37"/>
      <c r="G50" s="37"/>
      <c r="H50" s="37"/>
      <c r="I50" s="37"/>
      <c r="J50" s="38">
        <f t="shared" si="5"/>
        <v>0</v>
      </c>
    </row>
    <row r="51" spans="1:10" ht="15.75" thickBot="1" x14ac:dyDescent="0.3">
      <c r="A51" s="419"/>
      <c r="B51" s="21"/>
      <c r="C51" s="21"/>
      <c r="D51" s="37"/>
      <c r="E51" s="37"/>
      <c r="F51" s="37"/>
      <c r="G51" s="37"/>
      <c r="H51" s="37"/>
      <c r="I51" s="37"/>
      <c r="J51" s="38">
        <f t="shared" si="5"/>
        <v>0</v>
      </c>
    </row>
    <row r="52" spans="1:10" ht="15.75" thickBot="1" x14ac:dyDescent="0.3">
      <c r="A52" s="419"/>
      <c r="B52" s="21"/>
      <c r="C52" s="21"/>
      <c r="D52" s="37"/>
      <c r="E52" s="37"/>
      <c r="F52" s="37"/>
      <c r="G52" s="37"/>
      <c r="H52" s="37"/>
      <c r="I52" s="37"/>
      <c r="J52" s="38">
        <f t="shared" si="5"/>
        <v>0</v>
      </c>
    </row>
    <row r="53" spans="1:10" ht="15.75" thickBot="1" x14ac:dyDescent="0.3">
      <c r="A53" s="419"/>
      <c r="B53" s="21"/>
      <c r="C53" s="21"/>
      <c r="D53" s="37"/>
      <c r="E53" s="37"/>
      <c r="F53" s="37"/>
      <c r="G53" s="37"/>
      <c r="H53" s="37"/>
      <c r="I53" s="37"/>
      <c r="J53" s="38">
        <f t="shared" si="5"/>
        <v>0</v>
      </c>
    </row>
    <row r="54" spans="1:10" ht="15.75" thickBot="1" x14ac:dyDescent="0.3">
      <c r="A54" s="56"/>
      <c r="B54" s="21"/>
      <c r="C54" s="21"/>
      <c r="D54" s="37"/>
      <c r="E54" s="37"/>
      <c r="F54" s="37"/>
      <c r="G54" s="37"/>
      <c r="H54" s="37"/>
      <c r="I54" s="37"/>
      <c r="J54" s="38">
        <f t="shared" si="5"/>
        <v>0</v>
      </c>
    </row>
    <row r="55" spans="1:10" ht="15.75" thickBot="1" x14ac:dyDescent="0.3">
      <c r="A55" s="40"/>
      <c r="B55" s="21"/>
      <c r="C55" s="21"/>
      <c r="D55" s="37"/>
      <c r="F55" s="37"/>
      <c r="G55" s="37"/>
      <c r="H55" s="37"/>
      <c r="I55" s="37"/>
      <c r="J55" s="38">
        <f t="shared" si="5"/>
        <v>0</v>
      </c>
    </row>
    <row r="56" spans="1:10" ht="15.75" thickBot="1" x14ac:dyDescent="0.3">
      <c r="A56" s="40"/>
      <c r="B56" s="21"/>
      <c r="C56" s="21"/>
      <c r="D56" s="37"/>
      <c r="E56" s="37"/>
      <c r="F56" s="37"/>
      <c r="G56" s="37"/>
      <c r="H56" s="37"/>
      <c r="I56" s="37"/>
      <c r="J56" s="38">
        <f t="shared" si="5"/>
        <v>0</v>
      </c>
    </row>
    <row r="57" spans="1:10" ht="15.75" thickBot="1" x14ac:dyDescent="0.3">
      <c r="A57" s="40"/>
      <c r="B57" s="21"/>
      <c r="C57" s="21"/>
      <c r="D57" s="57"/>
      <c r="E57" s="57"/>
      <c r="F57" s="57"/>
      <c r="G57" s="57"/>
      <c r="H57" s="57"/>
      <c r="I57" s="57"/>
      <c r="J57" s="38">
        <f t="shared" si="5"/>
        <v>0</v>
      </c>
    </row>
    <row r="58" spans="1:10" ht="19.5" thickBot="1" x14ac:dyDescent="0.35">
      <c r="A58" s="23" t="s">
        <v>9</v>
      </c>
      <c r="B58" s="21"/>
      <c r="C58" s="24"/>
      <c r="D58" s="25">
        <f t="shared" ref="D58:I58" si="6">SUM(D47:D57)</f>
        <v>571.29999999999995</v>
      </c>
      <c r="E58" s="25">
        <f t="shared" si="6"/>
        <v>11.1</v>
      </c>
      <c r="F58" s="25">
        <f t="shared" si="6"/>
        <v>60</v>
      </c>
      <c r="G58" s="25">
        <f t="shared" si="6"/>
        <v>5</v>
      </c>
      <c r="H58" s="25">
        <f t="shared" si="6"/>
        <v>0</v>
      </c>
      <c r="I58" s="25">
        <f t="shared" si="6"/>
        <v>0</v>
      </c>
      <c r="J58" s="25">
        <f>SUM(J44:J57)</f>
        <v>758.40000000000009</v>
      </c>
    </row>
    <row r="59" spans="1:10" ht="15.75" x14ac:dyDescent="0.25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6.5" thickBot="1" x14ac:dyDescent="0.3">
      <c r="A60" s="58"/>
      <c r="B60" s="58"/>
      <c r="C60" s="59"/>
      <c r="D60" s="60"/>
      <c r="E60" s="60"/>
      <c r="F60" s="60"/>
      <c r="G60" s="60"/>
      <c r="H60" s="60"/>
      <c r="I60" s="60"/>
      <c r="J60" s="60"/>
    </row>
    <row r="61" spans="1:10" ht="19.5" thickBot="1" x14ac:dyDescent="0.35">
      <c r="A61" s="554" t="s">
        <v>23</v>
      </c>
      <c r="B61" s="555"/>
      <c r="C61" s="61"/>
      <c r="D61" s="62"/>
      <c r="E61" s="62"/>
      <c r="F61" s="62"/>
      <c r="G61" s="62"/>
      <c r="H61" s="62"/>
      <c r="I61" s="62"/>
      <c r="J61" s="26">
        <f>+J21+J58</f>
        <v>948.2</v>
      </c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x14ac:dyDescent="0.25">
      <c r="A63" s="2"/>
      <c r="B63" s="2"/>
      <c r="C63" s="63"/>
      <c r="D63" s="3"/>
      <c r="E63" s="3"/>
      <c r="F63" s="3"/>
      <c r="G63" s="3"/>
      <c r="H63" s="3"/>
      <c r="I63" s="3"/>
      <c r="J63" s="3"/>
    </row>
    <row r="64" spans="1:10" ht="16.5" thickBot="1" x14ac:dyDescent="0.3">
      <c r="A64" s="64" t="s">
        <v>24</v>
      </c>
      <c r="B64" s="2"/>
      <c r="C64" s="63"/>
      <c r="D64" s="3"/>
      <c r="E64" s="3"/>
      <c r="F64" s="3"/>
      <c r="G64" s="3"/>
      <c r="H64" s="3"/>
      <c r="I64" s="3"/>
      <c r="J64" s="3"/>
    </row>
    <row r="65" spans="1:10" ht="19.5" thickBot="1" x14ac:dyDescent="0.35">
      <c r="A65" s="65" t="s">
        <v>25</v>
      </c>
      <c r="B65" s="66"/>
      <c r="C65" s="67"/>
      <c r="D65" s="68"/>
      <c r="E65" s="68"/>
      <c r="F65" s="68"/>
      <c r="G65" s="68"/>
      <c r="H65" s="68"/>
      <c r="I65" s="68"/>
      <c r="J65" s="26"/>
    </row>
    <row r="66" spans="1:10" ht="19.5" thickBot="1" x14ac:dyDescent="0.35">
      <c r="A66" s="65" t="s">
        <v>26</v>
      </c>
      <c r="B66" s="66"/>
      <c r="C66" s="69"/>
      <c r="D66" s="68"/>
      <c r="E66" s="68"/>
      <c r="F66" s="68"/>
      <c r="G66" s="68"/>
      <c r="H66" s="68"/>
      <c r="I66" s="68"/>
      <c r="J66" s="26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8.75" x14ac:dyDescent="0.3">
      <c r="A68" s="70"/>
      <c r="B68" s="70"/>
      <c r="C68" s="71"/>
      <c r="D68" s="72"/>
      <c r="E68" s="72"/>
      <c r="F68" s="72"/>
      <c r="G68" s="72"/>
      <c r="H68" s="72"/>
      <c r="I68" s="72"/>
      <c r="J68" s="30"/>
    </row>
    <row r="69" spans="1:10" ht="16.5" thickBot="1" x14ac:dyDescent="0.3">
      <c r="A69" s="73" t="s">
        <v>27</v>
      </c>
      <c r="B69" s="74"/>
      <c r="C69" s="63"/>
      <c r="D69" s="3"/>
      <c r="E69" s="3"/>
      <c r="F69" s="3"/>
      <c r="G69" s="3"/>
      <c r="H69" s="3"/>
      <c r="I69" s="3"/>
      <c r="J69" s="3"/>
    </row>
    <row r="70" spans="1:10" ht="19.5" thickBot="1" x14ac:dyDescent="0.35">
      <c r="A70" s="75" t="s">
        <v>28</v>
      </c>
      <c r="B70" s="76"/>
      <c r="C70" s="77"/>
      <c r="D70" s="78"/>
      <c r="E70" s="78"/>
      <c r="F70" s="78"/>
      <c r="G70" s="78"/>
      <c r="H70" s="78"/>
      <c r="I70" s="78"/>
      <c r="J70" s="79">
        <v>323</v>
      </c>
    </row>
    <row r="71" spans="1:10" x14ac:dyDescent="0.25">
      <c r="A71" s="80"/>
      <c r="B71" s="2"/>
      <c r="C71" s="63"/>
      <c r="D71" s="3"/>
      <c r="E71" s="3"/>
      <c r="F71" s="3"/>
      <c r="G71" s="3"/>
      <c r="H71" s="3"/>
      <c r="I71" s="3"/>
      <c r="J71" s="3"/>
    </row>
    <row r="72" spans="1:10" ht="16.5" thickBot="1" x14ac:dyDescent="0.3">
      <c r="A72" s="73"/>
      <c r="B72" s="74"/>
      <c r="C72" s="63"/>
      <c r="D72" s="3"/>
      <c r="E72" s="3"/>
      <c r="F72" s="3"/>
      <c r="G72" s="3"/>
      <c r="H72" s="3"/>
      <c r="I72" s="3"/>
      <c r="J72" s="3"/>
    </row>
    <row r="73" spans="1:10" ht="19.5" thickBot="1" x14ac:dyDescent="0.35">
      <c r="A73" s="75" t="s">
        <v>29</v>
      </c>
      <c r="B73" s="76"/>
      <c r="C73" s="81"/>
      <c r="D73" s="78"/>
      <c r="E73" s="78"/>
      <c r="F73" s="78"/>
      <c r="G73" s="78"/>
      <c r="H73" s="78"/>
      <c r="I73" s="78"/>
      <c r="J73" s="82"/>
    </row>
    <row r="74" spans="1:10" ht="15.75" thickBot="1" x14ac:dyDescent="0.3">
      <c r="A74" s="80"/>
      <c r="B74" s="2"/>
      <c r="C74" s="63"/>
      <c r="D74" s="3"/>
      <c r="E74" s="3"/>
      <c r="F74" s="3"/>
      <c r="G74" s="3"/>
      <c r="H74" s="3"/>
      <c r="I74" s="3"/>
      <c r="J74" s="3"/>
    </row>
    <row r="75" spans="1:10" ht="21.75" thickBot="1" x14ac:dyDescent="0.4">
      <c r="A75" s="556" t="s">
        <v>30</v>
      </c>
      <c r="B75" s="557"/>
      <c r="C75" s="83"/>
      <c r="D75" s="84"/>
      <c r="E75" s="84"/>
      <c r="F75" s="84"/>
      <c r="G75" s="84"/>
      <c r="H75" s="84"/>
      <c r="I75" s="84"/>
      <c r="J75" s="85">
        <f>SUM(J61:J74)</f>
        <v>1271.2</v>
      </c>
    </row>
    <row r="76" spans="1:10" x14ac:dyDescent="0.25">
      <c r="A76" s="2"/>
      <c r="B76" s="2"/>
      <c r="C76" s="63"/>
      <c r="D76" s="3"/>
      <c r="E76" s="3"/>
      <c r="F76" s="3"/>
      <c r="G76" s="3"/>
      <c r="H76" s="3"/>
      <c r="I76" s="3"/>
      <c r="J76" s="3"/>
    </row>
    <row r="77" spans="1:10" ht="21" x14ac:dyDescent="0.35">
      <c r="A77" s="553" t="s">
        <v>543</v>
      </c>
      <c r="B77" s="553"/>
      <c r="C77" s="553"/>
      <c r="D77" s="553"/>
      <c r="E77" s="553"/>
      <c r="F77" s="553"/>
      <c r="G77" s="553"/>
      <c r="H77" s="553"/>
      <c r="I77" s="553"/>
      <c r="J77" s="553"/>
    </row>
    <row r="78" spans="1:10" ht="21.75" thickBot="1" x14ac:dyDescent="0.4">
      <c r="A78" s="417" t="s">
        <v>31</v>
      </c>
      <c r="B78" s="417"/>
      <c r="C78" s="417"/>
      <c r="D78" s="417"/>
      <c r="E78" s="417"/>
      <c r="F78" s="417"/>
      <c r="G78" s="417"/>
      <c r="H78" s="417"/>
      <c r="I78" s="417"/>
      <c r="J78" s="87"/>
    </row>
    <row r="79" spans="1:10" ht="15.75" thickBot="1" x14ac:dyDescent="0.3">
      <c r="A79" s="88" t="s">
        <v>32</v>
      </c>
      <c r="B79" s="89" t="s">
        <v>33</v>
      </c>
      <c r="C79" s="558" t="s">
        <v>2</v>
      </c>
      <c r="D79" s="559"/>
      <c r="E79" s="559"/>
      <c r="F79" s="559"/>
      <c r="G79" s="559"/>
      <c r="H79" s="559"/>
      <c r="I79" s="560"/>
      <c r="J79" s="90" t="s">
        <v>9</v>
      </c>
    </row>
    <row r="80" spans="1:10" ht="15.75" thickBot="1" x14ac:dyDescent="0.3">
      <c r="A80" s="91" t="s">
        <v>92</v>
      </c>
      <c r="B80" s="92" t="s">
        <v>547</v>
      </c>
      <c r="C80" s="550" t="s">
        <v>548</v>
      </c>
      <c r="D80" s="551"/>
      <c r="E80" s="551"/>
      <c r="F80" s="551"/>
      <c r="G80" s="551"/>
      <c r="H80" s="551"/>
      <c r="I80" s="551"/>
      <c r="J80" s="22">
        <v>80</v>
      </c>
    </row>
    <row r="81" spans="1:10" ht="15.75" thickBot="1" x14ac:dyDescent="0.3">
      <c r="A81" s="40"/>
      <c r="B81" s="92"/>
      <c r="C81" s="550"/>
      <c r="D81" s="551"/>
      <c r="E81" s="551"/>
      <c r="F81" s="551"/>
      <c r="G81" s="551"/>
      <c r="H81" s="552"/>
      <c r="I81" s="552"/>
      <c r="J81" s="22"/>
    </row>
    <row r="82" spans="1:10" ht="15.75" thickBot="1" x14ac:dyDescent="0.3">
      <c r="A82" s="40"/>
      <c r="B82" s="92"/>
      <c r="C82" s="561"/>
      <c r="D82" s="562"/>
      <c r="E82" s="562"/>
      <c r="F82" s="562"/>
      <c r="G82" s="562"/>
      <c r="H82" s="562"/>
      <c r="I82" s="562"/>
      <c r="J82" s="93"/>
    </row>
    <row r="83" spans="1:10" ht="15.75" thickBot="1" x14ac:dyDescent="0.3">
      <c r="A83" s="40"/>
      <c r="B83" s="92"/>
      <c r="C83" s="550"/>
      <c r="D83" s="551"/>
      <c r="E83" s="551"/>
      <c r="F83" s="551"/>
      <c r="G83" s="551"/>
      <c r="H83" s="552"/>
      <c r="I83" s="552"/>
      <c r="J83" s="22"/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22"/>
    </row>
    <row r="85" spans="1:10" ht="15.75" thickBot="1" x14ac:dyDescent="0.3">
      <c r="A85" s="40"/>
      <c r="B85" s="92"/>
      <c r="C85" s="550"/>
      <c r="D85" s="551"/>
      <c r="E85" s="551"/>
      <c r="F85" s="551"/>
      <c r="G85" s="551"/>
      <c r="H85" s="552"/>
      <c r="I85" s="552"/>
      <c r="J85" s="37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37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37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9.5" thickBot="1" x14ac:dyDescent="0.35">
      <c r="A90" s="94" t="s">
        <v>34</v>
      </c>
      <c r="B90" s="554"/>
      <c r="C90" s="563"/>
      <c r="D90" s="563"/>
      <c r="E90" s="563"/>
      <c r="F90" s="563"/>
      <c r="G90" s="563"/>
      <c r="H90" s="563"/>
      <c r="I90" s="563"/>
      <c r="J90" s="95">
        <f>SUM(J80:J89)</f>
        <v>80</v>
      </c>
    </row>
    <row r="91" spans="1:10" ht="18.75" x14ac:dyDescent="0.3">
      <c r="A91" s="27"/>
      <c r="B91" s="27"/>
      <c r="C91" s="96"/>
      <c r="D91" s="96"/>
      <c r="E91" s="96"/>
      <c r="F91" s="97"/>
      <c r="G91" s="96"/>
      <c r="H91" s="96"/>
      <c r="I91" s="96"/>
      <c r="J91" s="30"/>
    </row>
    <row r="92" spans="1:10" ht="18.75" x14ac:dyDescent="0.3">
      <c r="A92" s="27"/>
      <c r="B92" s="27"/>
      <c r="C92" s="96"/>
      <c r="D92" s="96"/>
      <c r="E92" s="96"/>
      <c r="F92" s="97"/>
      <c r="G92" s="96"/>
      <c r="H92" s="96"/>
      <c r="I92" s="96"/>
      <c r="J92" s="30"/>
    </row>
    <row r="93" spans="1:10" ht="18.75" x14ac:dyDescent="0.3">
      <c r="A93" s="58" t="s">
        <v>35</v>
      </c>
      <c r="B93" s="27"/>
      <c r="C93" s="2"/>
      <c r="D93" s="3"/>
      <c r="F93" s="3"/>
      <c r="J93" s="3"/>
    </row>
    <row r="94" spans="1:10" x14ac:dyDescent="0.25">
      <c r="A94" s="2" t="s">
        <v>36</v>
      </c>
      <c r="B94" s="63">
        <f>+J75</f>
        <v>1271.2</v>
      </c>
      <c r="C94" s="98"/>
      <c r="D94" s="3"/>
      <c r="F94" s="3"/>
      <c r="J94" s="3"/>
    </row>
    <row r="95" spans="1:10" ht="15.75" thickBot="1" x14ac:dyDescent="0.3">
      <c r="A95" s="2" t="s">
        <v>34</v>
      </c>
      <c r="B95" s="99">
        <f>+J90</f>
        <v>80</v>
      </c>
      <c r="C95" s="100"/>
      <c r="D95" s="3"/>
      <c r="F95" s="3"/>
      <c r="G95" s="101"/>
      <c r="H95" s="101"/>
      <c r="I95" s="102"/>
      <c r="J95" s="102"/>
    </row>
    <row r="96" spans="1:10" ht="17.25" thickTop="1" thickBot="1" x14ac:dyDescent="0.3">
      <c r="A96" s="58" t="s">
        <v>37</v>
      </c>
      <c r="B96" s="103">
        <f>++B94-B95</f>
        <v>1191.2</v>
      </c>
      <c r="C96" s="104"/>
      <c r="D96" s="105"/>
      <c r="E96" s="106"/>
      <c r="F96" s="105"/>
      <c r="G96" s="107"/>
      <c r="H96" s="107"/>
      <c r="I96" s="3"/>
    </row>
    <row r="97" ht="15.75" thickTop="1" x14ac:dyDescent="0.25"/>
  </sheetData>
  <mergeCells count="20">
    <mergeCell ref="C80:I80"/>
    <mergeCell ref="B90:I90"/>
    <mergeCell ref="B33:B35"/>
    <mergeCell ref="A33:A35"/>
    <mergeCell ref="C85:I85"/>
    <mergeCell ref="C86:I86"/>
    <mergeCell ref="C87:I87"/>
    <mergeCell ref="C88:I88"/>
    <mergeCell ref="C89:I89"/>
    <mergeCell ref="C81:I81"/>
    <mergeCell ref="C82:I82"/>
    <mergeCell ref="C83:I83"/>
    <mergeCell ref="C84:I84"/>
    <mergeCell ref="A44:A46"/>
    <mergeCell ref="A1:J1"/>
    <mergeCell ref="A61:B61"/>
    <mergeCell ref="A75:B75"/>
    <mergeCell ref="A77:J77"/>
    <mergeCell ref="C79:I79"/>
    <mergeCell ref="B44:B46"/>
  </mergeCells>
  <phoneticPr fontId="13" type="noConversion"/>
  <pageMargins left="0.17" right="0.17" top="2.2200000000000002" bottom="0.17" header="0.17" footer="0.17"/>
  <pageSetup paperSize="9" scale="2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CCDB-1A70-4668-ADF7-62418957F118}">
  <sheetPr>
    <pageSetUpPr fitToPage="1"/>
  </sheetPr>
  <dimension ref="A1:M100"/>
  <sheetViews>
    <sheetView topLeftCell="A67" workbookViewId="0">
      <selection activeCell="C87" sqref="C87:I87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6" max="6" width="13" bestFit="1" customWidth="1"/>
    <col min="8" max="8" width="15" bestFit="1" customWidth="1"/>
    <col min="10" max="10" width="14" bestFit="1" customWidth="1"/>
  </cols>
  <sheetData>
    <row r="1" spans="1:10" ht="21" x14ac:dyDescent="0.35">
      <c r="A1" s="553" t="s">
        <v>561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358</v>
      </c>
      <c r="B4" s="6" t="s">
        <v>568</v>
      </c>
      <c r="C4" s="7">
        <v>46054</v>
      </c>
      <c r="D4" s="8"/>
      <c r="E4" s="8"/>
      <c r="F4" s="8"/>
      <c r="G4" s="8"/>
      <c r="H4" s="8"/>
      <c r="I4" s="8">
        <v>10</v>
      </c>
      <c r="J4" s="5">
        <f>SUM(D4:I4)</f>
        <v>10</v>
      </c>
    </row>
    <row r="5" spans="1:10" ht="15.75" thickBot="1" x14ac:dyDescent="0.3">
      <c r="A5" s="6" t="s">
        <v>567</v>
      </c>
      <c r="B5" s="6" t="s">
        <v>569</v>
      </c>
      <c r="C5" s="7">
        <v>46054</v>
      </c>
      <c r="D5" s="8"/>
      <c r="E5" s="8"/>
      <c r="F5" s="8"/>
      <c r="G5" s="8"/>
      <c r="H5" s="8"/>
      <c r="I5" s="8">
        <v>10</v>
      </c>
      <c r="J5" s="5">
        <f t="shared" ref="J5:J21" si="0">SUM(D5:I5)</f>
        <v>10</v>
      </c>
    </row>
    <row r="6" spans="1:10" ht="15.75" thickBot="1" x14ac:dyDescent="0.3">
      <c r="A6" s="6" t="s">
        <v>10</v>
      </c>
      <c r="B6" s="6" t="s">
        <v>570</v>
      </c>
      <c r="C6" s="7">
        <v>46054</v>
      </c>
      <c r="D6" s="8"/>
      <c r="E6" s="8"/>
      <c r="F6" s="8"/>
      <c r="G6" s="8"/>
      <c r="H6" s="8"/>
      <c r="I6" s="8">
        <v>10</v>
      </c>
      <c r="J6" s="5">
        <f t="shared" si="0"/>
        <v>10</v>
      </c>
    </row>
    <row r="7" spans="1:10" ht="15.75" thickBot="1" x14ac:dyDescent="0.3">
      <c r="A7" s="6" t="s">
        <v>571</v>
      </c>
      <c r="B7" s="6" t="s">
        <v>572</v>
      </c>
      <c r="C7" s="7">
        <v>46023</v>
      </c>
      <c r="D7" s="8"/>
      <c r="E7" s="8"/>
      <c r="F7" s="8">
        <v>600</v>
      </c>
      <c r="G7" s="8"/>
      <c r="H7" s="8"/>
      <c r="I7" s="8"/>
      <c r="J7" s="5">
        <f t="shared" si="0"/>
        <v>600</v>
      </c>
    </row>
    <row r="8" spans="1:10" ht="15.75" thickBot="1" x14ac:dyDescent="0.3">
      <c r="A8" s="6" t="s">
        <v>576</v>
      </c>
      <c r="B8" s="6" t="s">
        <v>577</v>
      </c>
      <c r="C8" s="7">
        <v>46023</v>
      </c>
      <c r="D8" s="8"/>
      <c r="E8" s="8"/>
      <c r="F8" s="8">
        <v>550</v>
      </c>
      <c r="G8" s="8"/>
      <c r="H8" s="8"/>
      <c r="I8" s="8"/>
      <c r="J8" s="5">
        <f t="shared" si="0"/>
        <v>550</v>
      </c>
    </row>
    <row r="9" spans="1:10" ht="15.75" thickBot="1" x14ac:dyDescent="0.3">
      <c r="A9" s="6" t="s">
        <v>7</v>
      </c>
      <c r="B9" s="6" t="s">
        <v>585</v>
      </c>
      <c r="C9" s="7">
        <v>46054</v>
      </c>
      <c r="D9" s="8"/>
      <c r="E9" s="8"/>
      <c r="F9" s="8"/>
      <c r="G9" s="8"/>
      <c r="H9" s="8">
        <v>45</v>
      </c>
      <c r="I9" s="8"/>
      <c r="J9" s="5">
        <f t="shared" si="0"/>
        <v>45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9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9"/>
      <c r="B12" s="426"/>
      <c r="C12" s="7"/>
      <c r="D12" s="8"/>
      <c r="E12" s="8"/>
      <c r="F12" s="8"/>
      <c r="G12" s="8"/>
      <c r="H12" s="8"/>
      <c r="I12" s="11"/>
      <c r="J12" s="12">
        <f t="shared" si="0"/>
        <v>0</v>
      </c>
    </row>
    <row r="13" spans="1:10" ht="15.75" thickBot="1" x14ac:dyDescent="0.3">
      <c r="A13" s="6"/>
      <c r="B13" s="6"/>
      <c r="C13" s="7"/>
      <c r="D13" s="8"/>
      <c r="E13" s="8"/>
      <c r="F13" s="8"/>
      <c r="G13" s="8"/>
      <c r="H13" s="8"/>
      <c r="I13" s="8"/>
      <c r="J13" s="5">
        <f t="shared" si="0"/>
        <v>0</v>
      </c>
    </row>
    <row r="14" spans="1:10" ht="15.75" thickBot="1" x14ac:dyDescent="0.3">
      <c r="A14" s="591" t="s">
        <v>571</v>
      </c>
      <c r="B14" s="591" t="s">
        <v>573</v>
      </c>
      <c r="C14" s="7">
        <v>45931</v>
      </c>
      <c r="D14" s="8"/>
      <c r="E14" s="8">
        <v>6</v>
      </c>
      <c r="F14" s="8"/>
      <c r="G14" s="8"/>
      <c r="H14" s="8"/>
      <c r="I14" s="8"/>
      <c r="J14" s="5">
        <f t="shared" si="0"/>
        <v>6</v>
      </c>
    </row>
    <row r="15" spans="1:10" ht="15.75" thickBot="1" x14ac:dyDescent="0.3">
      <c r="A15" s="593"/>
      <c r="B15" s="593"/>
      <c r="C15" s="7">
        <v>45962</v>
      </c>
      <c r="D15" s="8">
        <v>10</v>
      </c>
      <c r="E15" s="8">
        <v>5</v>
      </c>
      <c r="F15" s="8"/>
      <c r="G15" s="8"/>
      <c r="H15" s="8"/>
      <c r="I15" s="8"/>
      <c r="J15" s="5">
        <f t="shared" si="0"/>
        <v>15</v>
      </c>
    </row>
    <row r="16" spans="1:10" ht="15.75" thickBot="1" x14ac:dyDescent="0.3">
      <c r="A16" s="593"/>
      <c r="B16" s="593"/>
      <c r="C16" s="7">
        <v>45992</v>
      </c>
      <c r="D16" s="8">
        <v>10</v>
      </c>
      <c r="E16" s="8">
        <v>5</v>
      </c>
      <c r="F16" s="8"/>
      <c r="G16" s="8"/>
      <c r="H16" s="8"/>
      <c r="I16" s="8"/>
      <c r="J16" s="5">
        <f t="shared" si="0"/>
        <v>15</v>
      </c>
    </row>
    <row r="17" spans="1:13" ht="15.75" thickBot="1" x14ac:dyDescent="0.3">
      <c r="A17" s="592"/>
      <c r="B17" s="592"/>
      <c r="C17" s="7">
        <v>46023</v>
      </c>
      <c r="D17" s="8">
        <v>15</v>
      </c>
      <c r="E17" s="8">
        <v>3</v>
      </c>
      <c r="F17" s="8"/>
      <c r="G17" s="8"/>
      <c r="H17" s="8"/>
      <c r="I17" s="8"/>
      <c r="J17" s="5">
        <f t="shared" si="0"/>
        <v>18</v>
      </c>
    </row>
    <row r="18" spans="1:13" ht="15.75" thickBot="1" x14ac:dyDescent="0.3">
      <c r="A18" s="6" t="s">
        <v>576</v>
      </c>
      <c r="B18" s="424" t="s">
        <v>578</v>
      </c>
      <c r="C18" s="7">
        <v>46023</v>
      </c>
      <c r="D18" s="8">
        <v>36</v>
      </c>
      <c r="E18" s="8">
        <v>15</v>
      </c>
      <c r="F18" s="8"/>
      <c r="G18" s="8"/>
      <c r="H18" s="8"/>
      <c r="I18" s="8"/>
      <c r="J18" s="5">
        <f t="shared" si="0"/>
        <v>51</v>
      </c>
    </row>
    <row r="19" spans="1:13" ht="15.75" thickBot="1" x14ac:dyDescent="0.3">
      <c r="A19" s="18"/>
      <c r="B19" s="424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427"/>
      <c r="B20" s="427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424"/>
      <c r="B21" s="425"/>
      <c r="C21" s="21"/>
      <c r="D21" s="22"/>
      <c r="E21" s="22"/>
      <c r="F21" s="22"/>
      <c r="G21" s="22"/>
      <c r="H21" s="22"/>
      <c r="I21" s="22"/>
      <c r="J21" s="5">
        <f t="shared" si="0"/>
        <v>0</v>
      </c>
    </row>
    <row r="22" spans="1:13" ht="19.5" thickBot="1" x14ac:dyDescent="0.35">
      <c r="A22" s="23" t="s">
        <v>9</v>
      </c>
      <c r="B22" s="4"/>
      <c r="C22" s="24"/>
      <c r="D22" s="25">
        <f t="shared" ref="D22:J22" si="1">SUM(D4:D21)</f>
        <v>71</v>
      </c>
      <c r="E22" s="25">
        <f t="shared" si="1"/>
        <v>34</v>
      </c>
      <c r="F22" s="25">
        <f t="shared" si="1"/>
        <v>1150</v>
      </c>
      <c r="G22" s="25">
        <f t="shared" si="1"/>
        <v>0</v>
      </c>
      <c r="H22" s="25">
        <f t="shared" si="1"/>
        <v>45</v>
      </c>
      <c r="I22" s="25">
        <f t="shared" si="1"/>
        <v>30</v>
      </c>
      <c r="J22" s="26">
        <f t="shared" si="1"/>
        <v>1330</v>
      </c>
    </row>
    <row r="23" spans="1:13" ht="19.5" thickBot="1" x14ac:dyDescent="0.35">
      <c r="A23" s="27"/>
      <c r="B23" s="28"/>
      <c r="C23" s="29"/>
      <c r="D23" s="30"/>
      <c r="E23" s="30"/>
      <c r="F23" s="30"/>
      <c r="G23" s="30"/>
      <c r="H23" s="30"/>
      <c r="I23" s="30"/>
      <c r="J23" s="30"/>
    </row>
    <row r="24" spans="1:13" ht="24" thickBot="1" x14ac:dyDescent="0.4">
      <c r="A24" s="31" t="s">
        <v>12</v>
      </c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15.75" thickBot="1" x14ac:dyDescent="0.3">
      <c r="A25" s="32" t="s">
        <v>13</v>
      </c>
      <c r="B25" s="4" t="s">
        <v>1</v>
      </c>
      <c r="C25" s="33" t="s">
        <v>14</v>
      </c>
      <c r="D25" s="33" t="s">
        <v>3</v>
      </c>
      <c r="E25" s="33" t="s">
        <v>4</v>
      </c>
      <c r="F25" s="4" t="s">
        <v>5</v>
      </c>
      <c r="G25" s="4" t="s">
        <v>6</v>
      </c>
      <c r="H25" s="4" t="s">
        <v>15</v>
      </c>
      <c r="I25" s="4" t="s">
        <v>8</v>
      </c>
      <c r="J25" s="34" t="s">
        <v>9</v>
      </c>
    </row>
    <row r="26" spans="1:13" ht="15.75" thickBot="1" x14ac:dyDescent="0.3">
      <c r="A26" s="427"/>
      <c r="B26" s="21"/>
      <c r="C26" s="21"/>
      <c r="D26" s="35"/>
      <c r="E26" s="36"/>
      <c r="F26" s="35"/>
      <c r="G26" s="35"/>
      <c r="H26" s="37"/>
      <c r="I26" s="37"/>
      <c r="J26" s="38">
        <f>SUM(D26:I26)</f>
        <v>0</v>
      </c>
    </row>
    <row r="27" spans="1:13" ht="15.75" thickBot="1" x14ac:dyDescent="0.3">
      <c r="A27" s="427"/>
      <c r="B27" s="21"/>
      <c r="C27" s="21"/>
      <c r="D27" s="35"/>
      <c r="E27" s="35"/>
      <c r="F27" s="35"/>
      <c r="G27" s="35"/>
      <c r="H27" s="37"/>
      <c r="I27" s="37"/>
      <c r="J27" s="38">
        <f t="shared" ref="J27:J29" si="2">SUM(D27:I27)</f>
        <v>0</v>
      </c>
    </row>
    <row r="28" spans="1:13" ht="15.75" thickBot="1" x14ac:dyDescent="0.3">
      <c r="A28" s="427"/>
      <c r="B28" s="424"/>
      <c r="C28" s="7"/>
      <c r="D28" s="39"/>
      <c r="E28" s="39"/>
      <c r="F28" s="39"/>
      <c r="G28" s="39"/>
      <c r="H28" s="8"/>
      <c r="I28" s="8"/>
      <c r="J28" s="38">
        <f t="shared" si="2"/>
        <v>0</v>
      </c>
    </row>
    <row r="29" spans="1:13" ht="15.75" thickBot="1" x14ac:dyDescent="0.3">
      <c r="A29" s="4"/>
      <c r="B29" s="40"/>
      <c r="C29" s="7"/>
      <c r="D29" s="39"/>
      <c r="E29" s="39"/>
      <c r="F29" s="39"/>
      <c r="G29" s="39"/>
      <c r="H29" s="8"/>
      <c r="I29" s="8"/>
      <c r="J29" s="38">
        <f t="shared" si="2"/>
        <v>0</v>
      </c>
      <c r="L29" s="41" t="s">
        <v>16</v>
      </c>
      <c r="M29" s="42">
        <f>J30+J40</f>
        <v>462.4</v>
      </c>
    </row>
    <row r="30" spans="1:13" ht="15.75" thickBot="1" x14ac:dyDescent="0.3">
      <c r="A30" s="4" t="s">
        <v>9</v>
      </c>
      <c r="B30" s="43"/>
      <c r="C30" s="44"/>
      <c r="D30" s="45"/>
      <c r="E30" s="45"/>
      <c r="F30" s="45"/>
      <c r="G30" s="45"/>
      <c r="H30" s="45"/>
      <c r="I30" s="45"/>
      <c r="J30" s="12">
        <f>SUM(J26:J29)</f>
        <v>0</v>
      </c>
    </row>
    <row r="31" spans="1:13" ht="15.75" thickBot="1" x14ac:dyDescent="0.3">
      <c r="A31" s="28"/>
      <c r="B31" s="46"/>
      <c r="C31" s="47"/>
      <c r="D31" s="48"/>
      <c r="E31" s="48"/>
      <c r="F31" s="48"/>
      <c r="G31" s="48"/>
      <c r="H31" s="48"/>
      <c r="I31" s="48"/>
      <c r="J31" s="49"/>
    </row>
    <row r="32" spans="1:13" ht="24" thickBot="1" x14ac:dyDescent="0.4">
      <c r="A32" s="31" t="s">
        <v>12</v>
      </c>
      <c r="B32" s="28"/>
      <c r="C32" s="29"/>
      <c r="D32" s="30"/>
      <c r="E32" s="30"/>
      <c r="F32" s="30"/>
      <c r="G32" s="30"/>
      <c r="H32" s="30"/>
      <c r="I32" s="30"/>
      <c r="J32" s="30"/>
    </row>
    <row r="33" spans="1:13" ht="45.75" thickBot="1" x14ac:dyDescent="0.3">
      <c r="A33" s="50" t="s">
        <v>17</v>
      </c>
      <c r="B33" s="4" t="s">
        <v>18</v>
      </c>
      <c r="C33" s="33" t="s">
        <v>14</v>
      </c>
      <c r="D33" s="33" t="s">
        <v>3</v>
      </c>
      <c r="E33" s="33" t="s">
        <v>4</v>
      </c>
      <c r="F33" s="33" t="s">
        <v>19</v>
      </c>
      <c r="G33" s="33" t="s">
        <v>20</v>
      </c>
      <c r="H33" s="33" t="s">
        <v>15</v>
      </c>
      <c r="I33" s="51" t="s">
        <v>21</v>
      </c>
      <c r="J33" s="34" t="s">
        <v>9</v>
      </c>
    </row>
    <row r="34" spans="1:13" ht="15.75" thickBot="1" x14ac:dyDescent="0.3">
      <c r="A34" s="424" t="s">
        <v>579</v>
      </c>
      <c r="B34" s="21" t="s">
        <v>580</v>
      </c>
      <c r="C34" s="21">
        <v>46023</v>
      </c>
      <c r="D34" s="37">
        <v>25.7</v>
      </c>
      <c r="E34" s="37">
        <v>108.4</v>
      </c>
      <c r="F34" s="37"/>
      <c r="G34" s="8"/>
      <c r="H34" s="8"/>
      <c r="I34" s="8"/>
      <c r="J34" s="5">
        <f t="shared" ref="J34:J39" si="3">SUM(D34:I34)</f>
        <v>134.1</v>
      </c>
    </row>
    <row r="35" spans="1:13" ht="15.75" thickBot="1" x14ac:dyDescent="0.3">
      <c r="A35" s="591" t="s">
        <v>583</v>
      </c>
      <c r="B35" s="566" t="s">
        <v>584</v>
      </c>
      <c r="C35" s="7">
        <v>45992</v>
      </c>
      <c r="D35" s="35">
        <v>89.9</v>
      </c>
      <c r="E35" s="35">
        <v>6</v>
      </c>
      <c r="F35" s="35">
        <v>60</v>
      </c>
      <c r="G35" s="35">
        <v>5</v>
      </c>
      <c r="H35" s="37"/>
      <c r="I35" s="37"/>
      <c r="J35" s="38">
        <f t="shared" si="3"/>
        <v>160.9</v>
      </c>
    </row>
    <row r="36" spans="1:13" ht="15.75" thickBot="1" x14ac:dyDescent="0.3">
      <c r="A36" s="592"/>
      <c r="B36" s="567"/>
      <c r="C36" s="7">
        <v>46023</v>
      </c>
      <c r="D36" s="39">
        <v>87.4</v>
      </c>
      <c r="E36" s="39">
        <v>5</v>
      </c>
      <c r="F36" s="39">
        <v>60</v>
      </c>
      <c r="G36" s="39">
        <v>5</v>
      </c>
      <c r="H36" s="8"/>
      <c r="I36" s="8">
        <v>10</v>
      </c>
      <c r="J36" s="38">
        <f t="shared" si="3"/>
        <v>167.4</v>
      </c>
    </row>
    <row r="37" spans="1:13" ht="15.75" thickBot="1" x14ac:dyDescent="0.3">
      <c r="A37" s="427"/>
      <c r="B37" s="424"/>
      <c r="C37" s="7"/>
      <c r="D37" s="39"/>
      <c r="E37" s="39"/>
      <c r="F37" s="39"/>
      <c r="G37" s="39"/>
      <c r="H37" s="8"/>
      <c r="I37" s="8"/>
      <c r="J37" s="38"/>
    </row>
    <row r="38" spans="1:13" ht="15.75" thickBot="1" x14ac:dyDescent="0.3">
      <c r="A38" s="427"/>
      <c r="B38" s="424"/>
      <c r="C38" s="7"/>
      <c r="D38" s="39"/>
      <c r="E38" s="39"/>
      <c r="F38" s="39"/>
      <c r="G38" s="39"/>
      <c r="H38" s="8"/>
      <c r="I38" s="8"/>
      <c r="J38" s="38"/>
    </row>
    <row r="39" spans="1:13" ht="15.75" thickBot="1" x14ac:dyDescent="0.3">
      <c r="A39" s="4"/>
      <c r="B39" s="40"/>
      <c r="C39" s="7"/>
      <c r="D39" s="39"/>
      <c r="E39" s="39"/>
      <c r="F39" s="39"/>
      <c r="G39" s="39"/>
      <c r="H39" s="8"/>
      <c r="I39" s="8"/>
      <c r="J39" s="38">
        <f t="shared" si="3"/>
        <v>0</v>
      </c>
      <c r="L39" s="53"/>
      <c r="M39" s="54"/>
    </row>
    <row r="40" spans="1:13" ht="15.75" thickBot="1" x14ac:dyDescent="0.3">
      <c r="A40" s="4" t="s">
        <v>9</v>
      </c>
      <c r="B40" s="43"/>
      <c r="C40" s="44"/>
      <c r="D40" s="45"/>
      <c r="E40" s="45"/>
      <c r="F40" s="45"/>
      <c r="G40" s="45"/>
      <c r="H40" s="45"/>
      <c r="I40" s="45"/>
      <c r="J40" s="12">
        <f>SUM(J34:J39)</f>
        <v>462.4</v>
      </c>
    </row>
    <row r="41" spans="1:13" x14ac:dyDescent="0.25">
      <c r="A41" s="28"/>
      <c r="B41" s="46"/>
      <c r="C41" s="47"/>
      <c r="D41" s="48"/>
      <c r="E41" s="48"/>
      <c r="F41" s="48"/>
      <c r="G41" s="48"/>
      <c r="H41" s="48"/>
      <c r="I41" s="48"/>
      <c r="J41" s="49"/>
    </row>
    <row r="42" spans="1:13" x14ac:dyDescent="0.25">
      <c r="A42" s="28"/>
      <c r="B42" s="46"/>
      <c r="C42" s="47"/>
      <c r="D42" s="48"/>
      <c r="E42" s="48"/>
      <c r="F42" s="48"/>
      <c r="G42" s="48"/>
      <c r="H42" s="48"/>
      <c r="I42" s="48"/>
      <c r="J42" s="49"/>
    </row>
    <row r="43" spans="1:13" ht="15.75" thickBot="1" x14ac:dyDescent="0.3">
      <c r="A43" s="2"/>
      <c r="B43" s="2"/>
      <c r="C43" s="2"/>
      <c r="J43" s="3"/>
    </row>
    <row r="44" spans="1:13" ht="30.75" thickBot="1" x14ac:dyDescent="0.3">
      <c r="A44" s="33" t="s">
        <v>22</v>
      </c>
      <c r="B44" s="4" t="s">
        <v>18</v>
      </c>
      <c r="C44" s="33" t="s">
        <v>14</v>
      </c>
      <c r="D44" s="33" t="s">
        <v>3</v>
      </c>
      <c r="E44" s="33" t="s">
        <v>4</v>
      </c>
      <c r="F44" s="33" t="s">
        <v>19</v>
      </c>
      <c r="G44" s="33" t="s">
        <v>20</v>
      </c>
      <c r="H44" s="4" t="s">
        <v>21</v>
      </c>
      <c r="I44" s="51" t="s">
        <v>15</v>
      </c>
      <c r="J44" s="34" t="s">
        <v>9</v>
      </c>
    </row>
    <row r="45" spans="1:13" ht="15.75" thickBot="1" x14ac:dyDescent="0.3">
      <c r="A45" s="40" t="s">
        <v>367</v>
      </c>
      <c r="B45" s="21" t="s">
        <v>556</v>
      </c>
      <c r="C45" s="21">
        <v>45992</v>
      </c>
      <c r="D45" s="37">
        <v>150.4</v>
      </c>
      <c r="E45" s="55">
        <v>6</v>
      </c>
      <c r="F45" s="37"/>
      <c r="G45" s="37"/>
      <c r="H45" s="37"/>
      <c r="I45" s="37"/>
      <c r="J45" s="38">
        <f>SUM(D45:I45)</f>
        <v>156.4</v>
      </c>
    </row>
    <row r="46" spans="1:13" ht="15.75" thickBot="1" x14ac:dyDescent="0.3">
      <c r="A46" s="564" t="s">
        <v>563</v>
      </c>
      <c r="B46" s="566" t="s">
        <v>564</v>
      </c>
      <c r="C46" s="21">
        <v>45962</v>
      </c>
      <c r="D46" s="37">
        <v>60.4</v>
      </c>
      <c r="E46" s="37">
        <v>6</v>
      </c>
      <c r="F46" s="37"/>
      <c r="G46" s="37"/>
      <c r="H46" s="37"/>
      <c r="I46" s="37"/>
      <c r="J46" s="38">
        <f t="shared" ref="J46:J60" si="4">SUM(D46:I46)</f>
        <v>66.400000000000006</v>
      </c>
    </row>
    <row r="47" spans="1:13" ht="15.75" thickBot="1" x14ac:dyDescent="0.3">
      <c r="A47" s="594"/>
      <c r="B47" s="597"/>
      <c r="C47" s="21">
        <v>45992</v>
      </c>
      <c r="D47" s="37">
        <v>61.3</v>
      </c>
      <c r="E47" s="37">
        <v>6</v>
      </c>
      <c r="F47" s="37"/>
      <c r="G47" s="37"/>
      <c r="H47" s="37"/>
      <c r="I47" s="37"/>
      <c r="J47" s="38">
        <f t="shared" si="4"/>
        <v>67.3</v>
      </c>
    </row>
    <row r="48" spans="1:13" ht="15.75" thickBot="1" x14ac:dyDescent="0.3">
      <c r="A48" s="565"/>
      <c r="B48" s="567"/>
      <c r="C48" s="21">
        <v>46023</v>
      </c>
      <c r="D48" s="37">
        <v>59.6</v>
      </c>
      <c r="E48" s="37">
        <v>5</v>
      </c>
      <c r="F48" s="37"/>
      <c r="G48" s="37"/>
      <c r="H48" s="37"/>
      <c r="I48" s="37"/>
      <c r="J48" s="38">
        <f t="shared" si="4"/>
        <v>64.599999999999994</v>
      </c>
    </row>
    <row r="49" spans="1:10" ht="15.75" thickBot="1" x14ac:dyDescent="0.3">
      <c r="A49" s="564" t="s">
        <v>565</v>
      </c>
      <c r="B49" s="566" t="s">
        <v>566</v>
      </c>
      <c r="C49" s="21">
        <v>45962</v>
      </c>
      <c r="D49" s="37">
        <v>66.5</v>
      </c>
      <c r="E49" s="37">
        <v>6</v>
      </c>
      <c r="F49" s="37"/>
      <c r="G49" s="37"/>
      <c r="H49" s="37"/>
      <c r="I49" s="37"/>
      <c r="J49" s="38">
        <f t="shared" si="4"/>
        <v>72.5</v>
      </c>
    </row>
    <row r="50" spans="1:10" ht="15.75" thickBot="1" x14ac:dyDescent="0.3">
      <c r="A50" s="594"/>
      <c r="B50" s="597"/>
      <c r="C50" s="21">
        <v>45992</v>
      </c>
      <c r="D50" s="37">
        <v>67.5</v>
      </c>
      <c r="E50" s="37">
        <v>6</v>
      </c>
      <c r="F50" s="37"/>
      <c r="G50" s="37"/>
      <c r="H50" s="37"/>
      <c r="I50" s="37"/>
      <c r="J50" s="38">
        <f t="shared" si="4"/>
        <v>73.5</v>
      </c>
    </row>
    <row r="51" spans="1:10" ht="15.75" thickBot="1" x14ac:dyDescent="0.3">
      <c r="A51" s="565"/>
      <c r="B51" s="567"/>
      <c r="C51" s="21">
        <v>46023</v>
      </c>
      <c r="D51" s="37">
        <v>65.599999999999994</v>
      </c>
      <c r="E51" s="37">
        <v>5</v>
      </c>
      <c r="F51" s="37"/>
      <c r="G51" s="37"/>
      <c r="H51" s="37"/>
      <c r="I51" s="37"/>
      <c r="J51" s="38">
        <f t="shared" si="4"/>
        <v>70.599999999999994</v>
      </c>
    </row>
    <row r="52" spans="1:10" ht="15.75" thickBot="1" x14ac:dyDescent="0.3">
      <c r="A52" s="424" t="s">
        <v>574</v>
      </c>
      <c r="B52" s="21" t="s">
        <v>575</v>
      </c>
      <c r="C52" s="21">
        <v>46023</v>
      </c>
      <c r="D52" s="37">
        <v>4</v>
      </c>
      <c r="E52" s="37">
        <v>5</v>
      </c>
      <c r="F52" s="37">
        <v>60</v>
      </c>
      <c r="G52" s="37">
        <v>5</v>
      </c>
      <c r="H52" s="37">
        <v>10</v>
      </c>
      <c r="I52" s="37"/>
      <c r="J52" s="38">
        <f t="shared" si="4"/>
        <v>84</v>
      </c>
    </row>
    <row r="53" spans="1:10" ht="15.75" thickBot="1" x14ac:dyDescent="0.3">
      <c r="A53" s="564" t="s">
        <v>582</v>
      </c>
      <c r="B53" s="566" t="s">
        <v>581</v>
      </c>
      <c r="C53" s="21">
        <v>45992</v>
      </c>
      <c r="D53" s="37">
        <v>32.9</v>
      </c>
      <c r="E53" s="37">
        <v>6</v>
      </c>
      <c r="F53" s="37">
        <v>60</v>
      </c>
      <c r="G53" s="37">
        <v>5</v>
      </c>
      <c r="H53" s="37"/>
      <c r="I53" s="37"/>
      <c r="J53" s="38">
        <f t="shared" si="4"/>
        <v>103.9</v>
      </c>
    </row>
    <row r="54" spans="1:10" ht="15.75" thickBot="1" x14ac:dyDescent="0.3">
      <c r="A54" s="565"/>
      <c r="B54" s="567"/>
      <c r="C54" s="21">
        <v>46023</v>
      </c>
      <c r="D54" s="37">
        <v>32</v>
      </c>
      <c r="E54" s="37">
        <v>5</v>
      </c>
      <c r="F54" s="37">
        <v>60</v>
      </c>
      <c r="G54" s="37">
        <v>5</v>
      </c>
      <c r="H54" s="37"/>
      <c r="I54" s="37"/>
      <c r="J54" s="38">
        <f t="shared" si="4"/>
        <v>102</v>
      </c>
    </row>
    <row r="55" spans="1:10" ht="15.75" thickBot="1" x14ac:dyDescent="0.3">
      <c r="A55" s="424"/>
      <c r="B55" s="21"/>
      <c r="C55" s="21"/>
      <c r="D55" s="37"/>
      <c r="E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24"/>
      <c r="B56" s="21"/>
      <c r="C56" s="21"/>
      <c r="D56" s="37"/>
      <c r="E56" s="37"/>
      <c r="F56" s="37"/>
      <c r="G56" s="37"/>
      <c r="H56" s="37"/>
      <c r="I56" s="37"/>
      <c r="J56" s="38">
        <f t="shared" si="4"/>
        <v>0</v>
      </c>
    </row>
    <row r="57" spans="1:10" ht="15.75" thickBot="1" x14ac:dyDescent="0.3">
      <c r="A57" s="56"/>
      <c r="B57" s="21"/>
      <c r="C57" s="21"/>
      <c r="D57" s="37"/>
      <c r="E57" s="37"/>
      <c r="F57" s="37"/>
      <c r="G57" s="37"/>
      <c r="H57" s="37"/>
      <c r="I57" s="37"/>
      <c r="J57" s="38">
        <f t="shared" si="4"/>
        <v>0</v>
      </c>
    </row>
    <row r="58" spans="1:10" ht="15.75" thickBot="1" x14ac:dyDescent="0.3">
      <c r="A58" s="40"/>
      <c r="B58" s="21"/>
      <c r="C58" s="21"/>
      <c r="D58" s="37"/>
      <c r="F58" s="37"/>
      <c r="G58" s="37"/>
      <c r="H58" s="37"/>
      <c r="I58" s="37"/>
      <c r="J58" s="38">
        <f t="shared" si="4"/>
        <v>0</v>
      </c>
    </row>
    <row r="59" spans="1:10" ht="15.75" thickBot="1" x14ac:dyDescent="0.3">
      <c r="A59" s="40"/>
      <c r="B59" s="21"/>
      <c r="C59" s="21"/>
      <c r="D59" s="37"/>
      <c r="E59" s="37"/>
      <c r="F59" s="37"/>
      <c r="G59" s="37"/>
      <c r="H59" s="37"/>
      <c r="I59" s="37"/>
      <c r="J59" s="38">
        <f t="shared" si="4"/>
        <v>0</v>
      </c>
    </row>
    <row r="60" spans="1:10" ht="15.75" thickBot="1" x14ac:dyDescent="0.3">
      <c r="A60" s="40"/>
      <c r="B60" s="21"/>
      <c r="C60" s="21"/>
      <c r="D60" s="57"/>
      <c r="E60" s="57"/>
      <c r="F60" s="57"/>
      <c r="G60" s="57"/>
      <c r="H60" s="57"/>
      <c r="I60" s="57"/>
      <c r="J60" s="38">
        <f t="shared" si="4"/>
        <v>0</v>
      </c>
    </row>
    <row r="61" spans="1:10" ht="19.5" thickBot="1" x14ac:dyDescent="0.35">
      <c r="A61" s="23" t="s">
        <v>9</v>
      </c>
      <c r="B61" s="4"/>
      <c r="C61" s="24"/>
      <c r="D61" s="25">
        <f t="shared" ref="D61:J61" si="5">SUM(D45:D60)</f>
        <v>600.20000000000005</v>
      </c>
      <c r="E61" s="25">
        <f t="shared" si="5"/>
        <v>56</v>
      </c>
      <c r="F61" s="25">
        <f t="shared" si="5"/>
        <v>180</v>
      </c>
      <c r="G61" s="25">
        <f t="shared" si="5"/>
        <v>15</v>
      </c>
      <c r="H61" s="25">
        <f t="shared" si="5"/>
        <v>10</v>
      </c>
      <c r="I61" s="25">
        <f t="shared" si="5"/>
        <v>0</v>
      </c>
      <c r="J61" s="25">
        <f t="shared" si="5"/>
        <v>861.2</v>
      </c>
    </row>
    <row r="62" spans="1:10" ht="15.75" x14ac:dyDescent="0.25">
      <c r="A62" s="58"/>
      <c r="B62" s="58"/>
      <c r="C62" s="59"/>
      <c r="D62" s="60"/>
      <c r="E62" s="60"/>
      <c r="F62" s="60"/>
      <c r="G62" s="60"/>
      <c r="H62" s="60"/>
      <c r="I62" s="60"/>
      <c r="J62" s="60"/>
    </row>
    <row r="63" spans="1:10" ht="16.5" thickBot="1" x14ac:dyDescent="0.3">
      <c r="A63" s="58"/>
      <c r="B63" s="58"/>
      <c r="C63" s="59"/>
      <c r="D63" s="60"/>
      <c r="E63" s="60"/>
      <c r="F63" s="60"/>
      <c r="G63" s="60"/>
      <c r="H63" s="60"/>
      <c r="I63" s="60"/>
      <c r="J63" s="60"/>
    </row>
    <row r="64" spans="1:10" ht="19.5" thickBot="1" x14ac:dyDescent="0.35">
      <c r="A64" s="554" t="s">
        <v>23</v>
      </c>
      <c r="B64" s="555"/>
      <c r="C64" s="61"/>
      <c r="D64" s="62"/>
      <c r="E64" s="62"/>
      <c r="F64" s="62"/>
      <c r="G64" s="62"/>
      <c r="H64" s="62"/>
      <c r="I64" s="62"/>
      <c r="J64" s="26">
        <f>+J22+J61</f>
        <v>2191.1999999999998</v>
      </c>
    </row>
    <row r="65" spans="1:10" x14ac:dyDescent="0.25">
      <c r="A65" s="2"/>
      <c r="B65" s="2"/>
      <c r="C65" s="63"/>
      <c r="D65" s="3"/>
      <c r="E65" s="3"/>
      <c r="F65" s="3"/>
      <c r="G65" s="3"/>
      <c r="H65" s="3"/>
      <c r="I65" s="3"/>
      <c r="J65" s="3"/>
    </row>
    <row r="66" spans="1:10" x14ac:dyDescent="0.25">
      <c r="A66" s="2"/>
      <c r="B66" s="2"/>
      <c r="C66" s="63"/>
      <c r="D66" s="3"/>
      <c r="E66" s="3"/>
      <c r="F66" s="3"/>
      <c r="G66" s="3"/>
      <c r="H66" s="3"/>
      <c r="I66" s="3"/>
      <c r="J66" s="3"/>
    </row>
    <row r="67" spans="1:10" ht="16.5" thickBot="1" x14ac:dyDescent="0.3">
      <c r="A67" s="64" t="s">
        <v>24</v>
      </c>
      <c r="B67" s="2"/>
      <c r="C67" s="63"/>
      <c r="D67" s="3"/>
      <c r="E67" s="3"/>
      <c r="F67" s="3"/>
      <c r="G67" s="3"/>
      <c r="H67" s="3"/>
      <c r="I67" s="3"/>
      <c r="J67" s="3"/>
    </row>
    <row r="68" spans="1:10" ht="19.5" thickBot="1" x14ac:dyDescent="0.35">
      <c r="A68" s="65" t="s">
        <v>25</v>
      </c>
      <c r="B68" s="66"/>
      <c r="C68" s="67"/>
      <c r="D68" s="68"/>
      <c r="E68" s="68"/>
      <c r="F68" s="68"/>
      <c r="G68" s="68"/>
      <c r="H68" s="68"/>
      <c r="I68" s="68"/>
      <c r="J68" s="26"/>
    </row>
    <row r="69" spans="1:10" ht="19.5" thickBot="1" x14ac:dyDescent="0.35">
      <c r="A69" s="65" t="s">
        <v>26</v>
      </c>
      <c r="B69" s="66"/>
      <c r="C69" s="69"/>
      <c r="D69" s="68"/>
      <c r="E69" s="68"/>
      <c r="F69" s="68"/>
      <c r="G69" s="68"/>
      <c r="H69" s="68"/>
      <c r="I69" s="68"/>
      <c r="J69" s="26"/>
    </row>
    <row r="70" spans="1:10" ht="18.75" x14ac:dyDescent="0.3">
      <c r="A70" s="70"/>
      <c r="B70" s="70"/>
      <c r="C70" s="71"/>
      <c r="D70" s="72"/>
      <c r="E70" s="72"/>
      <c r="F70" s="72"/>
      <c r="G70" s="72"/>
      <c r="H70" s="72"/>
      <c r="I70" s="72"/>
      <c r="J70" s="30"/>
    </row>
    <row r="71" spans="1:10" ht="18.75" x14ac:dyDescent="0.3">
      <c r="A71" s="70"/>
      <c r="B71" s="70"/>
      <c r="C71" s="71"/>
      <c r="D71" s="72"/>
      <c r="E71" s="72"/>
      <c r="F71" s="72"/>
      <c r="G71" s="72"/>
      <c r="H71" s="72"/>
      <c r="I71" s="72"/>
      <c r="J71" s="30"/>
    </row>
    <row r="72" spans="1:10" ht="16.5" thickBot="1" x14ac:dyDescent="0.3">
      <c r="A72" s="73" t="s">
        <v>27</v>
      </c>
      <c r="B72" s="74"/>
      <c r="C72" s="63"/>
      <c r="D72" s="3"/>
      <c r="E72" s="3"/>
      <c r="F72" s="3"/>
      <c r="G72" s="3"/>
      <c r="H72" s="3"/>
      <c r="I72" s="3"/>
      <c r="J72" s="3"/>
    </row>
    <row r="73" spans="1:10" ht="19.5" thickBot="1" x14ac:dyDescent="0.35">
      <c r="A73" s="75" t="s">
        <v>28</v>
      </c>
      <c r="B73" s="76"/>
      <c r="C73" s="77"/>
      <c r="D73" s="78"/>
      <c r="E73" s="78"/>
      <c r="F73" s="78"/>
      <c r="G73" s="78"/>
      <c r="H73" s="78"/>
      <c r="I73" s="78"/>
      <c r="J73" s="79">
        <v>437.5</v>
      </c>
    </row>
    <row r="74" spans="1:10" x14ac:dyDescent="0.25">
      <c r="A74" s="80"/>
      <c r="B74" s="2"/>
      <c r="C74" s="63"/>
      <c r="D74" s="3"/>
      <c r="E74" s="3"/>
      <c r="F74" s="3"/>
      <c r="G74" s="3"/>
      <c r="H74" s="3"/>
      <c r="I74" s="3"/>
      <c r="J74" s="3"/>
    </row>
    <row r="75" spans="1:10" ht="16.5" thickBot="1" x14ac:dyDescent="0.3">
      <c r="A75" s="73"/>
      <c r="B75" s="74"/>
      <c r="C75" s="63"/>
      <c r="D75" s="3"/>
      <c r="E75" s="3"/>
      <c r="F75" s="3"/>
      <c r="G75" s="3"/>
      <c r="H75" s="3"/>
      <c r="I75" s="3"/>
      <c r="J75" s="3"/>
    </row>
    <row r="76" spans="1:10" ht="19.5" thickBot="1" x14ac:dyDescent="0.35">
      <c r="A76" s="75" t="s">
        <v>29</v>
      </c>
      <c r="B76" s="76"/>
      <c r="C76" s="81"/>
      <c r="D76" s="78"/>
      <c r="E76" s="78"/>
      <c r="F76" s="78"/>
      <c r="G76" s="78"/>
      <c r="H76" s="78"/>
      <c r="I76" s="78"/>
      <c r="J76" s="82"/>
    </row>
    <row r="77" spans="1:10" ht="15.75" thickBot="1" x14ac:dyDescent="0.3">
      <c r="A77" s="80"/>
      <c r="B77" s="2"/>
      <c r="C77" s="63"/>
      <c r="D77" s="3"/>
      <c r="E77" s="3"/>
      <c r="F77" s="3"/>
      <c r="G77" s="3"/>
      <c r="H77" s="3"/>
      <c r="I77" s="3"/>
      <c r="J77" s="3"/>
    </row>
    <row r="78" spans="1:10" ht="21.75" thickBot="1" x14ac:dyDescent="0.4">
      <c r="A78" s="556" t="s">
        <v>30</v>
      </c>
      <c r="B78" s="557"/>
      <c r="C78" s="83"/>
      <c r="D78" s="84"/>
      <c r="E78" s="84"/>
      <c r="F78" s="84"/>
      <c r="G78" s="84"/>
      <c r="H78" s="84"/>
      <c r="I78" s="84"/>
      <c r="J78" s="85">
        <f>SUM(J64:J77)</f>
        <v>2628.7</v>
      </c>
    </row>
    <row r="79" spans="1:10" x14ac:dyDescent="0.25">
      <c r="A79" s="2"/>
      <c r="B79" s="2"/>
      <c r="C79" s="63"/>
      <c r="D79" s="3"/>
      <c r="E79" s="3"/>
      <c r="F79" s="3"/>
      <c r="G79" s="3"/>
      <c r="H79" s="3"/>
      <c r="I79" s="3"/>
      <c r="J79" s="3"/>
    </row>
    <row r="80" spans="1:10" ht="21" x14ac:dyDescent="0.35">
      <c r="A80" s="553" t="s">
        <v>562</v>
      </c>
      <c r="B80" s="553"/>
      <c r="C80" s="553"/>
      <c r="D80" s="553"/>
      <c r="E80" s="553"/>
      <c r="F80" s="553"/>
      <c r="G80" s="553"/>
      <c r="H80" s="553"/>
      <c r="I80" s="553"/>
      <c r="J80" s="553"/>
    </row>
    <row r="81" spans="1:10" ht="21.75" thickBot="1" x14ac:dyDescent="0.4">
      <c r="A81" s="423" t="s">
        <v>31</v>
      </c>
      <c r="B81" s="423"/>
      <c r="C81" s="423"/>
      <c r="D81" s="423"/>
      <c r="E81" s="423"/>
      <c r="F81" s="423"/>
      <c r="G81" s="423"/>
      <c r="H81" s="423"/>
      <c r="I81" s="423"/>
      <c r="J81" s="87"/>
    </row>
    <row r="82" spans="1:10" ht="15.75" thickBot="1" x14ac:dyDescent="0.3">
      <c r="A82" s="88" t="s">
        <v>32</v>
      </c>
      <c r="B82" s="89" t="s">
        <v>33</v>
      </c>
      <c r="C82" s="558" t="s">
        <v>2</v>
      </c>
      <c r="D82" s="559"/>
      <c r="E82" s="559"/>
      <c r="F82" s="559"/>
      <c r="G82" s="559"/>
      <c r="H82" s="559"/>
      <c r="I82" s="560"/>
      <c r="J82" s="90" t="s">
        <v>9</v>
      </c>
    </row>
    <row r="83" spans="1:10" ht="39" customHeight="1" thickBot="1" x14ac:dyDescent="0.3">
      <c r="A83" s="91" t="s">
        <v>808</v>
      </c>
      <c r="B83" s="92" t="s">
        <v>809</v>
      </c>
      <c r="C83" s="550" t="s">
        <v>811</v>
      </c>
      <c r="D83" s="551"/>
      <c r="E83" s="551"/>
      <c r="F83" s="551"/>
      <c r="G83" s="551"/>
      <c r="H83" s="551"/>
      <c r="I83" s="551"/>
      <c r="J83" s="22">
        <v>155</v>
      </c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22"/>
    </row>
    <row r="85" spans="1:10" ht="15.75" thickBot="1" x14ac:dyDescent="0.3">
      <c r="A85" s="40"/>
      <c r="B85" s="92"/>
      <c r="C85" s="561"/>
      <c r="D85" s="562"/>
      <c r="E85" s="562"/>
      <c r="F85" s="562"/>
      <c r="G85" s="562"/>
      <c r="H85" s="562"/>
      <c r="I85" s="562"/>
      <c r="J85" s="93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22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22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5.75" thickBot="1" x14ac:dyDescent="0.3">
      <c r="A92" s="40"/>
      <c r="B92" s="92"/>
      <c r="C92" s="550"/>
      <c r="D92" s="551"/>
      <c r="E92" s="551"/>
      <c r="F92" s="551"/>
      <c r="G92" s="551"/>
      <c r="H92" s="552"/>
      <c r="I92" s="552"/>
      <c r="J92" s="37"/>
    </row>
    <row r="93" spans="1:10" ht="19.5" thickBot="1" x14ac:dyDescent="0.35">
      <c r="A93" s="94" t="s">
        <v>34</v>
      </c>
      <c r="B93" s="554"/>
      <c r="C93" s="563"/>
      <c r="D93" s="563"/>
      <c r="E93" s="563"/>
      <c r="F93" s="563"/>
      <c r="G93" s="563"/>
      <c r="H93" s="563"/>
      <c r="I93" s="563"/>
      <c r="J93" s="95">
        <f>SUM(J83:J92)</f>
        <v>155</v>
      </c>
    </row>
    <row r="94" spans="1:10" ht="18.75" x14ac:dyDescent="0.3">
      <c r="A94" s="27"/>
      <c r="B94" s="27"/>
      <c r="C94" s="96"/>
      <c r="D94" s="96"/>
      <c r="E94" s="96"/>
      <c r="F94" s="97"/>
      <c r="G94" s="96"/>
      <c r="H94" s="96"/>
      <c r="I94" s="96"/>
      <c r="J94" s="30"/>
    </row>
    <row r="95" spans="1:10" ht="18.75" x14ac:dyDescent="0.3">
      <c r="A95" s="27"/>
      <c r="B95" s="27"/>
      <c r="C95" s="96"/>
      <c r="D95" s="96"/>
      <c r="E95" s="96"/>
      <c r="F95" s="97"/>
      <c r="G95" s="96"/>
      <c r="H95" s="96"/>
      <c r="I95" s="96"/>
      <c r="J95" s="30"/>
    </row>
    <row r="96" spans="1:10" ht="18.75" x14ac:dyDescent="0.3">
      <c r="A96" s="58" t="s">
        <v>35</v>
      </c>
      <c r="B96" s="27"/>
      <c r="C96" s="2"/>
      <c r="D96" s="3"/>
      <c r="F96" s="3"/>
      <c r="J96" s="3"/>
    </row>
    <row r="97" spans="1:10" x14ac:dyDescent="0.25">
      <c r="A97" s="2" t="s">
        <v>36</v>
      </c>
      <c r="B97" s="63">
        <f>+J78</f>
        <v>2628.7</v>
      </c>
      <c r="C97" s="98"/>
      <c r="D97" s="3"/>
      <c r="F97" s="3"/>
      <c r="J97" s="3"/>
    </row>
    <row r="98" spans="1:10" ht="15.75" thickBot="1" x14ac:dyDescent="0.3">
      <c r="A98" s="2" t="s">
        <v>34</v>
      </c>
      <c r="B98" s="99">
        <f>+J93</f>
        <v>155</v>
      </c>
      <c r="C98" s="100"/>
      <c r="D98" s="3"/>
      <c r="F98" s="3"/>
      <c r="G98" s="101"/>
      <c r="H98" s="101"/>
      <c r="I98" s="102"/>
      <c r="J98" s="102"/>
    </row>
    <row r="99" spans="1:10" ht="17.25" thickTop="1" thickBot="1" x14ac:dyDescent="0.3">
      <c r="A99" s="58" t="s">
        <v>37</v>
      </c>
      <c r="B99" s="103">
        <f>++B97-B98</f>
        <v>2473.6999999999998</v>
      </c>
      <c r="C99" s="104"/>
      <c r="D99" s="105"/>
      <c r="E99" s="106"/>
      <c r="F99" s="105"/>
      <c r="G99" s="107"/>
      <c r="H99" s="107"/>
      <c r="I99" s="3"/>
    </row>
    <row r="100" spans="1:10" ht="15.75" thickTop="1" x14ac:dyDescent="0.25"/>
  </sheetData>
  <mergeCells count="26">
    <mergeCell ref="A1:J1"/>
    <mergeCell ref="A64:B64"/>
    <mergeCell ref="A78:B78"/>
    <mergeCell ref="A80:J80"/>
    <mergeCell ref="C82:I82"/>
    <mergeCell ref="A35:A36"/>
    <mergeCell ref="B14:B17"/>
    <mergeCell ref="A14:A17"/>
    <mergeCell ref="B53:B54"/>
    <mergeCell ref="A53:A54"/>
    <mergeCell ref="B35:B36"/>
    <mergeCell ref="B93:I93"/>
    <mergeCell ref="B46:B48"/>
    <mergeCell ref="A46:A48"/>
    <mergeCell ref="B49:B51"/>
    <mergeCell ref="A49:A51"/>
    <mergeCell ref="C88:I88"/>
    <mergeCell ref="C89:I89"/>
    <mergeCell ref="C90:I90"/>
    <mergeCell ref="C91:I91"/>
    <mergeCell ref="C92:I92"/>
    <mergeCell ref="C84:I84"/>
    <mergeCell ref="C85:I85"/>
    <mergeCell ref="C86:I86"/>
    <mergeCell ref="C87:I87"/>
    <mergeCell ref="C83:I83"/>
  </mergeCells>
  <phoneticPr fontId="13" type="noConversion"/>
  <pageMargins left="0.17" right="0.17" top="1.96" bottom="0.17" header="0.17" footer="0.17"/>
  <pageSetup paperSize="9" scale="2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7910-B762-41FA-91B9-DA3844B93951}">
  <sheetPr>
    <pageSetUpPr fitToPage="1"/>
  </sheetPr>
  <dimension ref="A1:M116"/>
  <sheetViews>
    <sheetView topLeftCell="A25" zoomScaleNormal="100" workbookViewId="0">
      <selection activeCell="J33" sqref="J33:J36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6" max="6" width="13" bestFit="1" customWidth="1"/>
    <col min="10" max="10" width="14" bestFit="1" customWidth="1"/>
  </cols>
  <sheetData>
    <row r="1" spans="1:10" ht="21" x14ac:dyDescent="0.35">
      <c r="A1" s="553" t="s">
        <v>586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10</v>
      </c>
      <c r="B4" s="6" t="s">
        <v>637</v>
      </c>
      <c r="C4" s="7">
        <v>46054</v>
      </c>
      <c r="D4" s="8"/>
      <c r="E4" s="8"/>
      <c r="F4" s="8"/>
      <c r="G4" s="8"/>
      <c r="H4" s="8"/>
      <c r="I4" s="8">
        <v>10</v>
      </c>
      <c r="J4" s="5">
        <f>SUM(D4:I4)</f>
        <v>10</v>
      </c>
    </row>
    <row r="5" spans="1:10" ht="15.75" thickBot="1" x14ac:dyDescent="0.3">
      <c r="A5" s="6" t="s">
        <v>589</v>
      </c>
      <c r="B5" s="6" t="s">
        <v>590</v>
      </c>
      <c r="C5" s="7">
        <v>46023</v>
      </c>
      <c r="D5" s="8"/>
      <c r="E5" s="8"/>
      <c r="F5" s="8">
        <v>600</v>
      </c>
      <c r="G5" s="8"/>
      <c r="H5" s="8"/>
      <c r="I5" s="8"/>
      <c r="J5" s="5">
        <f t="shared" ref="J5:J28" si="0">SUM(D5:I5)</f>
        <v>600</v>
      </c>
    </row>
    <row r="6" spans="1:10" ht="15.75" thickBot="1" x14ac:dyDescent="0.3">
      <c r="A6" s="6" t="s">
        <v>163</v>
      </c>
      <c r="B6" s="6" t="s">
        <v>596</v>
      </c>
      <c r="C6" s="7">
        <v>46023</v>
      </c>
      <c r="D6" s="8"/>
      <c r="E6" s="8"/>
      <c r="F6" s="8">
        <v>100</v>
      </c>
      <c r="G6" s="8"/>
      <c r="H6" s="8"/>
      <c r="I6" s="8"/>
      <c r="J6" s="5">
        <f t="shared" si="0"/>
        <v>100</v>
      </c>
    </row>
    <row r="7" spans="1:10" ht="15.75" thickBot="1" x14ac:dyDescent="0.3">
      <c r="A7" s="6" t="s">
        <v>134</v>
      </c>
      <c r="B7" s="6" t="s">
        <v>600</v>
      </c>
      <c r="C7" s="7">
        <v>45992</v>
      </c>
      <c r="D7" s="8"/>
      <c r="E7" s="8"/>
      <c r="F7" s="8">
        <v>150</v>
      </c>
      <c r="G7" s="8"/>
      <c r="H7" s="8"/>
      <c r="I7" s="8"/>
      <c r="J7" s="5">
        <f t="shared" si="0"/>
        <v>150</v>
      </c>
    </row>
    <row r="8" spans="1:10" ht="15.75" thickBot="1" x14ac:dyDescent="0.3">
      <c r="A8" s="6" t="s">
        <v>190</v>
      </c>
      <c r="B8" s="6" t="s">
        <v>606</v>
      </c>
      <c r="C8" s="7">
        <v>45962</v>
      </c>
      <c r="D8" s="8"/>
      <c r="E8" s="8"/>
      <c r="F8" s="8">
        <v>140</v>
      </c>
      <c r="G8" s="8"/>
      <c r="H8" s="8"/>
      <c r="I8" s="8"/>
      <c r="J8" s="5">
        <f t="shared" si="0"/>
        <v>140</v>
      </c>
    </row>
    <row r="9" spans="1:10" ht="15.75" thickBot="1" x14ac:dyDescent="0.3">
      <c r="A9" s="591" t="s">
        <v>252</v>
      </c>
      <c r="B9" s="591" t="s">
        <v>607</v>
      </c>
      <c r="C9" s="7">
        <v>45992</v>
      </c>
      <c r="D9" s="8"/>
      <c r="E9" s="8"/>
      <c r="F9" s="8">
        <v>143.80000000000001</v>
      </c>
      <c r="G9" s="8"/>
      <c r="H9" s="8"/>
      <c r="I9" s="8"/>
      <c r="J9" s="5">
        <f t="shared" si="0"/>
        <v>143.80000000000001</v>
      </c>
    </row>
    <row r="10" spans="1:10" ht="15.75" thickBot="1" x14ac:dyDescent="0.3">
      <c r="A10" s="592"/>
      <c r="B10" s="592"/>
      <c r="C10" s="7">
        <v>46023</v>
      </c>
      <c r="D10" s="8"/>
      <c r="E10" s="8"/>
      <c r="F10" s="8">
        <v>6.2</v>
      </c>
      <c r="G10" s="8"/>
      <c r="H10" s="8"/>
      <c r="I10" s="8"/>
      <c r="J10" s="5">
        <f t="shared" si="0"/>
        <v>6.2</v>
      </c>
    </row>
    <row r="11" spans="1:10" ht="15.75" thickBot="1" x14ac:dyDescent="0.3">
      <c r="A11" s="606" t="s">
        <v>253</v>
      </c>
      <c r="B11" s="591" t="s">
        <v>608</v>
      </c>
      <c r="C11" s="7">
        <v>45992</v>
      </c>
      <c r="D11" s="8"/>
      <c r="E11" s="8"/>
      <c r="F11" s="8">
        <v>32.4</v>
      </c>
      <c r="G11" s="8"/>
      <c r="H11" s="8"/>
      <c r="I11" s="8"/>
      <c r="J11" s="5">
        <f t="shared" si="0"/>
        <v>32.4</v>
      </c>
    </row>
    <row r="12" spans="1:10" ht="15.75" thickBot="1" x14ac:dyDescent="0.3">
      <c r="A12" s="607"/>
      <c r="B12" s="592"/>
      <c r="C12" s="7">
        <v>46023</v>
      </c>
      <c r="D12" s="8"/>
      <c r="E12" s="8"/>
      <c r="F12" s="8">
        <v>101</v>
      </c>
      <c r="G12" s="8"/>
      <c r="H12" s="8"/>
      <c r="I12" s="440"/>
      <c r="J12" s="5">
        <f t="shared" si="0"/>
        <v>101</v>
      </c>
    </row>
    <row r="13" spans="1:10" ht="15.75" thickBot="1" x14ac:dyDescent="0.3">
      <c r="A13" s="316" t="s">
        <v>199</v>
      </c>
      <c r="B13" s="6" t="s">
        <v>610</v>
      </c>
      <c r="C13" s="7">
        <v>46023</v>
      </c>
      <c r="D13" s="8"/>
      <c r="E13" s="8"/>
      <c r="F13" s="8">
        <v>40</v>
      </c>
      <c r="G13" s="8"/>
      <c r="H13" s="8"/>
      <c r="I13" s="8"/>
      <c r="J13" s="5">
        <f t="shared" si="0"/>
        <v>40</v>
      </c>
    </row>
    <row r="14" spans="1:10" ht="15.75" thickBot="1" x14ac:dyDescent="0.3">
      <c r="A14" s="9" t="s">
        <v>201</v>
      </c>
      <c r="B14" s="6" t="s">
        <v>611</v>
      </c>
      <c r="C14" s="7">
        <v>46023</v>
      </c>
      <c r="D14" s="8"/>
      <c r="E14" s="8"/>
      <c r="F14" s="8">
        <v>200</v>
      </c>
      <c r="G14" s="8"/>
      <c r="H14" s="8"/>
      <c r="I14" s="440"/>
      <c r="J14" s="5">
        <f t="shared" si="0"/>
        <v>200</v>
      </c>
    </row>
    <row r="15" spans="1:10" ht="15.75" thickBot="1" x14ac:dyDescent="0.3">
      <c r="A15" s="9" t="s">
        <v>614</v>
      </c>
      <c r="B15" s="6" t="s">
        <v>612</v>
      </c>
      <c r="C15" s="7">
        <v>45992</v>
      </c>
      <c r="D15" s="8"/>
      <c r="E15" s="8"/>
      <c r="F15" s="8">
        <v>100</v>
      </c>
      <c r="G15" s="8"/>
      <c r="H15" s="8"/>
      <c r="I15" s="8"/>
      <c r="J15" s="5">
        <f t="shared" si="0"/>
        <v>100</v>
      </c>
    </row>
    <row r="16" spans="1:10" ht="15.75" thickBot="1" x14ac:dyDescent="0.3">
      <c r="A16" s="9" t="s">
        <v>242</v>
      </c>
      <c r="B16" s="6" t="s">
        <v>625</v>
      </c>
      <c r="C16" s="7">
        <v>46023</v>
      </c>
      <c r="D16" s="8"/>
      <c r="E16" s="8"/>
      <c r="F16" s="8">
        <v>200</v>
      </c>
      <c r="G16" s="8"/>
      <c r="H16" s="8"/>
      <c r="I16" s="440"/>
      <c r="J16" s="5">
        <f t="shared" si="0"/>
        <v>200</v>
      </c>
    </row>
    <row r="17" spans="1:10" ht="15.75" thickBot="1" x14ac:dyDescent="0.3">
      <c r="A17" s="9" t="s">
        <v>240</v>
      </c>
      <c r="B17" s="6" t="s">
        <v>636</v>
      </c>
      <c r="C17" s="7">
        <v>45992</v>
      </c>
      <c r="D17" s="8"/>
      <c r="E17" s="8"/>
      <c r="F17" s="8">
        <v>150</v>
      </c>
      <c r="G17" s="8"/>
      <c r="H17" s="8"/>
      <c r="I17" s="8"/>
      <c r="J17" s="5">
        <f t="shared" si="0"/>
        <v>150</v>
      </c>
    </row>
    <row r="18" spans="1:10" ht="15.75" thickBot="1" x14ac:dyDescent="0.3">
      <c r="A18" s="9" t="s">
        <v>7</v>
      </c>
      <c r="B18" s="433" t="s">
        <v>642</v>
      </c>
      <c r="C18" s="7">
        <v>46054</v>
      </c>
      <c r="D18" s="8"/>
      <c r="E18" s="8"/>
      <c r="F18" s="8"/>
      <c r="G18" s="8"/>
      <c r="H18" s="8">
        <v>53</v>
      </c>
      <c r="I18" s="17"/>
      <c r="J18" s="5">
        <f t="shared" si="0"/>
        <v>53</v>
      </c>
    </row>
    <row r="19" spans="1:10" ht="15.75" thickBot="1" x14ac:dyDescent="0.3">
      <c r="A19" s="9"/>
      <c r="B19" s="433"/>
      <c r="C19" s="7"/>
      <c r="D19" s="8"/>
      <c r="E19" s="8"/>
      <c r="F19" s="8"/>
      <c r="G19" s="8"/>
      <c r="H19" s="8"/>
      <c r="I19" s="11"/>
      <c r="J19" s="5">
        <f t="shared" si="0"/>
        <v>0</v>
      </c>
    </row>
    <row r="20" spans="1:10" ht="15.75" thickBot="1" x14ac:dyDescent="0.3">
      <c r="A20" s="6" t="s">
        <v>450</v>
      </c>
      <c r="B20" s="6" t="s">
        <v>597</v>
      </c>
      <c r="C20" s="7">
        <v>46023</v>
      </c>
      <c r="D20" s="8"/>
      <c r="E20" s="8"/>
      <c r="F20" s="8">
        <v>50</v>
      </c>
      <c r="G20" s="8"/>
      <c r="H20" s="8"/>
      <c r="I20" s="8"/>
      <c r="J20" s="5">
        <f t="shared" si="0"/>
        <v>50</v>
      </c>
    </row>
    <row r="21" spans="1:10" ht="15.75" thickBot="1" x14ac:dyDescent="0.3">
      <c r="A21" s="434"/>
      <c r="B21" s="441"/>
      <c r="C21" s="442"/>
      <c r="D21" s="319"/>
      <c r="E21" s="319"/>
      <c r="F21" s="319"/>
      <c r="G21" s="8"/>
      <c r="H21" s="8"/>
      <c r="I21" s="8"/>
      <c r="J21" s="5">
        <f t="shared" si="0"/>
        <v>0</v>
      </c>
    </row>
    <row r="22" spans="1:10" ht="15.75" thickBot="1" x14ac:dyDescent="0.3">
      <c r="A22" s="187"/>
      <c r="B22" s="434"/>
      <c r="C22" s="318"/>
      <c r="D22" s="390"/>
      <c r="E22" s="390"/>
      <c r="F22" s="390"/>
      <c r="G22" s="8"/>
      <c r="H22" s="8"/>
      <c r="I22" s="8"/>
      <c r="J22" s="5">
        <f t="shared" si="0"/>
        <v>0</v>
      </c>
    </row>
    <row r="23" spans="1:10" ht="15.75" thickBot="1" x14ac:dyDescent="0.3">
      <c r="A23" s="316" t="s">
        <v>253</v>
      </c>
      <c r="B23" s="6" t="s">
        <v>613</v>
      </c>
      <c r="C23" s="318">
        <v>45992</v>
      </c>
      <c r="D23" s="445">
        <v>11.6</v>
      </c>
      <c r="E23" s="445">
        <v>5</v>
      </c>
      <c r="F23" s="444"/>
      <c r="G23" s="35"/>
      <c r="H23" s="37"/>
      <c r="I23" s="37"/>
      <c r="J23" s="5">
        <f t="shared" si="0"/>
        <v>16.600000000000001</v>
      </c>
    </row>
    <row r="24" spans="1:10" ht="15.75" thickBot="1" x14ac:dyDescent="0.3">
      <c r="A24" s="17" t="s">
        <v>240</v>
      </c>
      <c r="B24" s="6" t="s">
        <v>639</v>
      </c>
      <c r="C24" s="318">
        <v>46023</v>
      </c>
      <c r="D24" s="390">
        <v>7.6</v>
      </c>
      <c r="E24" s="390">
        <v>3</v>
      </c>
      <c r="F24" s="390"/>
      <c r="G24" s="8"/>
      <c r="H24" s="8"/>
      <c r="I24" s="8"/>
      <c r="J24" s="5">
        <f t="shared" si="0"/>
        <v>10.6</v>
      </c>
    </row>
    <row r="25" spans="1:10" ht="15.75" thickBot="1" x14ac:dyDescent="0.3">
      <c r="A25" s="17"/>
      <c r="B25" s="316"/>
      <c r="C25" s="318"/>
      <c r="D25" s="390"/>
      <c r="E25" s="390"/>
      <c r="F25" s="390"/>
      <c r="G25" s="8"/>
      <c r="H25" s="8"/>
      <c r="I25" s="8"/>
      <c r="J25" s="5">
        <f t="shared" si="0"/>
        <v>0</v>
      </c>
    </row>
    <row r="26" spans="1:10" ht="15.75" thickBot="1" x14ac:dyDescent="0.3">
      <c r="A26" s="18"/>
      <c r="B26" s="316"/>
      <c r="C26" s="318"/>
      <c r="D26" s="390"/>
      <c r="E26" s="390"/>
      <c r="F26" s="390"/>
      <c r="G26" s="8"/>
      <c r="H26" s="8"/>
      <c r="I26" s="8"/>
      <c r="J26" s="5">
        <f t="shared" si="0"/>
        <v>0</v>
      </c>
    </row>
    <row r="27" spans="1:10" ht="15.75" thickBot="1" x14ac:dyDescent="0.3">
      <c r="A27" s="443"/>
      <c r="B27" s="443"/>
      <c r="C27" s="442"/>
      <c r="D27" s="319"/>
      <c r="E27" s="319"/>
      <c r="F27" s="319"/>
      <c r="G27" s="8"/>
      <c r="H27" s="8"/>
      <c r="I27" s="8"/>
      <c r="J27" s="5">
        <f t="shared" si="0"/>
        <v>0</v>
      </c>
    </row>
    <row r="28" spans="1:10" ht="15.75" thickBot="1" x14ac:dyDescent="0.3">
      <c r="A28" s="432"/>
      <c r="B28" s="430"/>
      <c r="C28" s="21"/>
      <c r="D28" s="22"/>
      <c r="E28" s="22"/>
      <c r="F28" s="22"/>
      <c r="G28" s="22"/>
      <c r="H28" s="22"/>
      <c r="I28" s="22"/>
      <c r="J28" s="5">
        <f t="shared" si="0"/>
        <v>0</v>
      </c>
    </row>
    <row r="29" spans="1:10" ht="19.5" thickBot="1" x14ac:dyDescent="0.35">
      <c r="A29" s="23" t="s">
        <v>9</v>
      </c>
      <c r="B29" s="4"/>
      <c r="C29" s="24"/>
      <c r="D29" s="25">
        <f t="shared" ref="D29:J29" si="1">SUM(D4:D28)</f>
        <v>19.2</v>
      </c>
      <c r="E29" s="25">
        <f t="shared" si="1"/>
        <v>8</v>
      </c>
      <c r="F29" s="25">
        <f t="shared" si="1"/>
        <v>2013.4</v>
      </c>
      <c r="G29" s="25">
        <f t="shared" si="1"/>
        <v>0</v>
      </c>
      <c r="H29" s="25">
        <f t="shared" si="1"/>
        <v>53</v>
      </c>
      <c r="I29" s="25">
        <f t="shared" si="1"/>
        <v>10</v>
      </c>
      <c r="J29" s="26">
        <f t="shared" si="1"/>
        <v>2103.6</v>
      </c>
    </row>
    <row r="30" spans="1:10" ht="19.5" thickBot="1" x14ac:dyDescent="0.35">
      <c r="A30" s="27"/>
      <c r="B30" s="28"/>
      <c r="C30" s="29"/>
      <c r="D30" s="30"/>
      <c r="E30" s="30"/>
      <c r="F30" s="30"/>
      <c r="G30" s="30"/>
      <c r="H30" s="30"/>
      <c r="I30" s="30"/>
      <c r="J30" s="30"/>
    </row>
    <row r="31" spans="1:10" ht="24" thickBot="1" x14ac:dyDescent="0.4">
      <c r="A31" s="31" t="s">
        <v>12</v>
      </c>
      <c r="B31" s="28"/>
      <c r="C31" s="29"/>
      <c r="D31" s="30"/>
      <c r="E31" s="30"/>
      <c r="F31" s="30"/>
      <c r="G31" s="30"/>
      <c r="H31" s="30"/>
      <c r="I31" s="30"/>
      <c r="J31" s="30"/>
    </row>
    <row r="32" spans="1:10" ht="15.75" thickBot="1" x14ac:dyDescent="0.3">
      <c r="A32" s="32" t="s">
        <v>13</v>
      </c>
      <c r="B32" s="4" t="s">
        <v>1</v>
      </c>
      <c r="C32" s="33" t="s">
        <v>14</v>
      </c>
      <c r="D32" s="33" t="s">
        <v>3</v>
      </c>
      <c r="E32" s="33" t="s">
        <v>4</v>
      </c>
      <c r="F32" s="4" t="s">
        <v>5</v>
      </c>
      <c r="G32" s="4" t="s">
        <v>6</v>
      </c>
      <c r="H32" s="4" t="s">
        <v>15</v>
      </c>
      <c r="I32" s="4" t="s">
        <v>8</v>
      </c>
      <c r="J32" s="34" t="s">
        <v>9</v>
      </c>
    </row>
    <row r="33" spans="1:13" ht="15.75" thickBot="1" x14ac:dyDescent="0.3">
      <c r="A33" s="6" t="s">
        <v>450</v>
      </c>
      <c r="B33" s="6" t="s">
        <v>598</v>
      </c>
      <c r="C33" s="7">
        <v>46023</v>
      </c>
      <c r="D33" s="35"/>
      <c r="E33" s="36"/>
      <c r="F33" s="35">
        <v>100</v>
      </c>
      <c r="G33" s="35"/>
      <c r="H33" s="37"/>
      <c r="I33" s="37"/>
      <c r="J33" s="38">
        <f>SUM(D33:I33)</f>
        <v>100</v>
      </c>
    </row>
    <row r="34" spans="1:13" ht="15.75" thickBot="1" x14ac:dyDescent="0.3">
      <c r="A34" s="435" t="s">
        <v>601</v>
      </c>
      <c r="B34" s="6" t="s">
        <v>599</v>
      </c>
      <c r="C34" s="7">
        <v>46023</v>
      </c>
      <c r="D34" s="35"/>
      <c r="E34" s="35"/>
      <c r="F34" s="35">
        <v>700</v>
      </c>
      <c r="G34" s="35"/>
      <c r="H34" s="37"/>
      <c r="I34" s="37"/>
      <c r="J34" s="38">
        <f t="shared" ref="J34:J38" si="2">SUM(D34:I34)</f>
        <v>700</v>
      </c>
    </row>
    <row r="35" spans="1:13" ht="15.75" thickBot="1" x14ac:dyDescent="0.3">
      <c r="A35" s="435" t="s">
        <v>199</v>
      </c>
      <c r="B35" s="6" t="s">
        <v>609</v>
      </c>
      <c r="C35" s="7">
        <v>46023</v>
      </c>
      <c r="D35" s="35"/>
      <c r="E35" s="35"/>
      <c r="F35" s="35">
        <v>160</v>
      </c>
      <c r="G35" s="35"/>
      <c r="H35" s="37"/>
      <c r="I35" s="37"/>
      <c r="J35" s="38">
        <f t="shared" si="2"/>
        <v>160</v>
      </c>
    </row>
    <row r="36" spans="1:13" ht="15.75" thickBot="1" x14ac:dyDescent="0.3">
      <c r="A36" s="435" t="s">
        <v>601</v>
      </c>
      <c r="B36" s="6" t="s">
        <v>638</v>
      </c>
      <c r="C36" s="7">
        <v>45992</v>
      </c>
      <c r="D36" s="35">
        <v>26.6</v>
      </c>
      <c r="E36" s="35">
        <v>5</v>
      </c>
      <c r="F36" s="35"/>
      <c r="G36" s="35"/>
      <c r="H36" s="37"/>
      <c r="I36" s="37"/>
      <c r="J36" s="38">
        <f t="shared" si="2"/>
        <v>31.6</v>
      </c>
    </row>
    <row r="37" spans="1:13" ht="15.75" thickBot="1" x14ac:dyDescent="0.3">
      <c r="A37" s="435"/>
      <c r="B37" s="6"/>
      <c r="C37" s="7"/>
      <c r="D37" s="39"/>
      <c r="E37" s="39"/>
      <c r="F37" s="39"/>
      <c r="G37" s="39"/>
      <c r="H37" s="8"/>
      <c r="I37" s="8"/>
      <c r="J37" s="38">
        <f t="shared" si="2"/>
        <v>0</v>
      </c>
    </row>
    <row r="38" spans="1:13" ht="15.75" thickBot="1" x14ac:dyDescent="0.3">
      <c r="A38" s="4"/>
      <c r="B38" s="40"/>
      <c r="C38" s="7"/>
      <c r="D38" s="39"/>
      <c r="E38" s="39"/>
      <c r="F38" s="39"/>
      <c r="G38" s="39"/>
      <c r="H38" s="8"/>
      <c r="I38" s="8"/>
      <c r="J38" s="38">
        <f t="shared" si="2"/>
        <v>0</v>
      </c>
      <c r="L38" s="41" t="s">
        <v>16</v>
      </c>
      <c r="M38" s="42">
        <f>J39+J50</f>
        <v>1592.9</v>
      </c>
    </row>
    <row r="39" spans="1:13" ht="15.75" thickBot="1" x14ac:dyDescent="0.3">
      <c r="A39" s="4" t="s">
        <v>9</v>
      </c>
      <c r="B39" s="43"/>
      <c r="C39" s="44"/>
      <c r="D39" s="45"/>
      <c r="E39" s="45"/>
      <c r="F39" s="45"/>
      <c r="G39" s="45"/>
      <c r="H39" s="45"/>
      <c r="I39" s="45"/>
      <c r="J39" s="12">
        <f>SUM(J33:J38)</f>
        <v>991.6</v>
      </c>
    </row>
    <row r="40" spans="1:13" ht="15.75" thickBot="1" x14ac:dyDescent="0.3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ht="24" thickBot="1" x14ac:dyDescent="0.4">
      <c r="A41" s="31" t="s">
        <v>12</v>
      </c>
      <c r="B41" s="28"/>
      <c r="C41" s="29"/>
      <c r="D41" s="30"/>
      <c r="E41" s="30"/>
      <c r="F41" s="30"/>
      <c r="G41" s="30"/>
      <c r="H41" s="30"/>
      <c r="I41" s="30"/>
      <c r="J41" s="30"/>
    </row>
    <row r="42" spans="1:13" ht="45.75" thickBot="1" x14ac:dyDescent="0.3">
      <c r="A42" s="50" t="s">
        <v>17</v>
      </c>
      <c r="B42" s="4" t="s">
        <v>18</v>
      </c>
      <c r="C42" s="33" t="s">
        <v>14</v>
      </c>
      <c r="D42" s="33" t="s">
        <v>3</v>
      </c>
      <c r="E42" s="33" t="s">
        <v>4</v>
      </c>
      <c r="F42" s="33" t="s">
        <v>19</v>
      </c>
      <c r="G42" s="33" t="s">
        <v>20</v>
      </c>
      <c r="H42" s="33" t="s">
        <v>15</v>
      </c>
      <c r="I42" s="51" t="s">
        <v>21</v>
      </c>
      <c r="J42" s="34" t="s">
        <v>9</v>
      </c>
    </row>
    <row r="43" spans="1:13" ht="15.75" thickBot="1" x14ac:dyDescent="0.3">
      <c r="A43" s="564" t="s">
        <v>602</v>
      </c>
      <c r="B43" s="566" t="s">
        <v>603</v>
      </c>
      <c r="C43" s="7">
        <v>45962</v>
      </c>
      <c r="D43" s="8">
        <v>68.5</v>
      </c>
      <c r="E43" s="8">
        <v>6</v>
      </c>
      <c r="F43" s="8"/>
      <c r="G43" s="8"/>
      <c r="H43" s="8"/>
      <c r="I43" s="8"/>
      <c r="J43" s="5">
        <f t="shared" ref="J43:J49" si="3">SUM(D43:I43)</f>
        <v>74.5</v>
      </c>
    </row>
    <row r="44" spans="1:13" ht="15.75" thickBot="1" x14ac:dyDescent="0.3">
      <c r="A44" s="594"/>
      <c r="B44" s="597"/>
      <c r="C44" s="7">
        <v>45992</v>
      </c>
      <c r="D44" s="35">
        <v>69.5</v>
      </c>
      <c r="E44" s="35">
        <v>6</v>
      </c>
      <c r="F44" s="35"/>
      <c r="G44" s="35"/>
      <c r="H44" s="37"/>
      <c r="I44" s="37"/>
      <c r="J44" s="5">
        <f t="shared" si="3"/>
        <v>75.5</v>
      </c>
    </row>
    <row r="45" spans="1:13" ht="15.75" thickBot="1" x14ac:dyDescent="0.3">
      <c r="A45" s="565"/>
      <c r="B45" s="567"/>
      <c r="C45" s="7">
        <v>46023</v>
      </c>
      <c r="D45" s="35">
        <v>50</v>
      </c>
      <c r="E45" s="35"/>
      <c r="F45" s="35"/>
      <c r="G45" s="35"/>
      <c r="H45" s="37"/>
      <c r="I45" s="37"/>
      <c r="J45" s="5">
        <f t="shared" si="3"/>
        <v>50</v>
      </c>
    </row>
    <row r="46" spans="1:13" ht="15.75" thickBot="1" x14ac:dyDescent="0.3">
      <c r="A46" s="6" t="s">
        <v>621</v>
      </c>
      <c r="B46" s="430" t="s">
        <v>622</v>
      </c>
      <c r="C46" s="7">
        <v>45992</v>
      </c>
      <c r="D46" s="35"/>
      <c r="E46" s="35"/>
      <c r="F46" s="35"/>
      <c r="G46" s="35"/>
      <c r="H46" s="37">
        <v>200</v>
      </c>
      <c r="I46" s="37"/>
      <c r="J46" s="5">
        <f t="shared" si="3"/>
        <v>200</v>
      </c>
    </row>
    <row r="47" spans="1:13" ht="15.75" thickBot="1" x14ac:dyDescent="0.3">
      <c r="A47" s="435" t="s">
        <v>626</v>
      </c>
      <c r="B47" s="432" t="s">
        <v>627</v>
      </c>
      <c r="C47" s="7">
        <v>45992</v>
      </c>
      <c r="D47" s="39">
        <v>54.7</v>
      </c>
      <c r="E47" s="39">
        <v>136.6</v>
      </c>
      <c r="F47" s="39"/>
      <c r="G47" s="39"/>
      <c r="H47" s="8"/>
      <c r="I47" s="8"/>
      <c r="J47" s="5">
        <f t="shared" si="3"/>
        <v>191.3</v>
      </c>
    </row>
    <row r="48" spans="1:13" ht="15.75" thickBot="1" x14ac:dyDescent="0.3">
      <c r="A48" s="435" t="s">
        <v>582</v>
      </c>
      <c r="B48" s="432" t="s">
        <v>641</v>
      </c>
      <c r="C48" s="7">
        <v>46023</v>
      </c>
      <c r="D48" s="39"/>
      <c r="E48" s="39"/>
      <c r="F48" s="39"/>
      <c r="G48" s="39"/>
      <c r="H48" s="8"/>
      <c r="I48" s="8">
        <v>10</v>
      </c>
      <c r="J48" s="5">
        <f t="shared" si="3"/>
        <v>10</v>
      </c>
    </row>
    <row r="49" spans="1:13" ht="15.75" thickBot="1" x14ac:dyDescent="0.3">
      <c r="A49" s="4"/>
      <c r="B49" s="40"/>
      <c r="C49" s="7"/>
      <c r="D49" s="39"/>
      <c r="E49" s="39"/>
      <c r="F49" s="39"/>
      <c r="G49" s="39"/>
      <c r="H49" s="8"/>
      <c r="I49" s="8"/>
      <c r="J49" s="5">
        <f t="shared" si="3"/>
        <v>0</v>
      </c>
      <c r="L49" s="53"/>
      <c r="M49" s="54"/>
    </row>
    <row r="50" spans="1:13" ht="15.75" thickBot="1" x14ac:dyDescent="0.3">
      <c r="A50" s="4" t="s">
        <v>9</v>
      </c>
      <c r="B50" s="43"/>
      <c r="C50" s="44"/>
      <c r="D50" s="45"/>
      <c r="E50" s="45"/>
      <c r="F50" s="45"/>
      <c r="G50" s="45"/>
      <c r="H50" s="45"/>
      <c r="I50" s="45"/>
      <c r="J50" s="12">
        <f>SUM(J43:J49)</f>
        <v>601.29999999999995</v>
      </c>
    </row>
    <row r="51" spans="1:13" x14ac:dyDescent="0.25">
      <c r="A51" s="28"/>
      <c r="B51" s="46"/>
      <c r="C51" s="47"/>
      <c r="D51" s="48"/>
      <c r="E51" s="48"/>
      <c r="F51" s="48"/>
      <c r="G51" s="48"/>
      <c r="H51" s="48"/>
      <c r="I51" s="48"/>
      <c r="J51" s="49"/>
    </row>
    <row r="52" spans="1:13" x14ac:dyDescent="0.25">
      <c r="A52" s="28"/>
      <c r="B52" s="46"/>
      <c r="C52" s="47"/>
      <c r="D52" s="48"/>
      <c r="E52" s="48"/>
      <c r="F52" s="48"/>
      <c r="G52" s="48"/>
      <c r="H52" s="48"/>
      <c r="I52" s="48"/>
      <c r="J52" s="49"/>
    </row>
    <row r="53" spans="1:13" ht="15.75" thickBot="1" x14ac:dyDescent="0.3">
      <c r="A53" s="2"/>
      <c r="B53" s="2"/>
      <c r="C53" s="2"/>
      <c r="J53" s="3"/>
    </row>
    <row r="54" spans="1:13" ht="45.75" thickBot="1" x14ac:dyDescent="0.3">
      <c r="A54" s="33" t="s">
        <v>22</v>
      </c>
      <c r="B54" s="4" t="s">
        <v>18</v>
      </c>
      <c r="C54" s="33" t="s">
        <v>14</v>
      </c>
      <c r="D54" s="33" t="s">
        <v>3</v>
      </c>
      <c r="E54" s="33" t="s">
        <v>4</v>
      </c>
      <c r="F54" s="33" t="s">
        <v>19</v>
      </c>
      <c r="G54" s="33" t="s">
        <v>20</v>
      </c>
      <c r="H54" s="4" t="s">
        <v>21</v>
      </c>
      <c r="I54" s="51" t="s">
        <v>15</v>
      </c>
      <c r="J54" s="34" t="s">
        <v>9</v>
      </c>
    </row>
    <row r="55" spans="1:13" ht="15.75" thickBot="1" x14ac:dyDescent="0.3">
      <c r="A55" s="564" t="s">
        <v>591</v>
      </c>
      <c r="B55" s="566" t="s">
        <v>593</v>
      </c>
      <c r="C55" s="21">
        <v>45931</v>
      </c>
      <c r="D55" s="37">
        <v>6.4</v>
      </c>
      <c r="E55" s="55">
        <v>7</v>
      </c>
      <c r="F55" s="37"/>
      <c r="G55" s="37"/>
      <c r="H55" s="37"/>
      <c r="I55" s="37"/>
      <c r="J55" s="38">
        <f>SUM(D55:I55)</f>
        <v>13.4</v>
      </c>
    </row>
    <row r="56" spans="1:13" ht="15.75" thickBot="1" x14ac:dyDescent="0.3">
      <c r="A56" s="594"/>
      <c r="B56" s="597"/>
      <c r="C56" s="21">
        <v>45962</v>
      </c>
      <c r="D56" s="37">
        <v>6.5</v>
      </c>
      <c r="E56" s="37">
        <v>6</v>
      </c>
      <c r="F56" s="37">
        <v>60</v>
      </c>
      <c r="G56" s="37">
        <v>5</v>
      </c>
      <c r="H56" s="37"/>
      <c r="I56" s="37"/>
      <c r="J56" s="38">
        <f t="shared" ref="J56:J73" si="4">SUM(D56:I56)</f>
        <v>77.5</v>
      </c>
    </row>
    <row r="57" spans="1:13" ht="15.75" thickBot="1" x14ac:dyDescent="0.3">
      <c r="A57" s="594"/>
      <c r="B57" s="567"/>
      <c r="C57" s="21">
        <v>45992</v>
      </c>
      <c r="D57" s="37">
        <v>5.8</v>
      </c>
      <c r="E57" s="37">
        <v>6</v>
      </c>
      <c r="F57" s="37">
        <v>60</v>
      </c>
      <c r="G57" s="37">
        <v>5</v>
      </c>
      <c r="H57" s="37"/>
      <c r="I57" s="37"/>
      <c r="J57" s="38">
        <f t="shared" si="4"/>
        <v>76.8</v>
      </c>
    </row>
    <row r="58" spans="1:13" ht="15.75" thickBot="1" x14ac:dyDescent="0.3">
      <c r="A58" s="565"/>
      <c r="B58" s="21" t="s">
        <v>592</v>
      </c>
      <c r="C58" s="21">
        <v>46023</v>
      </c>
      <c r="D58" s="37">
        <v>6.3</v>
      </c>
      <c r="E58" s="55">
        <v>5</v>
      </c>
      <c r="F58" s="37">
        <v>60</v>
      </c>
      <c r="G58" s="37">
        <v>5</v>
      </c>
      <c r="H58" s="37">
        <v>10</v>
      </c>
      <c r="I58" s="37"/>
      <c r="J58" s="38">
        <f t="shared" si="4"/>
        <v>86.3</v>
      </c>
    </row>
    <row r="59" spans="1:13" ht="15.75" thickBot="1" x14ac:dyDescent="0.3">
      <c r="A59" s="564" t="s">
        <v>594</v>
      </c>
      <c r="B59" s="566" t="s">
        <v>595</v>
      </c>
      <c r="C59" s="21">
        <v>45962</v>
      </c>
      <c r="D59" s="37">
        <v>66.5</v>
      </c>
      <c r="E59" s="37">
        <v>6</v>
      </c>
      <c r="F59" s="37"/>
      <c r="G59" s="37"/>
      <c r="H59" s="37"/>
      <c r="I59" s="37"/>
      <c r="J59" s="38">
        <f t="shared" si="4"/>
        <v>72.5</v>
      </c>
    </row>
    <row r="60" spans="1:13" ht="15.75" thickBot="1" x14ac:dyDescent="0.3">
      <c r="A60" s="565"/>
      <c r="B60" s="567"/>
      <c r="C60" s="21">
        <v>45992</v>
      </c>
      <c r="D60" s="37">
        <v>67.5</v>
      </c>
      <c r="E60" s="37">
        <v>6</v>
      </c>
      <c r="F60" s="37"/>
      <c r="G60" s="37"/>
      <c r="H60" s="37"/>
      <c r="I60" s="37"/>
      <c r="J60" s="38">
        <f t="shared" si="4"/>
        <v>73.5</v>
      </c>
    </row>
    <row r="61" spans="1:13" ht="15.75" thickBot="1" x14ac:dyDescent="0.3">
      <c r="A61" s="40" t="s">
        <v>602</v>
      </c>
      <c r="B61" s="431" t="s">
        <v>604</v>
      </c>
      <c r="C61" s="7">
        <v>46023</v>
      </c>
      <c r="D61" s="37">
        <v>17.5</v>
      </c>
      <c r="E61" s="392">
        <v>5</v>
      </c>
      <c r="F61" s="37"/>
      <c r="G61" s="37"/>
      <c r="H61" s="37"/>
      <c r="I61" s="37"/>
      <c r="J61" s="38">
        <f t="shared" si="4"/>
        <v>22.5</v>
      </c>
    </row>
    <row r="62" spans="1:13" ht="15.75" thickBot="1" x14ac:dyDescent="0.3">
      <c r="A62" s="564" t="s">
        <v>257</v>
      </c>
      <c r="B62" s="566" t="s">
        <v>605</v>
      </c>
      <c r="C62" s="21">
        <v>45962</v>
      </c>
      <c r="D62" s="37">
        <v>33.6</v>
      </c>
      <c r="E62" s="37">
        <v>6</v>
      </c>
      <c r="F62" s="37"/>
      <c r="G62" s="37"/>
      <c r="H62" s="37"/>
      <c r="I62" s="37"/>
      <c r="J62" s="38">
        <f t="shared" si="4"/>
        <v>39.6</v>
      </c>
    </row>
    <row r="63" spans="1:13" ht="15.75" thickBot="1" x14ac:dyDescent="0.3">
      <c r="A63" s="565"/>
      <c r="B63" s="567"/>
      <c r="C63" s="21">
        <v>45992</v>
      </c>
      <c r="D63" s="37">
        <v>34.9</v>
      </c>
      <c r="E63" s="55">
        <v>6</v>
      </c>
      <c r="F63" s="37"/>
      <c r="G63" s="37"/>
      <c r="H63" s="37"/>
      <c r="I63" s="37"/>
      <c r="J63" s="38">
        <f t="shared" si="4"/>
        <v>40.9</v>
      </c>
    </row>
    <row r="64" spans="1:13" ht="15.75" thickBot="1" x14ac:dyDescent="0.3">
      <c r="A64" s="432" t="s">
        <v>208</v>
      </c>
      <c r="B64" s="21" t="s">
        <v>615</v>
      </c>
      <c r="C64" s="21">
        <v>45992</v>
      </c>
      <c r="D64" s="37">
        <v>140.6</v>
      </c>
      <c r="E64" s="37">
        <v>6</v>
      </c>
      <c r="F64" s="37"/>
      <c r="G64" s="37"/>
      <c r="H64" s="37"/>
      <c r="I64" s="37"/>
      <c r="J64" s="38">
        <f t="shared" si="4"/>
        <v>146.6</v>
      </c>
    </row>
    <row r="65" spans="1:10" ht="15.75" thickBot="1" x14ac:dyDescent="0.3">
      <c r="A65" s="432" t="s">
        <v>616</v>
      </c>
      <c r="B65" s="21" t="s">
        <v>617</v>
      </c>
      <c r="C65" s="21">
        <v>45962</v>
      </c>
      <c r="D65" s="37">
        <v>33.299999999999997</v>
      </c>
      <c r="E65" s="37">
        <v>6</v>
      </c>
      <c r="F65" s="37"/>
      <c r="G65" s="37"/>
      <c r="H65" s="37"/>
      <c r="I65" s="37"/>
      <c r="J65" s="38">
        <f t="shared" si="4"/>
        <v>39.299999999999997</v>
      </c>
    </row>
    <row r="66" spans="1:10" ht="15.75" thickBot="1" x14ac:dyDescent="0.3">
      <c r="A66" s="432" t="s">
        <v>210</v>
      </c>
      <c r="B66" s="21" t="s">
        <v>618</v>
      </c>
      <c r="C66" s="21">
        <v>45962</v>
      </c>
      <c r="D66" s="37">
        <v>41.1</v>
      </c>
      <c r="E66" s="37">
        <v>6</v>
      </c>
      <c r="F66" s="37"/>
      <c r="G66" s="37"/>
      <c r="H66" s="37"/>
      <c r="I66" s="37"/>
      <c r="J66" s="38">
        <f t="shared" si="4"/>
        <v>47.1</v>
      </c>
    </row>
    <row r="67" spans="1:10" ht="15.75" thickBot="1" x14ac:dyDescent="0.3">
      <c r="A67" s="432" t="s">
        <v>619</v>
      </c>
      <c r="B67" s="21" t="s">
        <v>620</v>
      </c>
      <c r="C67" s="21">
        <v>45992</v>
      </c>
      <c r="D67" s="37"/>
      <c r="E67" s="37">
        <v>43.9</v>
      </c>
      <c r="F67" s="37">
        <v>60</v>
      </c>
      <c r="G67" s="37">
        <v>5</v>
      </c>
      <c r="H67" s="37"/>
      <c r="I67" s="37"/>
      <c r="J67" s="38">
        <f t="shared" si="4"/>
        <v>108.9</v>
      </c>
    </row>
    <row r="68" spans="1:10" ht="15.75" thickBot="1" x14ac:dyDescent="0.3">
      <c r="A68" s="564" t="s">
        <v>623</v>
      </c>
      <c r="B68" s="566" t="s">
        <v>624</v>
      </c>
      <c r="C68" s="21">
        <v>45962</v>
      </c>
      <c r="D68" s="37"/>
      <c r="E68" s="37">
        <v>113.2</v>
      </c>
      <c r="F68" s="37"/>
      <c r="G68" s="37"/>
      <c r="H68" s="37"/>
      <c r="I68" s="37"/>
      <c r="J68" s="38">
        <f t="shared" si="4"/>
        <v>113.2</v>
      </c>
    </row>
    <row r="69" spans="1:10" ht="15.75" thickBot="1" x14ac:dyDescent="0.3">
      <c r="A69" s="594"/>
      <c r="B69" s="597"/>
      <c r="C69" s="21">
        <v>45992</v>
      </c>
      <c r="D69" s="37">
        <v>47.7</v>
      </c>
      <c r="E69" s="37">
        <v>218.6</v>
      </c>
      <c r="F69" s="37"/>
      <c r="G69" s="37"/>
      <c r="H69" s="37"/>
      <c r="I69" s="37"/>
      <c r="J69" s="38">
        <f t="shared" si="4"/>
        <v>266.3</v>
      </c>
    </row>
    <row r="70" spans="1:10" ht="15.75" thickBot="1" x14ac:dyDescent="0.3">
      <c r="A70" s="565"/>
      <c r="B70" s="567"/>
      <c r="C70" s="21">
        <v>45658</v>
      </c>
      <c r="D70" s="37"/>
      <c r="E70" s="37"/>
      <c r="F70" s="37">
        <v>60</v>
      </c>
      <c r="G70" s="37">
        <v>5</v>
      </c>
      <c r="H70" s="37"/>
      <c r="I70" s="37"/>
      <c r="J70" s="38">
        <f t="shared" si="4"/>
        <v>65</v>
      </c>
    </row>
    <row r="71" spans="1:10" ht="15.75" thickBot="1" x14ac:dyDescent="0.3">
      <c r="A71" s="40"/>
      <c r="B71" s="21"/>
      <c r="C71" s="21"/>
      <c r="D71" s="37"/>
      <c r="F71" s="37"/>
      <c r="G71" s="37"/>
      <c r="H71" s="37"/>
      <c r="I71" s="37"/>
      <c r="J71" s="38">
        <f t="shared" si="4"/>
        <v>0</v>
      </c>
    </row>
    <row r="72" spans="1:10" ht="15.75" thickBot="1" x14ac:dyDescent="0.3">
      <c r="A72" s="40"/>
      <c r="B72" s="21"/>
      <c r="C72" s="21"/>
      <c r="D72" s="37"/>
      <c r="E72" s="37"/>
      <c r="F72" s="37"/>
      <c r="G72" s="37"/>
      <c r="H72" s="37"/>
      <c r="I72" s="37"/>
      <c r="J72" s="38">
        <f t="shared" si="4"/>
        <v>0</v>
      </c>
    </row>
    <row r="73" spans="1:10" ht="15.75" thickBot="1" x14ac:dyDescent="0.3">
      <c r="A73" s="40"/>
      <c r="B73" s="21"/>
      <c r="C73" s="21"/>
      <c r="D73" s="57"/>
      <c r="E73" s="57"/>
      <c r="F73" s="57"/>
      <c r="G73" s="57"/>
      <c r="H73" s="57"/>
      <c r="I73" s="57"/>
      <c r="J73" s="38">
        <f t="shared" si="4"/>
        <v>0</v>
      </c>
    </row>
    <row r="74" spans="1:10" ht="19.5" thickBot="1" x14ac:dyDescent="0.35">
      <c r="A74" s="23" t="s">
        <v>9</v>
      </c>
      <c r="B74" s="4"/>
      <c r="C74" s="24"/>
      <c r="D74" s="25">
        <f t="shared" ref="D74:J74" si="5">SUM(D55:D73)</f>
        <v>507.70000000000005</v>
      </c>
      <c r="E74" s="25">
        <f t="shared" si="5"/>
        <v>446.70000000000005</v>
      </c>
      <c r="F74" s="25">
        <f t="shared" si="5"/>
        <v>300</v>
      </c>
      <c r="G74" s="25">
        <f t="shared" si="5"/>
        <v>25</v>
      </c>
      <c r="H74" s="25">
        <f t="shared" si="5"/>
        <v>10</v>
      </c>
      <c r="I74" s="25">
        <f t="shared" si="5"/>
        <v>0</v>
      </c>
      <c r="J74" s="25">
        <f t="shared" si="5"/>
        <v>1289.4000000000001</v>
      </c>
    </row>
    <row r="75" spans="1:10" ht="15.75" x14ac:dyDescent="0.25">
      <c r="A75" s="58"/>
      <c r="B75" s="58"/>
      <c r="C75" s="59"/>
      <c r="D75" s="60"/>
      <c r="E75" s="60"/>
      <c r="F75" s="60"/>
      <c r="G75" s="60"/>
      <c r="H75" s="60"/>
      <c r="I75" s="60"/>
      <c r="J75" s="60"/>
    </row>
    <row r="76" spans="1:10" ht="16.5" thickBot="1" x14ac:dyDescent="0.3">
      <c r="A76" s="58"/>
      <c r="B76" s="58"/>
      <c r="C76" s="59"/>
      <c r="D76" s="60"/>
      <c r="E76" s="60"/>
      <c r="F76" s="60"/>
      <c r="G76" s="60"/>
      <c r="H76" s="60"/>
      <c r="I76" s="60"/>
      <c r="J76" s="60"/>
    </row>
    <row r="77" spans="1:10" ht="19.5" thickBot="1" x14ac:dyDescent="0.35">
      <c r="A77" s="554" t="s">
        <v>23</v>
      </c>
      <c r="B77" s="555"/>
      <c r="C77" s="61"/>
      <c r="D77" s="62"/>
      <c r="E77" s="62"/>
      <c r="F77" s="62"/>
      <c r="G77" s="62"/>
      <c r="H77" s="62"/>
      <c r="I77" s="62"/>
      <c r="J77" s="26">
        <f>+J29+J74</f>
        <v>3393</v>
      </c>
    </row>
    <row r="78" spans="1:10" x14ac:dyDescent="0.25">
      <c r="A78" s="2"/>
      <c r="B78" s="2"/>
      <c r="C78" s="63"/>
      <c r="D78" s="3"/>
      <c r="E78" s="3"/>
      <c r="F78" s="3"/>
      <c r="G78" s="3"/>
      <c r="H78" s="3"/>
      <c r="I78" s="3"/>
      <c r="J78" s="3"/>
    </row>
    <row r="79" spans="1:10" x14ac:dyDescent="0.25">
      <c r="A79" s="2"/>
      <c r="B79" s="2"/>
      <c r="C79" s="63"/>
      <c r="D79" s="3"/>
      <c r="E79" s="3"/>
      <c r="F79" s="3"/>
      <c r="G79" s="3"/>
      <c r="H79" s="3"/>
      <c r="I79" s="3"/>
      <c r="J79" s="3"/>
    </row>
    <row r="80" spans="1:10" ht="16.5" thickBot="1" x14ac:dyDescent="0.3">
      <c r="A80" s="64" t="s">
        <v>24</v>
      </c>
      <c r="B80" s="2"/>
      <c r="C80" s="63"/>
      <c r="D80" s="3"/>
      <c r="E80" s="3"/>
      <c r="F80" s="3"/>
      <c r="G80" s="3"/>
      <c r="H80" s="3"/>
      <c r="I80" s="3"/>
      <c r="J80" s="3"/>
    </row>
    <row r="81" spans="1:10" ht="19.5" thickBot="1" x14ac:dyDescent="0.35">
      <c r="A81" s="65" t="s">
        <v>25</v>
      </c>
      <c r="B81" s="66"/>
      <c r="C81" s="67"/>
      <c r="D81" s="68"/>
      <c r="E81" s="68"/>
      <c r="F81" s="68"/>
      <c r="G81" s="68"/>
      <c r="H81" s="68"/>
      <c r="I81" s="68"/>
      <c r="J81" s="26"/>
    </row>
    <row r="82" spans="1:10" ht="19.5" thickBot="1" x14ac:dyDescent="0.35">
      <c r="A82" s="65" t="s">
        <v>26</v>
      </c>
      <c r="B82" s="66"/>
      <c r="C82" s="69"/>
      <c r="D82" s="68"/>
      <c r="E82" s="68"/>
      <c r="F82" s="68"/>
      <c r="G82" s="68"/>
      <c r="H82" s="68"/>
      <c r="I82" s="68"/>
      <c r="J82" s="26"/>
    </row>
    <row r="83" spans="1:10" ht="18.75" x14ac:dyDescent="0.3">
      <c r="A83" s="70"/>
      <c r="B83" s="70"/>
      <c r="C83" s="71"/>
      <c r="D83" s="72"/>
      <c r="E83" s="72"/>
      <c r="F83" s="72"/>
      <c r="G83" s="72"/>
      <c r="H83" s="72"/>
      <c r="I83" s="72"/>
      <c r="J83" s="30"/>
    </row>
    <row r="84" spans="1:10" ht="18.75" x14ac:dyDescent="0.3">
      <c r="A84" s="70"/>
      <c r="B84" s="70"/>
      <c r="C84" s="71"/>
      <c r="D84" s="72"/>
      <c r="E84" s="72"/>
      <c r="F84" s="72"/>
      <c r="G84" s="72"/>
      <c r="H84" s="72"/>
      <c r="I84" s="72"/>
      <c r="J84" s="30"/>
    </row>
    <row r="85" spans="1:10" ht="16.5" thickBot="1" x14ac:dyDescent="0.3">
      <c r="A85" s="73" t="s">
        <v>27</v>
      </c>
      <c r="B85" s="74"/>
      <c r="C85" s="63"/>
      <c r="D85" s="3"/>
      <c r="E85" s="3"/>
      <c r="F85" s="3"/>
      <c r="G85" s="3"/>
      <c r="H85" s="3"/>
      <c r="I85" s="3"/>
      <c r="J85" s="3"/>
    </row>
    <row r="86" spans="1:10" ht="19.5" thickBot="1" x14ac:dyDescent="0.35">
      <c r="A86" s="75" t="s">
        <v>28</v>
      </c>
      <c r="B86" s="76"/>
      <c r="C86" s="77"/>
      <c r="D86" s="78"/>
      <c r="E86" s="78"/>
      <c r="F86" s="78"/>
      <c r="G86" s="78"/>
      <c r="H86" s="78"/>
      <c r="I86" s="78"/>
      <c r="J86" s="79">
        <v>429.5</v>
      </c>
    </row>
    <row r="87" spans="1:10" x14ac:dyDescent="0.25">
      <c r="A87" s="80"/>
      <c r="B87" s="2"/>
      <c r="C87" s="63"/>
      <c r="D87" s="3"/>
      <c r="E87" s="3"/>
      <c r="F87" s="3"/>
      <c r="G87" s="3"/>
      <c r="H87" s="3"/>
      <c r="I87" s="3"/>
      <c r="J87" s="3"/>
    </row>
    <row r="88" spans="1:10" ht="16.5" thickBot="1" x14ac:dyDescent="0.3">
      <c r="A88" s="73"/>
      <c r="B88" s="74"/>
      <c r="C88" s="63"/>
      <c r="D88" s="3"/>
      <c r="E88" s="3"/>
      <c r="F88" s="3"/>
      <c r="G88" s="3"/>
      <c r="H88" s="3"/>
      <c r="I88" s="3"/>
      <c r="J88" s="3"/>
    </row>
    <row r="89" spans="1:10" ht="19.5" thickBot="1" x14ac:dyDescent="0.35">
      <c r="A89" s="75" t="s">
        <v>29</v>
      </c>
      <c r="B89" s="76"/>
      <c r="C89" s="81"/>
      <c r="D89" s="78"/>
      <c r="E89" s="78"/>
      <c r="F89" s="78"/>
      <c r="G89" s="78"/>
      <c r="H89" s="78"/>
      <c r="I89" s="78"/>
      <c r="J89" s="82"/>
    </row>
    <row r="90" spans="1:10" ht="15.75" thickBot="1" x14ac:dyDescent="0.3">
      <c r="A90" s="80"/>
      <c r="B90" s="2"/>
      <c r="C90" s="63"/>
      <c r="D90" s="3"/>
      <c r="E90" s="3"/>
      <c r="F90" s="3"/>
      <c r="G90" s="3"/>
      <c r="H90" s="3"/>
      <c r="I90" s="3"/>
      <c r="J90" s="3"/>
    </row>
    <row r="91" spans="1:10" ht="21.75" thickBot="1" x14ac:dyDescent="0.4">
      <c r="A91" s="556" t="s">
        <v>30</v>
      </c>
      <c r="B91" s="557"/>
      <c r="C91" s="83"/>
      <c r="D91" s="84"/>
      <c r="E91" s="84"/>
      <c r="F91" s="84"/>
      <c r="G91" s="84"/>
      <c r="H91" s="84"/>
      <c r="I91" s="84"/>
      <c r="J91" s="85">
        <f>SUM(J77:J90)</f>
        <v>3822.5</v>
      </c>
    </row>
    <row r="92" spans="1:10" x14ac:dyDescent="0.25">
      <c r="A92" s="2"/>
      <c r="B92" s="2"/>
      <c r="C92" s="63"/>
      <c r="D92" s="3"/>
      <c r="E92" s="3"/>
      <c r="F92" s="3"/>
      <c r="G92" s="3"/>
      <c r="H92" s="3"/>
      <c r="I92" s="3"/>
      <c r="J92" s="3"/>
    </row>
    <row r="93" spans="1:10" ht="21" x14ac:dyDescent="0.35">
      <c r="A93" s="553" t="s">
        <v>587</v>
      </c>
      <c r="B93" s="553"/>
      <c r="C93" s="553"/>
      <c r="D93" s="553"/>
      <c r="E93" s="553"/>
      <c r="F93" s="553"/>
      <c r="G93" s="553"/>
      <c r="H93" s="553"/>
      <c r="I93" s="553"/>
      <c r="J93" s="553"/>
    </row>
    <row r="94" spans="1:10" ht="21.75" thickBot="1" x14ac:dyDescent="0.4">
      <c r="A94" s="429" t="s">
        <v>31</v>
      </c>
      <c r="B94" s="429"/>
      <c r="C94" s="429"/>
      <c r="D94" s="429"/>
      <c r="E94" s="429"/>
      <c r="F94" s="429"/>
      <c r="G94" s="429"/>
      <c r="H94" s="429"/>
      <c r="I94" s="429"/>
      <c r="J94" s="87"/>
    </row>
    <row r="95" spans="1:10" ht="15.75" thickBot="1" x14ac:dyDescent="0.3">
      <c r="A95" s="88" t="s">
        <v>32</v>
      </c>
      <c r="B95" s="89" t="s">
        <v>33</v>
      </c>
      <c r="C95" s="558" t="s">
        <v>2</v>
      </c>
      <c r="D95" s="559"/>
      <c r="E95" s="559"/>
      <c r="F95" s="559"/>
      <c r="G95" s="559"/>
      <c r="H95" s="559"/>
      <c r="I95" s="560"/>
      <c r="J95" s="90" t="s">
        <v>9</v>
      </c>
    </row>
    <row r="96" spans="1:10" ht="15.75" customHeight="1" thickBot="1" x14ac:dyDescent="0.3">
      <c r="A96" s="91" t="s">
        <v>628</v>
      </c>
      <c r="B96" s="92">
        <v>1173758272</v>
      </c>
      <c r="C96" s="561" t="s">
        <v>629</v>
      </c>
      <c r="D96" s="562"/>
      <c r="E96" s="562"/>
      <c r="F96" s="562"/>
      <c r="G96" s="562"/>
      <c r="H96" s="562"/>
      <c r="I96" s="598"/>
      <c r="J96" s="22">
        <v>560</v>
      </c>
    </row>
    <row r="97" spans="1:10" ht="15.75" thickBot="1" x14ac:dyDescent="0.3">
      <c r="A97" s="40" t="s">
        <v>628</v>
      </c>
      <c r="B97" s="92">
        <v>1173758273</v>
      </c>
      <c r="C97" s="550" t="s">
        <v>630</v>
      </c>
      <c r="D97" s="551"/>
      <c r="E97" s="551"/>
      <c r="F97" s="551"/>
      <c r="G97" s="551"/>
      <c r="H97" s="552"/>
      <c r="I97" s="552"/>
      <c r="J97" s="22">
        <v>1243</v>
      </c>
    </row>
    <row r="98" spans="1:10" ht="15.75" thickBot="1" x14ac:dyDescent="0.3">
      <c r="A98" s="40" t="s">
        <v>628</v>
      </c>
      <c r="B98" s="92">
        <v>1173758274</v>
      </c>
      <c r="C98" s="561" t="s">
        <v>631</v>
      </c>
      <c r="D98" s="562"/>
      <c r="E98" s="562"/>
      <c r="F98" s="562"/>
      <c r="G98" s="562"/>
      <c r="H98" s="562"/>
      <c r="I98" s="562"/>
      <c r="J98" s="93">
        <v>325</v>
      </c>
    </row>
    <row r="99" spans="1:10" ht="15.75" thickBot="1" x14ac:dyDescent="0.3">
      <c r="A99" s="40" t="s">
        <v>632</v>
      </c>
      <c r="B99" s="92">
        <v>965</v>
      </c>
      <c r="C99" s="550" t="s">
        <v>633</v>
      </c>
      <c r="D99" s="551"/>
      <c r="E99" s="551"/>
      <c r="F99" s="551"/>
      <c r="G99" s="551"/>
      <c r="H99" s="552"/>
      <c r="I99" s="552"/>
      <c r="J99" s="22">
        <v>40</v>
      </c>
    </row>
    <row r="100" spans="1:10" ht="15.75" thickBot="1" x14ac:dyDescent="0.3">
      <c r="A100" s="40" t="s">
        <v>634</v>
      </c>
      <c r="B100" s="92" t="s">
        <v>635</v>
      </c>
      <c r="C100" s="550" t="s">
        <v>640</v>
      </c>
      <c r="D100" s="551"/>
      <c r="E100" s="551"/>
      <c r="F100" s="551"/>
      <c r="G100" s="551"/>
      <c r="H100" s="552"/>
      <c r="I100" s="552"/>
      <c r="J100" s="22">
        <v>161.4</v>
      </c>
    </row>
    <row r="101" spans="1:10" ht="15.75" thickBot="1" x14ac:dyDescent="0.3">
      <c r="A101" s="40"/>
      <c r="B101" s="92"/>
      <c r="C101" s="550"/>
      <c r="D101" s="551"/>
      <c r="E101" s="551"/>
      <c r="F101" s="551"/>
      <c r="G101" s="551"/>
      <c r="H101" s="552"/>
      <c r="I101" s="552"/>
      <c r="J101" s="22"/>
    </row>
    <row r="102" spans="1:10" ht="15.75" thickBot="1" x14ac:dyDescent="0.3">
      <c r="A102" s="40"/>
      <c r="B102" s="92"/>
      <c r="C102" s="550"/>
      <c r="D102" s="551"/>
      <c r="E102" s="551"/>
      <c r="F102" s="551"/>
      <c r="G102" s="551"/>
      <c r="H102" s="552"/>
      <c r="I102" s="552"/>
      <c r="J102" s="22"/>
    </row>
    <row r="103" spans="1:10" ht="15.75" thickBot="1" x14ac:dyDescent="0.3">
      <c r="A103" s="40"/>
      <c r="B103" s="92"/>
      <c r="C103" s="550"/>
      <c r="D103" s="551"/>
      <c r="E103" s="551"/>
      <c r="F103" s="551"/>
      <c r="G103" s="551"/>
      <c r="H103" s="552"/>
      <c r="I103" s="552"/>
      <c r="J103" s="22"/>
    </row>
    <row r="104" spans="1:10" ht="15.75" thickBot="1" x14ac:dyDescent="0.3">
      <c r="A104" s="40"/>
      <c r="B104" s="92"/>
      <c r="C104" s="550"/>
      <c r="D104" s="551"/>
      <c r="E104" s="551"/>
      <c r="F104" s="551"/>
      <c r="G104" s="551"/>
      <c r="H104" s="552"/>
      <c r="I104" s="552"/>
      <c r="J104" s="37"/>
    </row>
    <row r="105" spans="1:10" ht="15.75" thickBot="1" x14ac:dyDescent="0.3">
      <c r="A105" s="40"/>
      <c r="B105" s="92"/>
      <c r="C105" s="550"/>
      <c r="D105" s="551"/>
      <c r="E105" s="551"/>
      <c r="F105" s="551"/>
      <c r="G105" s="551"/>
      <c r="H105" s="552"/>
      <c r="I105" s="552"/>
      <c r="J105" s="37"/>
    </row>
    <row r="106" spans="1:10" ht="15.75" thickBot="1" x14ac:dyDescent="0.3">
      <c r="A106" s="40"/>
      <c r="B106" s="92"/>
      <c r="C106" s="550"/>
      <c r="D106" s="551"/>
      <c r="E106" s="551"/>
      <c r="F106" s="551"/>
      <c r="G106" s="551"/>
      <c r="H106" s="552"/>
      <c r="I106" s="552"/>
      <c r="J106" s="37"/>
    </row>
    <row r="107" spans="1:10" ht="15.75" thickBot="1" x14ac:dyDescent="0.3">
      <c r="A107" s="40"/>
      <c r="B107" s="92"/>
      <c r="C107" s="550"/>
      <c r="D107" s="551"/>
      <c r="E107" s="551"/>
      <c r="F107" s="551"/>
      <c r="G107" s="551"/>
      <c r="H107" s="552"/>
      <c r="I107" s="552"/>
      <c r="J107" s="37"/>
    </row>
    <row r="108" spans="1:10" ht="15.75" thickBot="1" x14ac:dyDescent="0.3">
      <c r="A108" s="40"/>
      <c r="B108" s="92"/>
      <c r="C108" s="550"/>
      <c r="D108" s="551"/>
      <c r="E108" s="551"/>
      <c r="F108" s="551"/>
      <c r="G108" s="551"/>
      <c r="H108" s="552"/>
      <c r="I108" s="552"/>
      <c r="J108" s="37"/>
    </row>
    <row r="109" spans="1:10" ht="19.5" thickBot="1" x14ac:dyDescent="0.35">
      <c r="A109" s="94" t="s">
        <v>34</v>
      </c>
      <c r="B109" s="554"/>
      <c r="C109" s="563"/>
      <c r="D109" s="563"/>
      <c r="E109" s="563"/>
      <c r="F109" s="563"/>
      <c r="G109" s="563"/>
      <c r="H109" s="563"/>
      <c r="I109" s="563"/>
      <c r="J109" s="95">
        <f>SUM(J96:J108)</f>
        <v>2329.4</v>
      </c>
    </row>
    <row r="110" spans="1:10" ht="18.75" x14ac:dyDescent="0.3">
      <c r="A110" s="27"/>
      <c r="B110" s="27"/>
      <c r="C110" s="96"/>
      <c r="D110" s="96"/>
      <c r="E110" s="96"/>
      <c r="F110" s="97"/>
      <c r="G110" s="96"/>
      <c r="H110" s="96"/>
      <c r="I110" s="96"/>
      <c r="J110" s="30"/>
    </row>
    <row r="111" spans="1:10" ht="18.75" x14ac:dyDescent="0.3">
      <c r="A111" s="27"/>
      <c r="B111" s="27"/>
      <c r="C111" s="96"/>
      <c r="D111" s="96"/>
      <c r="E111" s="96"/>
      <c r="F111" s="97"/>
      <c r="G111" s="96"/>
      <c r="H111" s="96"/>
      <c r="I111" s="96"/>
      <c r="J111" s="30"/>
    </row>
    <row r="112" spans="1:10" ht="18.75" x14ac:dyDescent="0.3">
      <c r="A112" s="58" t="s">
        <v>35</v>
      </c>
      <c r="B112" s="27"/>
      <c r="C112" s="2"/>
      <c r="D112" s="3"/>
      <c r="F112" s="3"/>
      <c r="J112" s="3"/>
    </row>
    <row r="113" spans="1:10" x14ac:dyDescent="0.25">
      <c r="A113" s="2" t="s">
        <v>36</v>
      </c>
      <c r="B113" s="63">
        <f>+J91</f>
        <v>3822.5</v>
      </c>
      <c r="C113" s="98"/>
      <c r="D113" s="3"/>
      <c r="F113" s="3"/>
      <c r="J113" s="3"/>
    </row>
    <row r="114" spans="1:10" ht="15.75" thickBot="1" x14ac:dyDescent="0.3">
      <c r="A114" s="2" t="s">
        <v>34</v>
      </c>
      <c r="B114" s="99">
        <f>+J109</f>
        <v>2329.4</v>
      </c>
      <c r="C114" s="100"/>
      <c r="D114" s="3"/>
      <c r="F114" s="3"/>
      <c r="G114" s="101"/>
      <c r="H114" s="101"/>
      <c r="I114" s="102"/>
      <c r="J114" s="102"/>
    </row>
    <row r="115" spans="1:10" ht="17.25" thickTop="1" thickBot="1" x14ac:dyDescent="0.3">
      <c r="A115" s="58" t="s">
        <v>37</v>
      </c>
      <c r="B115" s="103">
        <f>++B113-B114</f>
        <v>1493.1</v>
      </c>
      <c r="C115" s="104"/>
      <c r="D115" s="105"/>
      <c r="E115" s="106"/>
      <c r="F115" s="105"/>
      <c r="G115" s="107"/>
      <c r="H115" s="107"/>
      <c r="I115" s="3"/>
    </row>
    <row r="116" spans="1:10" ht="15.75" thickTop="1" x14ac:dyDescent="0.25"/>
  </sheetData>
  <mergeCells count="33">
    <mergeCell ref="B109:I109"/>
    <mergeCell ref="B55:B57"/>
    <mergeCell ref="A55:A58"/>
    <mergeCell ref="B59:B60"/>
    <mergeCell ref="A59:A60"/>
    <mergeCell ref="B62:B63"/>
    <mergeCell ref="A62:A63"/>
    <mergeCell ref="C103:I103"/>
    <mergeCell ref="C104:I104"/>
    <mergeCell ref="C105:I105"/>
    <mergeCell ref="C106:I106"/>
    <mergeCell ref="C107:I107"/>
    <mergeCell ref="C108:I108"/>
    <mergeCell ref="C97:I97"/>
    <mergeCell ref="C98:I98"/>
    <mergeCell ref="C101:I101"/>
    <mergeCell ref="C102:I102"/>
    <mergeCell ref="C96:I96"/>
    <mergeCell ref="C99:I99"/>
    <mergeCell ref="C100:I100"/>
    <mergeCell ref="A1:J1"/>
    <mergeCell ref="A77:B77"/>
    <mergeCell ref="A91:B91"/>
    <mergeCell ref="A93:J93"/>
    <mergeCell ref="C95:I95"/>
    <mergeCell ref="B11:B12"/>
    <mergeCell ref="A11:A12"/>
    <mergeCell ref="B68:B70"/>
    <mergeCell ref="A68:A70"/>
    <mergeCell ref="B43:B45"/>
    <mergeCell ref="A43:A45"/>
    <mergeCell ref="A9:A10"/>
    <mergeCell ref="B9:B10"/>
  </mergeCells>
  <phoneticPr fontId="13" type="noConversion"/>
  <pageMargins left="0.17" right="0.17" top="1.83" bottom="0.17" header="0.17" footer="0.17"/>
  <pageSetup paperSize="9" scale="2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1F46-34D4-42CD-810B-BF6E82063324}">
  <sheetPr>
    <pageSetUpPr fitToPage="1"/>
  </sheetPr>
  <dimension ref="A1:M97"/>
  <sheetViews>
    <sheetView topLeftCell="A16" workbookViewId="0">
      <selection activeCell="A27" sqref="A26:I27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0" max="10" width="14" bestFit="1" customWidth="1"/>
  </cols>
  <sheetData>
    <row r="1" spans="1:10" ht="21" x14ac:dyDescent="0.35">
      <c r="A1" s="553" t="s">
        <v>643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10</v>
      </c>
      <c r="B4" s="6" t="s">
        <v>653</v>
      </c>
      <c r="C4" s="7">
        <v>46054</v>
      </c>
      <c r="D4" s="8"/>
      <c r="E4" s="8"/>
      <c r="F4" s="8"/>
      <c r="G4" s="8"/>
      <c r="H4" s="8"/>
      <c r="I4" s="8">
        <v>10</v>
      </c>
      <c r="J4" s="5">
        <f>SUM(D4:I4)</f>
        <v>10</v>
      </c>
    </row>
    <row r="5" spans="1:10" ht="15.75" thickBot="1" x14ac:dyDescent="0.3">
      <c r="A5" s="6" t="s">
        <v>654</v>
      </c>
      <c r="B5" s="6" t="s">
        <v>655</v>
      </c>
      <c r="C5" s="7">
        <v>46023</v>
      </c>
      <c r="D5" s="8"/>
      <c r="E5" s="8"/>
      <c r="F5" s="8">
        <v>300</v>
      </c>
      <c r="G5" s="8"/>
      <c r="H5" s="8"/>
      <c r="I5" s="8"/>
      <c r="J5" s="5">
        <f t="shared" ref="J5:J21" si="0">SUM(D5:I5)</f>
        <v>300</v>
      </c>
    </row>
    <row r="6" spans="1:10" ht="15.75" thickBot="1" x14ac:dyDescent="0.3">
      <c r="A6" s="6" t="s">
        <v>657</v>
      </c>
      <c r="B6" s="6" t="s">
        <v>658</v>
      </c>
      <c r="C6" s="7">
        <v>46054</v>
      </c>
      <c r="D6" s="8"/>
      <c r="E6" s="8"/>
      <c r="F6" s="8">
        <v>50</v>
      </c>
      <c r="G6" s="8"/>
      <c r="H6" s="8"/>
      <c r="I6" s="8"/>
      <c r="J6" s="5">
        <f t="shared" si="0"/>
        <v>50</v>
      </c>
    </row>
    <row r="7" spans="1:10" ht="15.75" thickBot="1" x14ac:dyDescent="0.3">
      <c r="A7" s="6" t="s">
        <v>7</v>
      </c>
      <c r="B7" s="6" t="s">
        <v>664</v>
      </c>
      <c r="C7" s="7">
        <v>46054</v>
      </c>
      <c r="D7" s="8"/>
      <c r="E7" s="8"/>
      <c r="F7" s="8"/>
      <c r="G7" s="8"/>
      <c r="H7" s="8">
        <v>70.3</v>
      </c>
      <c r="I7" s="8"/>
      <c r="J7" s="5">
        <f t="shared" si="0"/>
        <v>70.3</v>
      </c>
    </row>
    <row r="8" spans="1:10" ht="15.75" thickBot="1" x14ac:dyDescent="0.3">
      <c r="A8" s="6"/>
      <c r="B8" s="6"/>
      <c r="C8" s="7"/>
      <c r="D8" s="8"/>
      <c r="E8" s="8"/>
      <c r="F8" s="8"/>
      <c r="G8" s="8"/>
      <c r="H8" s="8"/>
      <c r="I8" s="8"/>
      <c r="J8" s="5">
        <f t="shared" si="0"/>
        <v>0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606" t="s">
        <v>654</v>
      </c>
      <c r="B11" s="591" t="s">
        <v>656</v>
      </c>
      <c r="C11" s="7">
        <v>45992</v>
      </c>
      <c r="D11" s="8">
        <v>17</v>
      </c>
      <c r="E11" s="8">
        <v>12</v>
      </c>
      <c r="F11" s="8"/>
      <c r="G11" s="8"/>
      <c r="H11" s="8"/>
      <c r="I11" s="8"/>
      <c r="J11" s="5">
        <f t="shared" si="0"/>
        <v>29</v>
      </c>
    </row>
    <row r="12" spans="1:10" ht="15.75" thickBot="1" x14ac:dyDescent="0.3">
      <c r="A12" s="607"/>
      <c r="B12" s="592"/>
      <c r="C12" s="7">
        <v>46023</v>
      </c>
      <c r="D12" s="8">
        <v>17</v>
      </c>
      <c r="E12" s="8">
        <v>11</v>
      </c>
      <c r="F12" s="8"/>
      <c r="G12" s="8"/>
      <c r="H12" s="8"/>
      <c r="I12" s="11"/>
      <c r="J12" s="5">
        <f t="shared" si="0"/>
        <v>28</v>
      </c>
    </row>
    <row r="13" spans="1:10" ht="15.75" thickBot="1" x14ac:dyDescent="0.3">
      <c r="A13" s="591" t="s">
        <v>657</v>
      </c>
      <c r="B13" s="591" t="s">
        <v>660</v>
      </c>
      <c r="C13" s="7">
        <v>45901</v>
      </c>
      <c r="D13" s="8">
        <v>8</v>
      </c>
      <c r="E13" s="8">
        <v>4</v>
      </c>
      <c r="F13" s="8"/>
      <c r="G13" s="8"/>
      <c r="H13" s="8"/>
      <c r="I13" s="8"/>
      <c r="J13" s="5">
        <f t="shared" si="0"/>
        <v>12</v>
      </c>
    </row>
    <row r="14" spans="1:10" ht="15.75" thickBot="1" x14ac:dyDescent="0.3">
      <c r="A14" s="592"/>
      <c r="B14" s="592"/>
      <c r="C14" s="7">
        <v>45931</v>
      </c>
      <c r="D14" s="8">
        <v>6</v>
      </c>
      <c r="E14" s="8">
        <v>2</v>
      </c>
      <c r="F14" s="8"/>
      <c r="G14" s="8"/>
      <c r="H14" s="8"/>
      <c r="I14" s="8"/>
      <c r="J14" s="5">
        <f t="shared" si="0"/>
        <v>8</v>
      </c>
    </row>
    <row r="15" spans="1:10" ht="15.75" thickBot="1" x14ac:dyDescent="0.3">
      <c r="A15" s="15"/>
      <c r="B15" s="13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437"/>
      <c r="B16" s="437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17"/>
      <c r="B17" s="437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437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8"/>
      <c r="B19" s="437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439"/>
      <c r="B20" s="439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437"/>
      <c r="B21" s="438"/>
      <c r="C21" s="21"/>
      <c r="D21" s="22"/>
      <c r="E21" s="22"/>
      <c r="F21" s="22"/>
      <c r="G21" s="22"/>
      <c r="H21" s="22"/>
      <c r="I21" s="22"/>
      <c r="J21" s="5">
        <f t="shared" si="0"/>
        <v>0</v>
      </c>
    </row>
    <row r="22" spans="1:13" ht="19.5" thickBot="1" x14ac:dyDescent="0.35">
      <c r="A22" s="23" t="s">
        <v>9</v>
      </c>
      <c r="B22" s="4"/>
      <c r="C22" s="24"/>
      <c r="D22" s="25">
        <f t="shared" ref="D22:J22" si="1">SUM(D4:D21)</f>
        <v>48</v>
      </c>
      <c r="E22" s="25">
        <f t="shared" si="1"/>
        <v>29</v>
      </c>
      <c r="F22" s="25">
        <f t="shared" si="1"/>
        <v>350</v>
      </c>
      <c r="G22" s="25">
        <f t="shared" si="1"/>
        <v>0</v>
      </c>
      <c r="H22" s="25">
        <f t="shared" si="1"/>
        <v>70.3</v>
      </c>
      <c r="I22" s="25">
        <f t="shared" si="1"/>
        <v>10</v>
      </c>
      <c r="J22" s="26">
        <f t="shared" si="1"/>
        <v>507.3</v>
      </c>
    </row>
    <row r="23" spans="1:13" ht="19.5" thickBot="1" x14ac:dyDescent="0.35">
      <c r="A23" s="27"/>
      <c r="B23" s="28"/>
      <c r="C23" s="29"/>
      <c r="D23" s="30"/>
      <c r="E23" s="30"/>
      <c r="F23" s="30"/>
      <c r="G23" s="30"/>
      <c r="H23" s="30"/>
      <c r="I23" s="30"/>
      <c r="J23" s="30"/>
    </row>
    <row r="24" spans="1:13" ht="24" thickBot="1" x14ac:dyDescent="0.4">
      <c r="A24" s="31" t="s">
        <v>12</v>
      </c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15.75" thickBot="1" x14ac:dyDescent="0.3">
      <c r="A25" s="32" t="s">
        <v>13</v>
      </c>
      <c r="B25" s="4" t="s">
        <v>1</v>
      </c>
      <c r="C25" s="33" t="s">
        <v>14</v>
      </c>
      <c r="D25" s="33" t="s">
        <v>3</v>
      </c>
      <c r="E25" s="33" t="s">
        <v>4</v>
      </c>
      <c r="F25" s="4" t="s">
        <v>5</v>
      </c>
      <c r="G25" s="4" t="s">
        <v>6</v>
      </c>
      <c r="H25" s="4" t="s">
        <v>15</v>
      </c>
      <c r="I25" s="4" t="s">
        <v>8</v>
      </c>
      <c r="J25" s="34" t="s">
        <v>9</v>
      </c>
    </row>
    <row r="26" spans="1:13" ht="15.75" thickBot="1" x14ac:dyDescent="0.3">
      <c r="A26" s="6" t="s">
        <v>657</v>
      </c>
      <c r="B26" s="6" t="s">
        <v>659</v>
      </c>
      <c r="C26" s="7">
        <v>46054</v>
      </c>
      <c r="D26" s="35"/>
      <c r="E26" s="36"/>
      <c r="F26" s="35">
        <v>450</v>
      </c>
      <c r="G26" s="35"/>
      <c r="H26" s="37"/>
      <c r="I26" s="37"/>
      <c r="J26" s="38">
        <f>SUM(D26:I26)</f>
        <v>450</v>
      </c>
    </row>
    <row r="27" spans="1:13" ht="15.75" thickBot="1" x14ac:dyDescent="0.3">
      <c r="A27" s="439"/>
      <c r="B27" s="21"/>
      <c r="C27" s="21"/>
      <c r="D27" s="35"/>
      <c r="E27" s="35"/>
      <c r="F27" s="35"/>
      <c r="G27" s="35"/>
      <c r="H27" s="37"/>
      <c r="I27" s="37"/>
      <c r="J27" s="38">
        <f t="shared" ref="J27:J29" si="2">SUM(D27:I27)</f>
        <v>0</v>
      </c>
    </row>
    <row r="28" spans="1:13" ht="15.75" thickBot="1" x14ac:dyDescent="0.3">
      <c r="A28" s="439"/>
      <c r="B28" s="437"/>
      <c r="C28" s="7"/>
      <c r="D28" s="39"/>
      <c r="E28" s="39"/>
      <c r="F28" s="39"/>
      <c r="G28" s="39"/>
      <c r="H28" s="8"/>
      <c r="I28" s="8"/>
      <c r="J28" s="38">
        <f t="shared" si="2"/>
        <v>0</v>
      </c>
    </row>
    <row r="29" spans="1:13" ht="15.75" thickBot="1" x14ac:dyDescent="0.3">
      <c r="A29" s="4"/>
      <c r="B29" s="40"/>
      <c r="C29" s="7"/>
      <c r="D29" s="39"/>
      <c r="E29" s="39"/>
      <c r="F29" s="39"/>
      <c r="G29" s="39"/>
      <c r="H29" s="8"/>
      <c r="I29" s="8"/>
      <c r="J29" s="38">
        <f t="shared" si="2"/>
        <v>0</v>
      </c>
      <c r="L29" s="41" t="s">
        <v>16</v>
      </c>
      <c r="M29" s="42">
        <f>J30+J38</f>
        <v>450</v>
      </c>
    </row>
    <row r="30" spans="1:13" ht="15.75" thickBot="1" x14ac:dyDescent="0.3">
      <c r="A30" s="4" t="s">
        <v>9</v>
      </c>
      <c r="B30" s="43"/>
      <c r="C30" s="44"/>
      <c r="D30" s="45"/>
      <c r="E30" s="45"/>
      <c r="F30" s="45"/>
      <c r="G30" s="45"/>
      <c r="H30" s="45"/>
      <c r="I30" s="45"/>
      <c r="J30" s="12">
        <f>SUM(J26:J29)</f>
        <v>450</v>
      </c>
    </row>
    <row r="31" spans="1:13" ht="15.75" thickBot="1" x14ac:dyDescent="0.3">
      <c r="A31" s="28"/>
      <c r="B31" s="46"/>
      <c r="C31" s="47"/>
      <c r="D31" s="48"/>
      <c r="E31" s="48"/>
      <c r="F31" s="48"/>
      <c r="G31" s="48"/>
      <c r="H31" s="48"/>
      <c r="I31" s="48"/>
      <c r="J31" s="49"/>
    </row>
    <row r="32" spans="1:13" ht="24" thickBot="1" x14ac:dyDescent="0.4">
      <c r="A32" s="31" t="s">
        <v>12</v>
      </c>
      <c r="B32" s="28"/>
      <c r="C32" s="29"/>
      <c r="D32" s="30"/>
      <c r="E32" s="30"/>
      <c r="F32" s="30"/>
      <c r="G32" s="30"/>
      <c r="H32" s="30"/>
      <c r="I32" s="30"/>
      <c r="J32" s="30"/>
    </row>
    <row r="33" spans="1:13" ht="45.75" thickBot="1" x14ac:dyDescent="0.3">
      <c r="A33" s="50" t="s">
        <v>17</v>
      </c>
      <c r="B33" s="4" t="s">
        <v>18</v>
      </c>
      <c r="C33" s="33" t="s">
        <v>14</v>
      </c>
      <c r="D33" s="33" t="s">
        <v>3</v>
      </c>
      <c r="E33" s="33" t="s">
        <v>4</v>
      </c>
      <c r="F33" s="33" t="s">
        <v>19</v>
      </c>
      <c r="G33" s="33" t="s">
        <v>20</v>
      </c>
      <c r="H33" s="33" t="s">
        <v>15</v>
      </c>
      <c r="I33" s="51" t="s">
        <v>21</v>
      </c>
      <c r="J33" s="34" t="s">
        <v>9</v>
      </c>
    </row>
    <row r="34" spans="1:13" ht="15.75" thickBot="1" x14ac:dyDescent="0.3">
      <c r="A34" s="52"/>
      <c r="B34" s="17"/>
      <c r="C34" s="7"/>
      <c r="D34" s="8"/>
      <c r="E34" s="8"/>
      <c r="F34" s="8"/>
      <c r="G34" s="8"/>
      <c r="H34" s="8"/>
      <c r="I34" s="8"/>
      <c r="J34" s="5">
        <f t="shared" ref="J34:J37" si="3">SUM(D34:I34)</f>
        <v>0</v>
      </c>
    </row>
    <row r="35" spans="1:13" ht="15.75" thickBot="1" x14ac:dyDescent="0.3">
      <c r="A35" s="13"/>
      <c r="B35" s="21"/>
      <c r="C35" s="7"/>
      <c r="D35" s="35"/>
      <c r="E35" s="35"/>
      <c r="F35" s="35"/>
      <c r="G35" s="35"/>
      <c r="H35" s="37"/>
      <c r="I35" s="37"/>
      <c r="J35" s="38">
        <f t="shared" si="3"/>
        <v>0</v>
      </c>
    </row>
    <row r="36" spans="1:13" ht="15.75" thickBot="1" x14ac:dyDescent="0.3">
      <c r="A36" s="439"/>
      <c r="B36" s="437"/>
      <c r="C36" s="7"/>
      <c r="D36" s="39"/>
      <c r="E36" s="39"/>
      <c r="F36" s="39"/>
      <c r="G36" s="39"/>
      <c r="H36" s="8"/>
      <c r="I36" s="8"/>
      <c r="J36" s="38">
        <f t="shared" si="3"/>
        <v>0</v>
      </c>
    </row>
    <row r="37" spans="1:13" ht="15.75" thickBot="1" x14ac:dyDescent="0.3">
      <c r="A37" s="4"/>
      <c r="B37" s="40"/>
      <c r="C37" s="7"/>
      <c r="D37" s="39"/>
      <c r="E37" s="39"/>
      <c r="F37" s="39"/>
      <c r="G37" s="39"/>
      <c r="H37" s="8"/>
      <c r="I37" s="8"/>
      <c r="J37" s="38">
        <f t="shared" si="3"/>
        <v>0</v>
      </c>
      <c r="L37" s="53"/>
      <c r="M37" s="54"/>
    </row>
    <row r="38" spans="1:13" ht="15.75" thickBot="1" x14ac:dyDescent="0.3">
      <c r="A38" s="4" t="s">
        <v>9</v>
      </c>
      <c r="B38" s="43"/>
      <c r="C38" s="44"/>
      <c r="D38" s="45"/>
      <c r="E38" s="45"/>
      <c r="F38" s="45"/>
      <c r="G38" s="45"/>
      <c r="H38" s="45"/>
      <c r="I38" s="45"/>
      <c r="J38" s="12">
        <f>SUM(J34:J37)</f>
        <v>0</v>
      </c>
    </row>
    <row r="39" spans="1:13" x14ac:dyDescent="0.25">
      <c r="A39" s="28"/>
      <c r="B39" s="46"/>
      <c r="C39" s="47"/>
      <c r="D39" s="48"/>
      <c r="E39" s="48"/>
      <c r="F39" s="48"/>
      <c r="G39" s="48"/>
      <c r="H39" s="48"/>
      <c r="I39" s="48"/>
      <c r="J39" s="49"/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ht="15.75" thickBot="1" x14ac:dyDescent="0.3">
      <c r="A41" s="2"/>
      <c r="B41" s="2"/>
      <c r="C41" s="2"/>
      <c r="J41" s="3"/>
    </row>
    <row r="42" spans="1:13" ht="45.75" thickBot="1" x14ac:dyDescent="0.3">
      <c r="A42" s="33" t="s">
        <v>22</v>
      </c>
      <c r="B42" s="4" t="s">
        <v>18</v>
      </c>
      <c r="C42" s="33" t="s">
        <v>14</v>
      </c>
      <c r="D42" s="33" t="s">
        <v>3</v>
      </c>
      <c r="E42" s="33" t="s">
        <v>4</v>
      </c>
      <c r="F42" s="33" t="s">
        <v>19</v>
      </c>
      <c r="G42" s="33" t="s">
        <v>20</v>
      </c>
      <c r="H42" s="4" t="s">
        <v>21</v>
      </c>
      <c r="I42" s="51" t="s">
        <v>15</v>
      </c>
      <c r="J42" s="34" t="s">
        <v>9</v>
      </c>
    </row>
    <row r="43" spans="1:13" ht="15.75" thickBot="1" x14ac:dyDescent="0.3">
      <c r="A43" s="40" t="s">
        <v>215</v>
      </c>
      <c r="B43" s="21" t="s">
        <v>645</v>
      </c>
      <c r="C43" s="21"/>
      <c r="D43" s="37"/>
      <c r="E43" s="55"/>
      <c r="F43" s="37"/>
      <c r="G43" s="37"/>
      <c r="H43" s="37"/>
      <c r="I43" s="37"/>
      <c r="J43" s="38">
        <f>SUM(D43:I43)</f>
        <v>0</v>
      </c>
    </row>
    <row r="44" spans="1:13" ht="15.75" thickBot="1" x14ac:dyDescent="0.3">
      <c r="A44" s="564" t="s">
        <v>621</v>
      </c>
      <c r="B44" s="21" t="s">
        <v>646</v>
      </c>
      <c r="C44" s="21">
        <v>45992</v>
      </c>
      <c r="D44" s="37">
        <v>10.7</v>
      </c>
      <c r="E44" s="37">
        <v>6</v>
      </c>
      <c r="F44" s="37"/>
      <c r="G44" s="37"/>
      <c r="H44" s="37"/>
      <c r="I44" s="37"/>
      <c r="J44" s="38">
        <f t="shared" ref="J44:J56" si="4">SUM(D44:I44)</f>
        <v>16.7</v>
      </c>
    </row>
    <row r="45" spans="1:13" ht="15.75" thickBot="1" x14ac:dyDescent="0.3">
      <c r="A45" s="565"/>
      <c r="B45" s="21" t="s">
        <v>647</v>
      </c>
      <c r="C45" s="21">
        <v>46023</v>
      </c>
      <c r="D45" s="37">
        <v>10.7</v>
      </c>
      <c r="E45" s="37">
        <v>5</v>
      </c>
      <c r="F45" s="37"/>
      <c r="G45" s="37"/>
      <c r="H45" s="37"/>
      <c r="I45" s="37"/>
      <c r="J45" s="38">
        <f t="shared" si="4"/>
        <v>15.7</v>
      </c>
    </row>
    <row r="46" spans="1:13" ht="15.75" thickBot="1" x14ac:dyDescent="0.3">
      <c r="A46" s="40" t="s">
        <v>648</v>
      </c>
      <c r="B46" s="21" t="s">
        <v>649</v>
      </c>
      <c r="C46" s="21">
        <v>46023</v>
      </c>
      <c r="D46" s="37"/>
      <c r="E46" s="37"/>
      <c r="F46" s="37">
        <v>60</v>
      </c>
      <c r="G46" s="37">
        <v>5</v>
      </c>
      <c r="H46" s="37">
        <v>10</v>
      </c>
      <c r="I46" s="37"/>
      <c r="J46" s="38">
        <f t="shared" si="4"/>
        <v>75</v>
      </c>
    </row>
    <row r="47" spans="1:13" ht="15.75" thickBot="1" x14ac:dyDescent="0.3">
      <c r="A47" s="40"/>
      <c r="B47" s="21"/>
      <c r="C47" s="21"/>
      <c r="D47" s="37"/>
      <c r="E47" s="37"/>
      <c r="F47" s="37"/>
      <c r="G47" s="37"/>
      <c r="H47" s="37"/>
      <c r="I47" s="37"/>
      <c r="J47" s="38">
        <f t="shared" si="4"/>
        <v>0</v>
      </c>
    </row>
    <row r="48" spans="1:13" ht="15.75" thickBot="1" x14ac:dyDescent="0.3">
      <c r="A48" s="437"/>
      <c r="B48" s="21"/>
      <c r="C48" s="21"/>
      <c r="D48" s="37"/>
      <c r="E48" s="37"/>
      <c r="F48" s="37"/>
      <c r="G48" s="37"/>
      <c r="H48" s="37"/>
      <c r="I48" s="37"/>
      <c r="J48" s="38">
        <f t="shared" si="4"/>
        <v>0</v>
      </c>
    </row>
    <row r="49" spans="1:10" ht="15.75" thickBot="1" x14ac:dyDescent="0.3">
      <c r="A49" s="437"/>
      <c r="B49" s="21"/>
      <c r="C49" s="21"/>
      <c r="D49" s="37"/>
      <c r="E49" s="37"/>
      <c r="F49" s="37"/>
      <c r="G49" s="37"/>
      <c r="H49" s="37"/>
      <c r="I49" s="37"/>
      <c r="J49" s="38">
        <f t="shared" si="4"/>
        <v>0</v>
      </c>
    </row>
    <row r="50" spans="1:10" ht="15.75" thickBot="1" x14ac:dyDescent="0.3">
      <c r="A50" s="437"/>
      <c r="B50" s="21"/>
      <c r="C50" s="21"/>
      <c r="D50" s="37"/>
      <c r="E50" s="37"/>
      <c r="F50" s="37"/>
      <c r="G50" s="37"/>
      <c r="H50" s="37"/>
      <c r="I50" s="37"/>
      <c r="J50" s="38">
        <f t="shared" si="4"/>
        <v>0</v>
      </c>
    </row>
    <row r="51" spans="1:10" ht="15.75" thickBot="1" x14ac:dyDescent="0.3">
      <c r="A51" s="437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437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56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40"/>
      <c r="B54" s="21"/>
      <c r="C54" s="21"/>
      <c r="D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E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57"/>
      <c r="E56" s="57"/>
      <c r="F56" s="57"/>
      <c r="G56" s="57"/>
      <c r="H56" s="57"/>
      <c r="I56" s="57"/>
      <c r="J56" s="38">
        <f t="shared" si="4"/>
        <v>0</v>
      </c>
    </row>
    <row r="57" spans="1:10" ht="19.5" thickBot="1" x14ac:dyDescent="0.35">
      <c r="A57" s="23" t="s">
        <v>9</v>
      </c>
      <c r="B57" s="4"/>
      <c r="C57" s="24"/>
      <c r="D57" s="25">
        <f t="shared" ref="D57:J57" si="5">SUM(D43:D56)</f>
        <v>21.4</v>
      </c>
      <c r="E57" s="25">
        <f t="shared" si="5"/>
        <v>11</v>
      </c>
      <c r="F57" s="25">
        <f t="shared" si="5"/>
        <v>60</v>
      </c>
      <c r="G57" s="25">
        <f t="shared" si="5"/>
        <v>5</v>
      </c>
      <c r="H57" s="25">
        <f t="shared" si="5"/>
        <v>10</v>
      </c>
      <c r="I57" s="25">
        <f t="shared" si="5"/>
        <v>0</v>
      </c>
      <c r="J57" s="25">
        <f t="shared" si="5"/>
        <v>107.4</v>
      </c>
    </row>
    <row r="58" spans="1:10" ht="15.75" x14ac:dyDescent="0.25">
      <c r="A58" s="58"/>
      <c r="B58" s="58"/>
      <c r="C58" s="59"/>
      <c r="D58" s="60"/>
      <c r="E58" s="60"/>
      <c r="F58" s="60"/>
      <c r="G58" s="60"/>
      <c r="H58" s="60"/>
      <c r="I58" s="60"/>
      <c r="J58" s="60"/>
    </row>
    <row r="59" spans="1:10" ht="16.5" thickBot="1" x14ac:dyDescent="0.3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9.5" thickBot="1" x14ac:dyDescent="0.35">
      <c r="A60" s="554" t="s">
        <v>23</v>
      </c>
      <c r="B60" s="555"/>
      <c r="C60" s="61"/>
      <c r="D60" s="62"/>
      <c r="E60" s="62"/>
      <c r="F60" s="62"/>
      <c r="G60" s="62"/>
      <c r="H60" s="62"/>
      <c r="I60" s="62"/>
      <c r="J60" s="26">
        <f>+J22+J57</f>
        <v>614.70000000000005</v>
      </c>
    </row>
    <row r="61" spans="1:10" x14ac:dyDescent="0.25">
      <c r="A61" s="2"/>
      <c r="B61" s="2"/>
      <c r="C61" s="63"/>
      <c r="D61" s="3"/>
      <c r="E61" s="3"/>
      <c r="F61" s="3"/>
      <c r="G61" s="3"/>
      <c r="H61" s="3"/>
      <c r="I61" s="3"/>
      <c r="J61" s="3"/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ht="16.5" thickBot="1" x14ac:dyDescent="0.3">
      <c r="A63" s="64" t="s">
        <v>24</v>
      </c>
      <c r="B63" s="2"/>
      <c r="C63" s="63"/>
      <c r="D63" s="3"/>
      <c r="E63" s="3"/>
      <c r="F63" s="3"/>
      <c r="G63" s="3"/>
      <c r="H63" s="3"/>
      <c r="I63" s="3"/>
      <c r="J63" s="3"/>
    </row>
    <row r="64" spans="1:10" ht="19.5" thickBot="1" x14ac:dyDescent="0.35">
      <c r="A64" s="65" t="s">
        <v>25</v>
      </c>
      <c r="B64" s="66"/>
      <c r="C64" s="67"/>
      <c r="D64" s="68"/>
      <c r="E64" s="68"/>
      <c r="F64" s="68"/>
      <c r="G64" s="68"/>
      <c r="H64" s="68"/>
      <c r="I64" s="68"/>
      <c r="J64" s="26"/>
    </row>
    <row r="65" spans="1:10" ht="19.5" thickBot="1" x14ac:dyDescent="0.35">
      <c r="A65" s="65" t="s">
        <v>26</v>
      </c>
      <c r="B65" s="66"/>
      <c r="C65" s="69"/>
      <c r="D65" s="68"/>
      <c r="E65" s="68"/>
      <c r="F65" s="68"/>
      <c r="G65" s="68"/>
      <c r="H65" s="68"/>
      <c r="I65" s="68"/>
      <c r="J65" s="26"/>
    </row>
    <row r="66" spans="1:10" ht="18.75" x14ac:dyDescent="0.3">
      <c r="A66" s="70"/>
      <c r="B66" s="70"/>
      <c r="C66" s="71"/>
      <c r="D66" s="72"/>
      <c r="E66" s="72"/>
      <c r="F66" s="72"/>
      <c r="G66" s="72"/>
      <c r="H66" s="72"/>
      <c r="I66" s="72"/>
      <c r="J66" s="30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6.5" thickBot="1" x14ac:dyDescent="0.3">
      <c r="A68" s="73" t="s">
        <v>27</v>
      </c>
      <c r="B68" s="74"/>
      <c r="C68" s="63"/>
      <c r="D68" s="3"/>
      <c r="E68" s="3"/>
      <c r="F68" s="3"/>
      <c r="G68" s="3"/>
      <c r="H68" s="3"/>
      <c r="I68" s="3"/>
      <c r="J68" s="3"/>
    </row>
    <row r="69" spans="1:10" ht="19.5" thickBot="1" x14ac:dyDescent="0.35">
      <c r="A69" s="75" t="s">
        <v>28</v>
      </c>
      <c r="B69" s="76"/>
      <c r="C69" s="77"/>
      <c r="D69" s="78"/>
      <c r="E69" s="78"/>
      <c r="F69" s="78"/>
      <c r="G69" s="78"/>
      <c r="H69" s="78"/>
      <c r="I69" s="78"/>
      <c r="J69" s="79">
        <v>463.5</v>
      </c>
    </row>
    <row r="70" spans="1:10" x14ac:dyDescent="0.25">
      <c r="A70" s="80"/>
      <c r="B70" s="2"/>
      <c r="C70" s="63"/>
      <c r="D70" s="3"/>
      <c r="E70" s="3"/>
      <c r="F70" s="3"/>
      <c r="G70" s="3"/>
      <c r="H70" s="3"/>
      <c r="I70" s="3"/>
      <c r="J70" s="3"/>
    </row>
    <row r="71" spans="1:10" ht="16.5" thickBot="1" x14ac:dyDescent="0.3">
      <c r="A71" s="73"/>
      <c r="B71" s="74"/>
      <c r="C71" s="63"/>
      <c r="D71" s="3"/>
      <c r="E71" s="3"/>
      <c r="F71" s="3"/>
      <c r="G71" s="3"/>
      <c r="H71" s="3"/>
      <c r="I71" s="3"/>
      <c r="J71" s="3"/>
    </row>
    <row r="72" spans="1:10" ht="19.5" thickBot="1" x14ac:dyDescent="0.35">
      <c r="A72" s="75" t="s">
        <v>29</v>
      </c>
      <c r="B72" s="76"/>
      <c r="C72" s="81"/>
      <c r="D72" s="78"/>
      <c r="E72" s="78"/>
      <c r="F72" s="78"/>
      <c r="G72" s="78"/>
      <c r="H72" s="78"/>
      <c r="I72" s="78"/>
      <c r="J72" s="82"/>
    </row>
    <row r="73" spans="1:10" ht="15.75" thickBot="1" x14ac:dyDescent="0.3">
      <c r="A73" s="80"/>
      <c r="B73" s="2"/>
      <c r="C73" s="63"/>
      <c r="D73" s="3"/>
      <c r="E73" s="3"/>
      <c r="F73" s="3"/>
      <c r="G73" s="3"/>
      <c r="H73" s="3"/>
      <c r="I73" s="3"/>
      <c r="J73" s="3"/>
    </row>
    <row r="74" spans="1:10" ht="21.75" thickBot="1" x14ac:dyDescent="0.4">
      <c r="A74" s="556" t="s">
        <v>30</v>
      </c>
      <c r="B74" s="557"/>
      <c r="C74" s="83"/>
      <c r="D74" s="84"/>
      <c r="E74" s="84"/>
      <c r="F74" s="84"/>
      <c r="G74" s="84"/>
      <c r="H74" s="84"/>
      <c r="I74" s="84"/>
      <c r="J74" s="85">
        <f>SUM(J60:J73)</f>
        <v>1078.2</v>
      </c>
    </row>
    <row r="75" spans="1:10" x14ac:dyDescent="0.25">
      <c r="A75" s="2"/>
      <c r="B75" s="2"/>
      <c r="C75" s="63"/>
      <c r="D75" s="3"/>
      <c r="E75" s="3"/>
      <c r="F75" s="3"/>
      <c r="G75" s="3"/>
      <c r="H75" s="3"/>
      <c r="I75" s="3"/>
      <c r="J75" s="3"/>
    </row>
    <row r="76" spans="1:10" ht="21" x14ac:dyDescent="0.35">
      <c r="A76" s="553" t="s">
        <v>644</v>
      </c>
      <c r="B76" s="553"/>
      <c r="C76" s="553"/>
      <c r="D76" s="553"/>
      <c r="E76" s="553"/>
      <c r="F76" s="553"/>
      <c r="G76" s="553"/>
      <c r="H76" s="553"/>
      <c r="I76" s="553"/>
      <c r="J76" s="553"/>
    </row>
    <row r="77" spans="1:10" ht="21.75" thickBot="1" x14ac:dyDescent="0.4">
      <c r="A77" s="436" t="s">
        <v>31</v>
      </c>
      <c r="B77" s="436"/>
      <c r="C77" s="436"/>
      <c r="D77" s="436"/>
      <c r="E77" s="436"/>
      <c r="F77" s="436"/>
      <c r="G77" s="436"/>
      <c r="H77" s="436"/>
      <c r="I77" s="436"/>
      <c r="J77" s="87"/>
    </row>
    <row r="78" spans="1:10" ht="15.75" thickBot="1" x14ac:dyDescent="0.3">
      <c r="A78" s="88" t="s">
        <v>32</v>
      </c>
      <c r="B78" s="89" t="s">
        <v>33</v>
      </c>
      <c r="C78" s="558" t="s">
        <v>2</v>
      </c>
      <c r="D78" s="559"/>
      <c r="E78" s="559"/>
      <c r="F78" s="559"/>
      <c r="G78" s="559"/>
      <c r="H78" s="559"/>
      <c r="I78" s="560"/>
      <c r="J78" s="90" t="s">
        <v>9</v>
      </c>
    </row>
    <row r="79" spans="1:10" ht="15.75" thickBot="1" x14ac:dyDescent="0.3">
      <c r="A79" s="91" t="s">
        <v>650</v>
      </c>
      <c r="B79" s="92" t="s">
        <v>651</v>
      </c>
      <c r="C79" s="550" t="s">
        <v>652</v>
      </c>
      <c r="D79" s="551"/>
      <c r="E79" s="551"/>
      <c r="F79" s="551"/>
      <c r="G79" s="551"/>
      <c r="H79" s="551"/>
      <c r="I79" s="551"/>
      <c r="J79" s="36">
        <v>600</v>
      </c>
    </row>
    <row r="80" spans="1:10" ht="15.75" thickBot="1" x14ac:dyDescent="0.3">
      <c r="A80" s="40" t="s">
        <v>661</v>
      </c>
      <c r="B80" s="92">
        <v>7996</v>
      </c>
      <c r="C80" s="550" t="s">
        <v>501</v>
      </c>
      <c r="D80" s="551"/>
      <c r="E80" s="551"/>
      <c r="F80" s="551"/>
      <c r="G80" s="551"/>
      <c r="H80" s="552"/>
      <c r="I80" s="552"/>
      <c r="J80" s="36">
        <v>3</v>
      </c>
    </row>
    <row r="81" spans="1:10" ht="47.25" customHeight="1" thickBot="1" x14ac:dyDescent="0.3">
      <c r="A81" s="40" t="s">
        <v>166</v>
      </c>
      <c r="B81" s="92" t="s">
        <v>662</v>
      </c>
      <c r="C81" s="561" t="s">
        <v>663</v>
      </c>
      <c r="D81" s="562"/>
      <c r="E81" s="562"/>
      <c r="F81" s="562"/>
      <c r="G81" s="562"/>
      <c r="H81" s="562"/>
      <c r="I81" s="562"/>
      <c r="J81" s="461">
        <v>52.3</v>
      </c>
    </row>
    <row r="82" spans="1:10" ht="15.75" thickBot="1" x14ac:dyDescent="0.3">
      <c r="A82" s="40" t="s">
        <v>665</v>
      </c>
      <c r="B82" s="92">
        <v>6720</v>
      </c>
      <c r="C82" s="550" t="s">
        <v>666</v>
      </c>
      <c r="D82" s="551"/>
      <c r="E82" s="551"/>
      <c r="F82" s="551"/>
      <c r="G82" s="551"/>
      <c r="H82" s="552"/>
      <c r="I82" s="552"/>
      <c r="J82" s="36">
        <v>35.700000000000003</v>
      </c>
    </row>
    <row r="83" spans="1:10" ht="15.75" thickBot="1" x14ac:dyDescent="0.3">
      <c r="A83" s="40"/>
      <c r="B83" s="92"/>
      <c r="C83" s="550"/>
      <c r="D83" s="551"/>
      <c r="E83" s="551"/>
      <c r="F83" s="551"/>
      <c r="G83" s="551"/>
      <c r="H83" s="552"/>
      <c r="I83" s="552"/>
      <c r="J83" s="36"/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36"/>
    </row>
    <row r="85" spans="1:10" ht="15.75" thickBot="1" x14ac:dyDescent="0.3">
      <c r="A85" s="40"/>
      <c r="B85" s="92"/>
      <c r="C85" s="550"/>
      <c r="D85" s="551"/>
      <c r="E85" s="551"/>
      <c r="F85" s="551"/>
      <c r="G85" s="551"/>
      <c r="H85" s="552"/>
      <c r="I85" s="552"/>
      <c r="J85" s="36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35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35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5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5"/>
    </row>
    <row r="90" spans="1:10" ht="19.5" thickBot="1" x14ac:dyDescent="0.35">
      <c r="A90" s="94" t="s">
        <v>34</v>
      </c>
      <c r="B90" s="554"/>
      <c r="C90" s="563"/>
      <c r="D90" s="563"/>
      <c r="E90" s="563"/>
      <c r="F90" s="563"/>
      <c r="G90" s="563"/>
      <c r="H90" s="563"/>
      <c r="I90" s="563"/>
      <c r="J90" s="462">
        <f>SUM(J79:J89)</f>
        <v>691</v>
      </c>
    </row>
    <row r="91" spans="1:10" ht="18.75" x14ac:dyDescent="0.3">
      <c r="A91" s="27"/>
      <c r="B91" s="27"/>
      <c r="C91" s="96"/>
      <c r="D91" s="96"/>
      <c r="E91" s="96"/>
      <c r="F91" s="97"/>
      <c r="G91" s="96"/>
      <c r="H91" s="96"/>
      <c r="I91" s="96"/>
      <c r="J91" s="30"/>
    </row>
    <row r="92" spans="1:10" ht="18.75" x14ac:dyDescent="0.3">
      <c r="A92" s="27"/>
      <c r="B92" s="27"/>
      <c r="C92" s="96"/>
      <c r="D92" s="96"/>
      <c r="E92" s="96"/>
      <c r="F92" s="97"/>
      <c r="G92" s="96"/>
      <c r="H92" s="96"/>
      <c r="I92" s="96"/>
      <c r="J92" s="30"/>
    </row>
    <row r="93" spans="1:10" ht="18.75" x14ac:dyDescent="0.3">
      <c r="A93" s="58" t="s">
        <v>35</v>
      </c>
      <c r="B93" s="27"/>
      <c r="C93" s="2"/>
      <c r="D93" s="3"/>
      <c r="F93" s="3"/>
      <c r="J93" s="3"/>
    </row>
    <row r="94" spans="1:10" x14ac:dyDescent="0.25">
      <c r="A94" s="2" t="s">
        <v>36</v>
      </c>
      <c r="B94" s="63">
        <f>+J74</f>
        <v>1078.2</v>
      </c>
      <c r="C94" s="98"/>
      <c r="D94" s="3"/>
      <c r="F94" s="3"/>
      <c r="J94" s="3"/>
    </row>
    <row r="95" spans="1:10" ht="15.75" thickBot="1" x14ac:dyDescent="0.3">
      <c r="A95" s="2" t="s">
        <v>34</v>
      </c>
      <c r="B95" s="99">
        <f>+J90</f>
        <v>691</v>
      </c>
      <c r="C95" s="100"/>
      <c r="D95" s="3"/>
      <c r="F95" s="3"/>
      <c r="G95" s="101"/>
      <c r="H95" s="101"/>
      <c r="I95" s="102"/>
      <c r="J95" s="102"/>
    </row>
    <row r="96" spans="1:10" ht="17.25" thickTop="1" thickBot="1" x14ac:dyDescent="0.3">
      <c r="A96" s="58" t="s">
        <v>37</v>
      </c>
      <c r="B96" s="103">
        <f>++B94-B95</f>
        <v>387.20000000000005</v>
      </c>
      <c r="C96" s="104"/>
      <c r="D96" s="105"/>
      <c r="E96" s="106"/>
      <c r="F96" s="105"/>
      <c r="G96" s="107"/>
      <c r="H96" s="107"/>
      <c r="I96" s="3"/>
    </row>
    <row r="97" ht="15.75" thickTop="1" x14ac:dyDescent="0.25"/>
  </sheetData>
  <mergeCells count="22">
    <mergeCell ref="C79:I79"/>
    <mergeCell ref="A1:J1"/>
    <mergeCell ref="A60:B60"/>
    <mergeCell ref="A74:B74"/>
    <mergeCell ref="A76:J76"/>
    <mergeCell ref="C78:I78"/>
    <mergeCell ref="B90:I90"/>
    <mergeCell ref="A44:A45"/>
    <mergeCell ref="B11:B12"/>
    <mergeCell ref="A11:A12"/>
    <mergeCell ref="B13:B14"/>
    <mergeCell ref="A13:A14"/>
    <mergeCell ref="C86:I86"/>
    <mergeCell ref="C87:I87"/>
    <mergeCell ref="C88:I88"/>
    <mergeCell ref="C89:I89"/>
    <mergeCell ref="C80:I80"/>
    <mergeCell ref="C81:I81"/>
    <mergeCell ref="C82:I82"/>
    <mergeCell ref="C83:I83"/>
    <mergeCell ref="C84:I84"/>
    <mergeCell ref="C85:I85"/>
  </mergeCells>
  <phoneticPr fontId="13" type="noConversion"/>
  <pageMargins left="0.17" right="0.17" top="1.77" bottom="0.17" header="0.17" footer="0.17"/>
  <pageSetup paperSize="9" scale="2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9FD0-C521-42F8-AFCA-DCF6E958B7A6}">
  <sheetPr>
    <pageSetUpPr fitToPage="1"/>
  </sheetPr>
  <dimension ref="A1:M101"/>
  <sheetViews>
    <sheetView topLeftCell="A25" workbookViewId="0">
      <selection activeCell="J89" sqref="J89:J90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0" max="10" width="14" bestFit="1" customWidth="1"/>
    <col min="13" max="13" width="11.140625" customWidth="1"/>
  </cols>
  <sheetData>
    <row r="1" spans="1:10" ht="21" x14ac:dyDescent="0.35">
      <c r="A1" s="553" t="s">
        <v>667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684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10</v>
      </c>
      <c r="B4" s="6" t="s">
        <v>674</v>
      </c>
      <c r="C4" s="7">
        <v>46054</v>
      </c>
      <c r="D4" s="8"/>
      <c r="E4" s="8"/>
      <c r="F4" s="8"/>
      <c r="G4" s="8"/>
      <c r="H4" s="8"/>
      <c r="I4" s="8">
        <v>10</v>
      </c>
      <c r="J4" s="5">
        <f>SUM(D4:I4)</f>
        <v>10</v>
      </c>
    </row>
    <row r="5" spans="1:10" ht="15.75" thickBot="1" x14ac:dyDescent="0.3">
      <c r="A5" s="6" t="s">
        <v>476</v>
      </c>
      <c r="B5" s="6" t="s">
        <v>678</v>
      </c>
      <c r="C5" s="7">
        <v>46023</v>
      </c>
      <c r="D5" s="8"/>
      <c r="E5" s="8"/>
      <c r="F5" s="8">
        <v>100</v>
      </c>
      <c r="G5" s="8"/>
      <c r="H5" s="8"/>
      <c r="I5" s="8"/>
      <c r="J5" s="5">
        <f t="shared" ref="J5:J21" si="0">SUM(D5:I5)</f>
        <v>100</v>
      </c>
    </row>
    <row r="6" spans="1:10" ht="15.75" thickBot="1" x14ac:dyDescent="0.3">
      <c r="A6" s="6" t="s">
        <v>7</v>
      </c>
      <c r="B6" s="6" t="s">
        <v>698</v>
      </c>
      <c r="C6" s="7">
        <v>46054</v>
      </c>
      <c r="D6" s="8"/>
      <c r="E6" s="8"/>
      <c r="F6" s="8"/>
      <c r="G6" s="8"/>
      <c r="H6" s="8">
        <v>59</v>
      </c>
      <c r="I6" s="8"/>
      <c r="J6" s="5">
        <f t="shared" si="0"/>
        <v>59</v>
      </c>
    </row>
    <row r="7" spans="1:10" ht="33.75" customHeight="1" thickBot="1" x14ac:dyDescent="0.3">
      <c r="A7" s="186" t="s">
        <v>685</v>
      </c>
      <c r="B7" s="6">
        <v>10893</v>
      </c>
      <c r="C7" s="7">
        <v>46054</v>
      </c>
      <c r="D7" s="8"/>
      <c r="E7" s="8"/>
      <c r="F7" s="8"/>
      <c r="G7" s="8">
        <v>45.2</v>
      </c>
      <c r="H7" s="8"/>
      <c r="I7" s="8"/>
      <c r="J7" s="5">
        <f t="shared" si="0"/>
        <v>45.2</v>
      </c>
    </row>
    <row r="8" spans="1:10" ht="15.75" thickBot="1" x14ac:dyDescent="0.3">
      <c r="A8" s="6"/>
      <c r="B8" s="6"/>
      <c r="C8" s="7"/>
      <c r="D8" s="8"/>
      <c r="E8" s="8"/>
      <c r="F8" s="8"/>
      <c r="G8" s="8"/>
      <c r="H8" s="8"/>
      <c r="I8" s="8"/>
      <c r="J8" s="5">
        <f t="shared" si="0"/>
        <v>0</v>
      </c>
    </row>
    <row r="9" spans="1:10" ht="15.75" thickBot="1" x14ac:dyDescent="0.3">
      <c r="A9" s="6" t="s">
        <v>661</v>
      </c>
      <c r="B9" s="6" t="s">
        <v>687</v>
      </c>
      <c r="C9" s="7">
        <v>46023</v>
      </c>
      <c r="D9" s="8">
        <v>117.2</v>
      </c>
      <c r="E9" s="8">
        <v>3</v>
      </c>
      <c r="F9" s="8"/>
      <c r="G9" s="8"/>
      <c r="H9" s="8"/>
      <c r="I9" s="8"/>
      <c r="J9" s="5">
        <f t="shared" si="0"/>
        <v>120.2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454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454"/>
      <c r="B12" s="451"/>
      <c r="C12" s="7"/>
      <c r="D12" s="8"/>
      <c r="E12" s="8"/>
      <c r="F12" s="8"/>
      <c r="G12" s="8"/>
      <c r="H12" s="8"/>
      <c r="I12" s="11"/>
      <c r="J12" s="12">
        <f t="shared" si="0"/>
        <v>0</v>
      </c>
    </row>
    <row r="13" spans="1:10" ht="15.75" thickBot="1" x14ac:dyDescent="0.3">
      <c r="A13" s="6"/>
      <c r="B13" s="6"/>
      <c r="C13" s="7"/>
      <c r="D13" s="8"/>
      <c r="E13" s="8"/>
      <c r="F13" s="8"/>
      <c r="G13" s="8"/>
      <c r="H13" s="8"/>
      <c r="I13" s="8"/>
      <c r="J13" s="5">
        <f t="shared" si="0"/>
        <v>0</v>
      </c>
    </row>
    <row r="14" spans="1:10" ht="15.75" thickBot="1" x14ac:dyDescent="0.3">
      <c r="A14" s="13"/>
      <c r="B14" s="452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5"/>
      <c r="B15" s="13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450"/>
      <c r="B16" s="450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17"/>
      <c r="B17" s="450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450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8"/>
      <c r="B19" s="450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453"/>
      <c r="B20" s="453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450"/>
      <c r="B21" s="448"/>
      <c r="C21" s="21"/>
      <c r="D21" s="22"/>
      <c r="E21" s="22"/>
      <c r="F21" s="22"/>
      <c r="G21" s="22"/>
      <c r="H21" s="22"/>
      <c r="I21" s="22"/>
      <c r="J21" s="5">
        <f t="shared" si="0"/>
        <v>0</v>
      </c>
    </row>
    <row r="22" spans="1:13" ht="19.5" thickBot="1" x14ac:dyDescent="0.35">
      <c r="A22" s="23" t="s">
        <v>9</v>
      </c>
      <c r="B22" s="4"/>
      <c r="C22" s="24"/>
      <c r="D22" s="25">
        <f t="shared" ref="D22:J22" si="1">SUM(D4:D21)</f>
        <v>117.2</v>
      </c>
      <c r="E22" s="25">
        <f t="shared" si="1"/>
        <v>3</v>
      </c>
      <c r="F22" s="25">
        <f t="shared" si="1"/>
        <v>100</v>
      </c>
      <c r="G22" s="25">
        <f t="shared" si="1"/>
        <v>45.2</v>
      </c>
      <c r="H22" s="25">
        <f t="shared" si="1"/>
        <v>59</v>
      </c>
      <c r="I22" s="25">
        <f t="shared" si="1"/>
        <v>10</v>
      </c>
      <c r="J22" s="26">
        <f t="shared" si="1"/>
        <v>334.4</v>
      </c>
    </row>
    <row r="23" spans="1:13" ht="19.5" thickBot="1" x14ac:dyDescent="0.35">
      <c r="A23" s="27"/>
      <c r="B23" s="28"/>
      <c r="C23" s="29"/>
      <c r="D23" s="30"/>
      <c r="E23" s="30"/>
      <c r="F23" s="30"/>
      <c r="G23" s="30"/>
      <c r="H23" s="30"/>
      <c r="I23" s="30"/>
      <c r="J23" s="30"/>
    </row>
    <row r="24" spans="1:13" ht="24" thickBot="1" x14ac:dyDescent="0.4">
      <c r="A24" s="31" t="s">
        <v>12</v>
      </c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15.75" thickBot="1" x14ac:dyDescent="0.3">
      <c r="A25" s="32" t="s">
        <v>13</v>
      </c>
      <c r="B25" s="4" t="s">
        <v>1</v>
      </c>
      <c r="C25" s="33" t="s">
        <v>14</v>
      </c>
      <c r="D25" s="33" t="s">
        <v>3</v>
      </c>
      <c r="E25" s="33" t="s">
        <v>4</v>
      </c>
      <c r="F25" s="4" t="s">
        <v>5</v>
      </c>
      <c r="G25" s="4" t="s">
        <v>6</v>
      </c>
      <c r="H25" s="4" t="s">
        <v>15</v>
      </c>
      <c r="I25" s="4" t="s">
        <v>8</v>
      </c>
      <c r="J25" s="34" t="s">
        <v>9</v>
      </c>
    </row>
    <row r="26" spans="1:13" ht="15.75" thickBot="1" x14ac:dyDescent="0.3">
      <c r="A26" s="595" t="s">
        <v>675</v>
      </c>
      <c r="B26" s="566" t="s">
        <v>676</v>
      </c>
      <c r="C26" s="318">
        <v>45962</v>
      </c>
      <c r="D26" s="35"/>
      <c r="E26" s="36"/>
      <c r="F26" s="35">
        <v>200</v>
      </c>
      <c r="G26" s="35"/>
      <c r="H26" s="37"/>
      <c r="I26" s="37"/>
      <c r="J26" s="38">
        <f>SUM(D26:I26)</f>
        <v>200</v>
      </c>
    </row>
    <row r="27" spans="1:13" ht="15.75" thickBot="1" x14ac:dyDescent="0.3">
      <c r="A27" s="599"/>
      <c r="B27" s="597"/>
      <c r="C27" s="318">
        <v>45992</v>
      </c>
      <c r="D27" s="35"/>
      <c r="E27" s="35"/>
      <c r="F27" s="35">
        <v>500</v>
      </c>
      <c r="G27" s="35"/>
      <c r="H27" s="37"/>
      <c r="I27" s="37"/>
      <c r="J27" s="38">
        <f t="shared" ref="J27:J31" si="2">SUM(D27:I27)</f>
        <v>500</v>
      </c>
    </row>
    <row r="28" spans="1:13" ht="15.75" thickBot="1" x14ac:dyDescent="0.3">
      <c r="A28" s="599"/>
      <c r="B28" s="567"/>
      <c r="C28" s="318">
        <v>46023</v>
      </c>
      <c r="D28" s="319"/>
      <c r="E28" s="319"/>
      <c r="F28" s="319">
        <v>500</v>
      </c>
      <c r="G28" s="319"/>
      <c r="H28" s="390"/>
      <c r="I28" s="8"/>
      <c r="J28" s="38">
        <f t="shared" si="2"/>
        <v>500</v>
      </c>
    </row>
    <row r="29" spans="1:13" ht="15.75" thickBot="1" x14ac:dyDescent="0.3">
      <c r="A29" s="596"/>
      <c r="B29" s="449" t="s">
        <v>677</v>
      </c>
      <c r="C29" s="318">
        <v>46023</v>
      </c>
      <c r="D29" s="319">
        <v>15.7</v>
      </c>
      <c r="E29" s="319">
        <v>3</v>
      </c>
      <c r="F29" s="319"/>
      <c r="G29" s="319"/>
      <c r="H29" s="390"/>
      <c r="I29" s="8"/>
      <c r="J29" s="38">
        <f t="shared" si="2"/>
        <v>18.7</v>
      </c>
    </row>
    <row r="30" spans="1:13" ht="15.75" thickBot="1" x14ac:dyDescent="0.3">
      <c r="A30" s="453"/>
      <c r="B30" s="449"/>
      <c r="C30" s="318"/>
      <c r="D30" s="39"/>
      <c r="E30" s="39"/>
      <c r="F30" s="39"/>
      <c r="G30" s="39"/>
      <c r="H30" s="8"/>
      <c r="I30" s="8"/>
      <c r="J30" s="38">
        <f t="shared" si="2"/>
        <v>0</v>
      </c>
    </row>
    <row r="31" spans="1:13" ht="15.75" thickBot="1" x14ac:dyDescent="0.3">
      <c r="A31" s="4"/>
      <c r="B31" s="40"/>
      <c r="C31" s="7"/>
      <c r="D31" s="39"/>
      <c r="E31" s="39"/>
      <c r="F31" s="39"/>
      <c r="G31" s="39"/>
      <c r="H31" s="8"/>
      <c r="I31" s="8"/>
      <c r="J31" s="38">
        <f t="shared" si="2"/>
        <v>0</v>
      </c>
      <c r="L31" s="41" t="s">
        <v>16</v>
      </c>
      <c r="M31" s="42">
        <f>J32+J40</f>
        <v>1294.2</v>
      </c>
    </row>
    <row r="32" spans="1:13" ht="15.75" thickBot="1" x14ac:dyDescent="0.3">
      <c r="A32" s="4" t="s">
        <v>9</v>
      </c>
      <c r="B32" s="43"/>
      <c r="C32" s="44"/>
      <c r="D32" s="45"/>
      <c r="E32" s="45"/>
      <c r="F32" s="45"/>
      <c r="G32" s="45"/>
      <c r="H32" s="45"/>
      <c r="I32" s="45"/>
      <c r="J32" s="12">
        <f>SUM(J26:J31)</f>
        <v>1218.7</v>
      </c>
    </row>
    <row r="33" spans="1:13" ht="15.75" thickBot="1" x14ac:dyDescent="0.3">
      <c r="A33" s="28"/>
      <c r="B33" s="46"/>
      <c r="C33" s="47"/>
      <c r="D33" s="48"/>
      <c r="E33" s="48"/>
      <c r="F33" s="48"/>
      <c r="G33" s="48"/>
      <c r="H33" s="48"/>
      <c r="I33" s="48"/>
      <c r="J33" s="49"/>
    </row>
    <row r="34" spans="1:13" ht="24" thickBot="1" x14ac:dyDescent="0.4">
      <c r="A34" s="31" t="s">
        <v>12</v>
      </c>
      <c r="B34" s="28"/>
      <c r="C34" s="29"/>
      <c r="D34" s="30"/>
      <c r="E34" s="30"/>
      <c r="F34" s="30"/>
      <c r="G34" s="30"/>
      <c r="H34" s="30"/>
      <c r="I34" s="30"/>
      <c r="J34" s="30"/>
    </row>
    <row r="35" spans="1:13" ht="45.75" thickBot="1" x14ac:dyDescent="0.3">
      <c r="A35" s="50" t="s">
        <v>17</v>
      </c>
      <c r="B35" s="4" t="s">
        <v>18</v>
      </c>
      <c r="C35" s="33" t="s">
        <v>14</v>
      </c>
      <c r="D35" s="33" t="s">
        <v>3</v>
      </c>
      <c r="E35" s="33" t="s">
        <v>4</v>
      </c>
      <c r="F35" s="33" t="s">
        <v>19</v>
      </c>
      <c r="G35" s="33" t="s">
        <v>20</v>
      </c>
      <c r="H35" s="33" t="s">
        <v>15</v>
      </c>
      <c r="I35" s="51" t="s">
        <v>21</v>
      </c>
      <c r="J35" s="34" t="s">
        <v>9</v>
      </c>
    </row>
    <row r="36" spans="1:13" ht="15.75" thickBot="1" x14ac:dyDescent="0.3">
      <c r="A36" s="6" t="s">
        <v>679</v>
      </c>
      <c r="B36" s="17" t="s">
        <v>680</v>
      </c>
      <c r="C36" s="7">
        <v>45992</v>
      </c>
      <c r="D36" s="8">
        <v>1.2</v>
      </c>
      <c r="E36" s="8">
        <v>74.3</v>
      </c>
      <c r="F36" s="8"/>
      <c r="G36" s="8"/>
      <c r="H36" s="8"/>
      <c r="I36" s="8"/>
      <c r="J36" s="5">
        <f t="shared" ref="J36:J39" si="3">SUM(D36:I36)</f>
        <v>75.5</v>
      </c>
    </row>
    <row r="37" spans="1:13" ht="15.75" thickBot="1" x14ac:dyDescent="0.3">
      <c r="A37" s="13"/>
      <c r="B37" s="21"/>
      <c r="C37" s="7"/>
      <c r="D37" s="35"/>
      <c r="E37" s="35"/>
      <c r="F37" s="35"/>
      <c r="G37" s="35"/>
      <c r="H37" s="37"/>
      <c r="I37" s="37"/>
      <c r="J37" s="38">
        <f t="shared" si="3"/>
        <v>0</v>
      </c>
    </row>
    <row r="38" spans="1:13" ht="15.75" thickBot="1" x14ac:dyDescent="0.3">
      <c r="A38" s="453"/>
      <c r="B38" s="450"/>
      <c r="C38" s="7"/>
      <c r="D38" s="39"/>
      <c r="E38" s="39"/>
      <c r="F38" s="39"/>
      <c r="G38" s="39"/>
      <c r="H38" s="8"/>
      <c r="I38" s="8"/>
      <c r="J38" s="38">
        <f t="shared" si="3"/>
        <v>0</v>
      </c>
    </row>
    <row r="39" spans="1:13" ht="15.75" thickBot="1" x14ac:dyDescent="0.3">
      <c r="A39" s="4"/>
      <c r="B39" s="40"/>
      <c r="C39" s="7"/>
      <c r="D39" s="39"/>
      <c r="E39" s="39"/>
      <c r="F39" s="39"/>
      <c r="G39" s="39"/>
      <c r="H39" s="8"/>
      <c r="I39" s="8"/>
      <c r="J39" s="38">
        <f t="shared" si="3"/>
        <v>0</v>
      </c>
      <c r="L39" s="53"/>
      <c r="M39" s="54"/>
    </row>
    <row r="40" spans="1:13" ht="15.75" thickBot="1" x14ac:dyDescent="0.3">
      <c r="A40" s="4" t="s">
        <v>9</v>
      </c>
      <c r="B40" s="43"/>
      <c r="C40" s="44"/>
      <c r="D40" s="45"/>
      <c r="E40" s="45"/>
      <c r="F40" s="45"/>
      <c r="G40" s="45"/>
      <c r="H40" s="45"/>
      <c r="I40" s="45"/>
      <c r="J40" s="12">
        <f>SUM(J36:J39)</f>
        <v>75.5</v>
      </c>
    </row>
    <row r="41" spans="1:13" x14ac:dyDescent="0.25">
      <c r="A41" s="28"/>
      <c r="B41" s="46"/>
      <c r="C41" s="47"/>
      <c r="D41" s="48"/>
      <c r="E41" s="48"/>
      <c r="F41" s="48"/>
      <c r="G41" s="48"/>
      <c r="H41" s="48"/>
      <c r="I41" s="48"/>
      <c r="J41" s="49"/>
    </row>
    <row r="42" spans="1:13" x14ac:dyDescent="0.25">
      <c r="A42" s="28"/>
      <c r="B42" s="46"/>
      <c r="C42" s="47"/>
      <c r="D42" s="48"/>
      <c r="E42" s="48"/>
      <c r="F42" s="48"/>
      <c r="G42" s="48"/>
      <c r="H42" s="48"/>
      <c r="I42" s="48"/>
      <c r="J42" s="49"/>
    </row>
    <row r="43" spans="1:13" ht="15.75" thickBot="1" x14ac:dyDescent="0.3">
      <c r="A43" s="2"/>
      <c r="B43" s="2"/>
      <c r="C43" s="2"/>
      <c r="J43" s="3"/>
    </row>
    <row r="44" spans="1:13" ht="45.75" thickBot="1" x14ac:dyDescent="0.3">
      <c r="A44" s="33" t="s">
        <v>22</v>
      </c>
      <c r="B44" s="4" t="s">
        <v>18</v>
      </c>
      <c r="C44" s="33" t="s">
        <v>14</v>
      </c>
      <c r="D44" s="33" t="s">
        <v>3</v>
      </c>
      <c r="E44" s="33" t="s">
        <v>4</v>
      </c>
      <c r="F44" s="33" t="s">
        <v>19</v>
      </c>
      <c r="G44" s="33" t="s">
        <v>20</v>
      </c>
      <c r="H44" s="4" t="s">
        <v>21</v>
      </c>
      <c r="I44" s="51" t="s">
        <v>15</v>
      </c>
      <c r="J44" s="34" t="s">
        <v>9</v>
      </c>
    </row>
    <row r="45" spans="1:13" ht="15.75" thickBot="1" x14ac:dyDescent="0.3">
      <c r="A45" s="40" t="s">
        <v>669</v>
      </c>
      <c r="B45" s="21" t="s">
        <v>670</v>
      </c>
      <c r="C45" s="21">
        <v>46023</v>
      </c>
      <c r="D45" s="37">
        <v>21.4</v>
      </c>
      <c r="E45" s="55">
        <v>5</v>
      </c>
      <c r="F45" s="37"/>
      <c r="G45" s="37"/>
      <c r="H45" s="37">
        <v>10</v>
      </c>
      <c r="I45" s="37"/>
      <c r="J45" s="38">
        <f>SUM(D45:I45)</f>
        <v>36.4</v>
      </c>
    </row>
    <row r="46" spans="1:13" ht="15.75" thickBot="1" x14ac:dyDescent="0.3">
      <c r="A46" s="564" t="s">
        <v>338</v>
      </c>
      <c r="B46" s="566" t="s">
        <v>686</v>
      </c>
      <c r="C46" s="7">
        <v>45992</v>
      </c>
      <c r="D46" s="37">
        <v>5</v>
      </c>
      <c r="E46" s="37">
        <v>6</v>
      </c>
      <c r="F46" s="37"/>
      <c r="G46" s="37"/>
      <c r="H46" s="37"/>
      <c r="I46" s="37"/>
      <c r="J46" s="38">
        <f t="shared" ref="J46:J58" si="4">SUM(D46:I46)</f>
        <v>11</v>
      </c>
    </row>
    <row r="47" spans="1:13" ht="15.75" thickBot="1" x14ac:dyDescent="0.3">
      <c r="A47" s="565"/>
      <c r="B47" s="567"/>
      <c r="C47" s="21">
        <v>46023</v>
      </c>
      <c r="D47" s="37">
        <v>5.8</v>
      </c>
      <c r="E47" s="37">
        <v>5.7</v>
      </c>
      <c r="F47" s="37"/>
      <c r="G47" s="37"/>
      <c r="H47" s="37"/>
      <c r="I47" s="37"/>
      <c r="J47" s="38">
        <f t="shared" si="4"/>
        <v>11.5</v>
      </c>
    </row>
    <row r="48" spans="1:13" ht="15.75" thickBot="1" x14ac:dyDescent="0.3">
      <c r="A48" s="40"/>
      <c r="B48" s="21"/>
      <c r="C48" s="21"/>
      <c r="D48" s="37"/>
      <c r="E48" s="37"/>
      <c r="F48" s="37"/>
      <c r="G48" s="37"/>
      <c r="H48" s="37"/>
      <c r="I48" s="37"/>
      <c r="J48" s="38">
        <f t="shared" si="4"/>
        <v>0</v>
      </c>
    </row>
    <row r="49" spans="1:10" ht="15.75" thickBot="1" x14ac:dyDescent="0.3">
      <c r="A49" s="40"/>
      <c r="B49" s="21"/>
      <c r="C49" s="21"/>
      <c r="D49" s="37"/>
      <c r="E49" s="37"/>
      <c r="F49" s="37"/>
      <c r="G49" s="37"/>
      <c r="H49" s="37"/>
      <c r="I49" s="37"/>
      <c r="J49" s="38">
        <f t="shared" si="4"/>
        <v>0</v>
      </c>
    </row>
    <row r="50" spans="1:10" ht="15.75" thickBot="1" x14ac:dyDescent="0.3">
      <c r="A50" s="450"/>
      <c r="B50" s="21"/>
      <c r="C50" s="21"/>
      <c r="D50" s="37"/>
      <c r="E50" s="37"/>
      <c r="F50" s="37"/>
      <c r="G50" s="37"/>
      <c r="H50" s="37"/>
      <c r="I50" s="37"/>
      <c r="J50" s="38">
        <f t="shared" si="4"/>
        <v>0</v>
      </c>
    </row>
    <row r="51" spans="1:10" ht="15.75" thickBot="1" x14ac:dyDescent="0.3">
      <c r="A51" s="450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450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450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450"/>
      <c r="B54" s="21"/>
      <c r="C54" s="21"/>
      <c r="D54" s="37"/>
      <c r="E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56"/>
      <c r="B55" s="21"/>
      <c r="C55" s="21"/>
      <c r="D55" s="37"/>
      <c r="E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37"/>
      <c r="F56" s="37"/>
      <c r="G56" s="37"/>
      <c r="H56" s="37"/>
      <c r="I56" s="37"/>
      <c r="J56" s="38">
        <f t="shared" si="4"/>
        <v>0</v>
      </c>
    </row>
    <row r="57" spans="1:10" ht="15.75" thickBot="1" x14ac:dyDescent="0.3">
      <c r="A57" s="40"/>
      <c r="B57" s="21"/>
      <c r="C57" s="21"/>
      <c r="D57" s="37"/>
      <c r="E57" s="37"/>
      <c r="F57" s="37"/>
      <c r="G57" s="37"/>
      <c r="H57" s="37"/>
      <c r="I57" s="37"/>
      <c r="J57" s="38">
        <f t="shared" si="4"/>
        <v>0</v>
      </c>
    </row>
    <row r="58" spans="1:10" ht="15.75" thickBot="1" x14ac:dyDescent="0.3">
      <c r="A58" s="40"/>
      <c r="B58" s="21"/>
      <c r="C58" s="21"/>
      <c r="D58" s="57"/>
      <c r="E58" s="57"/>
      <c r="F58" s="57"/>
      <c r="G58" s="57"/>
      <c r="H58" s="57"/>
      <c r="I58" s="57"/>
      <c r="J58" s="38">
        <f t="shared" si="4"/>
        <v>0</v>
      </c>
    </row>
    <row r="59" spans="1:10" ht="19.5" thickBot="1" x14ac:dyDescent="0.35">
      <c r="A59" s="23" t="s">
        <v>9</v>
      </c>
      <c r="B59" s="4"/>
      <c r="C59" s="24"/>
      <c r="D59" s="25">
        <f t="shared" ref="D59:J59" si="5">SUM(D45:D58)</f>
        <v>32.199999999999996</v>
      </c>
      <c r="E59" s="25">
        <f t="shared" si="5"/>
        <v>16.7</v>
      </c>
      <c r="F59" s="25">
        <f t="shared" si="5"/>
        <v>0</v>
      </c>
      <c r="G59" s="25">
        <f t="shared" si="5"/>
        <v>0</v>
      </c>
      <c r="H59" s="25">
        <f t="shared" si="5"/>
        <v>10</v>
      </c>
      <c r="I59" s="25">
        <f t="shared" si="5"/>
        <v>0</v>
      </c>
      <c r="J59" s="25">
        <f t="shared" si="5"/>
        <v>58.9</v>
      </c>
    </row>
    <row r="60" spans="1:10" ht="15.75" x14ac:dyDescent="0.25">
      <c r="A60" s="58"/>
      <c r="B60" s="58"/>
      <c r="C60" s="59"/>
      <c r="D60" s="60"/>
      <c r="E60" s="60"/>
      <c r="F60" s="60"/>
      <c r="G60" s="60"/>
      <c r="H60" s="60"/>
      <c r="I60" s="60"/>
      <c r="J60" s="60"/>
    </row>
    <row r="61" spans="1:10" ht="16.5" thickBot="1" x14ac:dyDescent="0.3">
      <c r="A61" s="58"/>
      <c r="B61" s="58"/>
      <c r="C61" s="59"/>
      <c r="D61" s="60"/>
      <c r="E61" s="60"/>
      <c r="F61" s="60"/>
      <c r="G61" s="60"/>
      <c r="H61" s="60"/>
      <c r="I61" s="60"/>
      <c r="J61" s="60"/>
    </row>
    <row r="62" spans="1:10" ht="19.5" thickBot="1" x14ac:dyDescent="0.35">
      <c r="A62" s="554" t="s">
        <v>23</v>
      </c>
      <c r="B62" s="555"/>
      <c r="C62" s="61"/>
      <c r="D62" s="62"/>
      <c r="E62" s="62"/>
      <c r="F62" s="62"/>
      <c r="G62" s="62"/>
      <c r="H62" s="62"/>
      <c r="I62" s="62"/>
      <c r="J62" s="26">
        <f>+J22+J59</f>
        <v>393.29999999999995</v>
      </c>
    </row>
    <row r="63" spans="1:10" x14ac:dyDescent="0.25">
      <c r="A63" s="2"/>
      <c r="B63" s="2"/>
      <c r="C63" s="63"/>
      <c r="D63" s="3"/>
      <c r="E63" s="3"/>
      <c r="F63" s="3"/>
      <c r="G63" s="3"/>
      <c r="H63" s="3"/>
      <c r="I63" s="3"/>
      <c r="J63" s="3"/>
    </row>
    <row r="64" spans="1:10" x14ac:dyDescent="0.25">
      <c r="A64" s="2"/>
      <c r="B64" s="2"/>
      <c r="C64" s="63"/>
      <c r="D64" s="3"/>
      <c r="E64" s="3"/>
      <c r="F64" s="3"/>
      <c r="G64" s="3"/>
      <c r="H64" s="3"/>
      <c r="I64" s="3"/>
      <c r="J64" s="3"/>
    </row>
    <row r="65" spans="1:11" ht="16.5" thickBot="1" x14ac:dyDescent="0.3">
      <c r="A65" s="64" t="s">
        <v>24</v>
      </c>
      <c r="B65" s="2"/>
      <c r="C65" s="63"/>
      <c r="D65" s="3"/>
      <c r="E65" s="3"/>
      <c r="F65" s="3"/>
      <c r="G65" s="3"/>
      <c r="H65" s="3"/>
      <c r="I65" s="3"/>
      <c r="J65" s="3"/>
    </row>
    <row r="66" spans="1:11" ht="19.5" thickBot="1" x14ac:dyDescent="0.35">
      <c r="A66" s="65" t="s">
        <v>25</v>
      </c>
      <c r="B66" s="66"/>
      <c r="C66" s="67"/>
      <c r="D66" s="68"/>
      <c r="E66" s="68"/>
      <c r="F66" s="68"/>
      <c r="G66" s="68"/>
      <c r="H66" s="68"/>
      <c r="I66" s="68"/>
      <c r="J66" s="26">
        <v>1472</v>
      </c>
    </row>
    <row r="67" spans="1:11" ht="19.5" thickBot="1" x14ac:dyDescent="0.35">
      <c r="A67" s="65" t="s">
        <v>26</v>
      </c>
      <c r="B67" s="66"/>
      <c r="C67" s="69"/>
      <c r="D67" s="68"/>
      <c r="E67" s="68"/>
      <c r="F67" s="68"/>
      <c r="G67" s="68"/>
      <c r="H67" s="68"/>
      <c r="I67" s="68"/>
      <c r="J67" s="26">
        <v>1975</v>
      </c>
      <c r="K67" s="106"/>
    </row>
    <row r="68" spans="1:11" ht="18.75" x14ac:dyDescent="0.3">
      <c r="A68" s="70"/>
      <c r="B68" s="70"/>
      <c r="C68" s="71"/>
      <c r="D68" s="72"/>
      <c r="E68" s="72"/>
      <c r="F68" s="72"/>
      <c r="G68" s="72"/>
      <c r="H68" s="72"/>
      <c r="I68" s="72"/>
      <c r="J68" s="30"/>
    </row>
    <row r="69" spans="1:11" ht="18.75" x14ac:dyDescent="0.3">
      <c r="A69" s="70"/>
      <c r="B69" s="70"/>
      <c r="C69" s="71"/>
      <c r="D69" s="72"/>
      <c r="E69" s="72"/>
      <c r="F69" s="72"/>
      <c r="G69" s="72"/>
      <c r="H69" s="72"/>
      <c r="I69" s="72"/>
      <c r="J69" s="30"/>
      <c r="K69" s="106"/>
    </row>
    <row r="70" spans="1:11" ht="16.5" thickBot="1" x14ac:dyDescent="0.3">
      <c r="A70" s="73" t="s">
        <v>27</v>
      </c>
      <c r="B70" s="74"/>
      <c r="C70" s="63"/>
      <c r="D70" s="3"/>
      <c r="E70" s="3"/>
      <c r="F70" s="3"/>
      <c r="G70" s="3"/>
      <c r="H70" s="3"/>
      <c r="I70" s="3"/>
      <c r="J70" s="3"/>
    </row>
    <row r="71" spans="1:11" ht="19.5" thickBot="1" x14ac:dyDescent="0.35">
      <c r="A71" s="75" t="s">
        <v>28</v>
      </c>
      <c r="B71" s="76"/>
      <c r="C71" s="77"/>
      <c r="D71" s="78"/>
      <c r="E71" s="78"/>
      <c r="F71" s="78"/>
      <c r="G71" s="78"/>
      <c r="H71" s="78"/>
      <c r="I71" s="78"/>
      <c r="J71" s="79">
        <v>408.5</v>
      </c>
    </row>
    <row r="72" spans="1:11" x14ac:dyDescent="0.25">
      <c r="A72" s="80"/>
      <c r="B72" s="2"/>
      <c r="C72" s="63"/>
      <c r="D72" s="3"/>
      <c r="E72" s="3"/>
      <c r="F72" s="3"/>
      <c r="G72" s="3"/>
      <c r="H72" s="3"/>
      <c r="I72" s="3"/>
      <c r="J72" s="3"/>
    </row>
    <row r="73" spans="1:11" ht="16.5" thickBot="1" x14ac:dyDescent="0.3">
      <c r="A73" s="73"/>
      <c r="B73" s="74"/>
      <c r="C73" s="63"/>
      <c r="D73" s="3"/>
      <c r="E73" s="3"/>
      <c r="F73" s="3"/>
      <c r="G73" s="3"/>
      <c r="H73" s="3"/>
      <c r="I73" s="3"/>
      <c r="J73" s="3"/>
    </row>
    <row r="74" spans="1:11" ht="19.5" thickBot="1" x14ac:dyDescent="0.35">
      <c r="A74" s="75" t="s">
        <v>29</v>
      </c>
      <c r="B74" s="76"/>
      <c r="C74" s="81"/>
      <c r="D74" s="78"/>
      <c r="E74" s="78"/>
      <c r="F74" s="78"/>
      <c r="G74" s="78"/>
      <c r="H74" s="78"/>
      <c r="I74" s="78"/>
      <c r="J74" s="82"/>
    </row>
    <row r="75" spans="1:11" ht="15.75" thickBot="1" x14ac:dyDescent="0.3">
      <c r="A75" s="80"/>
      <c r="B75" s="2"/>
      <c r="C75" s="63"/>
      <c r="D75" s="3"/>
      <c r="E75" s="3"/>
      <c r="F75" s="3"/>
      <c r="G75" s="3"/>
      <c r="H75" s="3"/>
      <c r="I75" s="3"/>
      <c r="J75" s="3"/>
    </row>
    <row r="76" spans="1:11" ht="21.75" thickBot="1" x14ac:dyDescent="0.4">
      <c r="A76" s="556" t="s">
        <v>30</v>
      </c>
      <c r="B76" s="557"/>
      <c r="C76" s="83"/>
      <c r="D76" s="84"/>
      <c r="E76" s="84"/>
      <c r="F76" s="84"/>
      <c r="G76" s="84"/>
      <c r="H76" s="84"/>
      <c r="I76" s="84"/>
      <c r="J76" s="85">
        <f>SUM(J62:J75)</f>
        <v>4248.8</v>
      </c>
    </row>
    <row r="77" spans="1:11" x14ac:dyDescent="0.25">
      <c r="A77" s="2"/>
      <c r="B77" s="2"/>
      <c r="C77" s="63"/>
      <c r="D77" s="3"/>
      <c r="E77" s="3"/>
      <c r="F77" s="3"/>
      <c r="G77" s="3"/>
      <c r="H77" s="3"/>
      <c r="I77" s="3"/>
      <c r="J77" s="3"/>
    </row>
    <row r="78" spans="1:11" ht="21" x14ac:dyDescent="0.35">
      <c r="A78" s="553" t="s">
        <v>668</v>
      </c>
      <c r="B78" s="553"/>
      <c r="C78" s="553"/>
      <c r="D78" s="553"/>
      <c r="E78" s="553"/>
      <c r="F78" s="553"/>
      <c r="G78" s="553"/>
      <c r="H78" s="553"/>
      <c r="I78" s="553"/>
      <c r="J78" s="553"/>
    </row>
    <row r="79" spans="1:11" ht="21.75" thickBot="1" x14ac:dyDescent="0.4">
      <c r="A79" s="447" t="s">
        <v>31</v>
      </c>
      <c r="B79" s="447"/>
      <c r="C79" s="447"/>
      <c r="D79" s="447"/>
      <c r="E79" s="447"/>
      <c r="F79" s="447"/>
      <c r="G79" s="447"/>
      <c r="H79" s="447"/>
      <c r="I79" s="447"/>
      <c r="J79" s="87"/>
    </row>
    <row r="80" spans="1:11" ht="15.75" thickBot="1" x14ac:dyDescent="0.3">
      <c r="A80" s="88" t="s">
        <v>32</v>
      </c>
      <c r="B80" s="89" t="s">
        <v>33</v>
      </c>
      <c r="C80" s="558" t="s">
        <v>2</v>
      </c>
      <c r="D80" s="559"/>
      <c r="E80" s="559"/>
      <c r="F80" s="559"/>
      <c r="G80" s="559"/>
      <c r="H80" s="559"/>
      <c r="I80" s="560"/>
      <c r="J80" s="90" t="s">
        <v>9</v>
      </c>
    </row>
    <row r="81" spans="1:10" ht="15.75" thickBot="1" x14ac:dyDescent="0.3">
      <c r="A81" s="91" t="s">
        <v>671</v>
      </c>
      <c r="B81" s="92" t="s">
        <v>672</v>
      </c>
      <c r="C81" s="550" t="s">
        <v>673</v>
      </c>
      <c r="D81" s="551"/>
      <c r="E81" s="551"/>
      <c r="F81" s="551"/>
      <c r="G81" s="551"/>
      <c r="H81" s="551"/>
      <c r="I81" s="551"/>
      <c r="J81" s="22">
        <v>400</v>
      </c>
    </row>
    <row r="82" spans="1:10" ht="15.75" thickBot="1" x14ac:dyDescent="0.3">
      <c r="A82" s="40" t="s">
        <v>681</v>
      </c>
      <c r="B82" s="92" t="s">
        <v>682</v>
      </c>
      <c r="C82" s="550" t="s">
        <v>683</v>
      </c>
      <c r="D82" s="551"/>
      <c r="E82" s="551"/>
      <c r="F82" s="551"/>
      <c r="G82" s="551"/>
      <c r="H82" s="552"/>
      <c r="I82" s="552"/>
      <c r="J82" s="22">
        <v>180</v>
      </c>
    </row>
    <row r="83" spans="1:10" ht="15.75" thickBot="1" x14ac:dyDescent="0.3">
      <c r="A83" s="40" t="s">
        <v>688</v>
      </c>
      <c r="B83" s="92" t="s">
        <v>689</v>
      </c>
      <c r="C83" s="561" t="s">
        <v>690</v>
      </c>
      <c r="D83" s="562"/>
      <c r="E83" s="562"/>
      <c r="F83" s="562"/>
      <c r="G83" s="562"/>
      <c r="H83" s="562"/>
      <c r="I83" s="562"/>
      <c r="J83" s="93">
        <v>578.20000000000005</v>
      </c>
    </row>
    <row r="84" spans="1:10" ht="30.75" thickBot="1" x14ac:dyDescent="0.3">
      <c r="A84" s="40" t="s">
        <v>691</v>
      </c>
      <c r="B84" s="92" t="s">
        <v>692</v>
      </c>
      <c r="C84" s="550" t="s">
        <v>693</v>
      </c>
      <c r="D84" s="551"/>
      <c r="E84" s="551"/>
      <c r="F84" s="551"/>
      <c r="G84" s="551"/>
      <c r="H84" s="552"/>
      <c r="I84" s="552"/>
      <c r="J84" s="22">
        <v>75</v>
      </c>
    </row>
    <row r="85" spans="1:10" ht="15.75" thickBot="1" x14ac:dyDescent="0.3">
      <c r="A85" s="40" t="s">
        <v>694</v>
      </c>
      <c r="B85" s="92" t="s">
        <v>695</v>
      </c>
      <c r="C85" s="550" t="s">
        <v>696</v>
      </c>
      <c r="D85" s="551"/>
      <c r="E85" s="551"/>
      <c r="F85" s="551"/>
      <c r="G85" s="551"/>
      <c r="H85" s="552"/>
      <c r="I85" s="552"/>
      <c r="J85" s="22">
        <v>5</v>
      </c>
    </row>
    <row r="86" spans="1:10" ht="15.75" thickBot="1" x14ac:dyDescent="0.3">
      <c r="A86" s="40" t="s">
        <v>121</v>
      </c>
      <c r="B86" s="92" t="s">
        <v>699</v>
      </c>
      <c r="C86" s="550" t="s">
        <v>700</v>
      </c>
      <c r="D86" s="551"/>
      <c r="E86" s="551"/>
      <c r="F86" s="551"/>
      <c r="G86" s="551"/>
      <c r="H86" s="552"/>
      <c r="I86" s="552"/>
      <c r="J86" s="22">
        <v>100</v>
      </c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22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22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5.75" thickBot="1" x14ac:dyDescent="0.3">
      <c r="A92" s="40"/>
      <c r="B92" s="92"/>
      <c r="C92" s="550"/>
      <c r="D92" s="551"/>
      <c r="E92" s="551"/>
      <c r="F92" s="551"/>
      <c r="G92" s="551"/>
      <c r="H92" s="552"/>
      <c r="I92" s="552"/>
      <c r="J92" s="37"/>
    </row>
    <row r="93" spans="1:10" ht="15.75" thickBot="1" x14ac:dyDescent="0.3">
      <c r="A93" s="40"/>
      <c r="B93" s="92"/>
      <c r="C93" s="550"/>
      <c r="D93" s="551"/>
      <c r="E93" s="551"/>
      <c r="F93" s="551"/>
      <c r="G93" s="551"/>
      <c r="H93" s="552"/>
      <c r="I93" s="552"/>
      <c r="J93" s="37"/>
    </row>
    <row r="94" spans="1:10" ht="19.5" thickBot="1" x14ac:dyDescent="0.35">
      <c r="A94" s="94" t="s">
        <v>34</v>
      </c>
      <c r="B94" s="554"/>
      <c r="C94" s="563"/>
      <c r="D94" s="563"/>
      <c r="E94" s="563"/>
      <c r="F94" s="563"/>
      <c r="G94" s="563"/>
      <c r="H94" s="563"/>
      <c r="I94" s="563"/>
      <c r="J94" s="95">
        <f>SUM(J81:J93)</f>
        <v>1338.2</v>
      </c>
    </row>
    <row r="95" spans="1:10" ht="18.75" x14ac:dyDescent="0.3">
      <c r="A95" s="27"/>
      <c r="B95" s="27"/>
      <c r="C95" s="96"/>
      <c r="D95" s="96"/>
      <c r="E95" s="96"/>
      <c r="F95" s="97"/>
      <c r="G95" s="96"/>
      <c r="H95" s="96"/>
      <c r="I95" s="96"/>
      <c r="J95" s="30"/>
    </row>
    <row r="96" spans="1:10" ht="18.75" x14ac:dyDescent="0.3">
      <c r="A96" s="27"/>
      <c r="B96" s="27"/>
      <c r="C96" s="96"/>
      <c r="D96" s="96"/>
      <c r="E96" s="96"/>
      <c r="F96" s="97"/>
      <c r="G96" s="96"/>
      <c r="H96" s="96"/>
      <c r="I96" s="96"/>
      <c r="J96" s="30"/>
    </row>
    <row r="97" spans="1:10" ht="18.75" x14ac:dyDescent="0.3">
      <c r="A97" s="58" t="s">
        <v>35</v>
      </c>
      <c r="B97" s="27"/>
      <c r="C97" s="2"/>
      <c r="D97" s="3"/>
      <c r="F97" s="3"/>
      <c r="J97" s="3"/>
    </row>
    <row r="98" spans="1:10" x14ac:dyDescent="0.25">
      <c r="A98" s="2" t="s">
        <v>36</v>
      </c>
      <c r="B98" s="63">
        <f>+J76</f>
        <v>4248.8</v>
      </c>
      <c r="C98" s="98"/>
      <c r="D98" s="3"/>
      <c r="F98" s="3"/>
      <c r="J98" s="3"/>
    </row>
    <row r="99" spans="1:10" ht="15.75" thickBot="1" x14ac:dyDescent="0.3">
      <c r="A99" s="2" t="s">
        <v>34</v>
      </c>
      <c r="B99" s="99">
        <f>+J94</f>
        <v>1338.2</v>
      </c>
      <c r="C99" s="100"/>
      <c r="D99" s="3"/>
      <c r="F99" s="3"/>
      <c r="G99" s="101"/>
      <c r="H99" s="101"/>
      <c r="I99" s="102"/>
      <c r="J99" s="102"/>
    </row>
    <row r="100" spans="1:10" ht="17.25" thickTop="1" thickBot="1" x14ac:dyDescent="0.3">
      <c r="A100" s="58" t="s">
        <v>37</v>
      </c>
      <c r="B100" s="103">
        <f>++B98-B99</f>
        <v>2910.6000000000004</v>
      </c>
      <c r="C100" s="104"/>
      <c r="D100" s="105"/>
      <c r="E100" s="106"/>
      <c r="F100" s="105"/>
      <c r="G100" s="107"/>
      <c r="H100" s="107"/>
      <c r="I100" s="3"/>
    </row>
    <row r="101" spans="1:10" ht="15.75" thickTop="1" x14ac:dyDescent="0.25"/>
  </sheetData>
  <mergeCells count="23">
    <mergeCell ref="B94:I94"/>
    <mergeCell ref="B26:B28"/>
    <mergeCell ref="A26:A29"/>
    <mergeCell ref="B46:B47"/>
    <mergeCell ref="A46:A47"/>
    <mergeCell ref="C88:I88"/>
    <mergeCell ref="C89:I89"/>
    <mergeCell ref="C90:I90"/>
    <mergeCell ref="C91:I91"/>
    <mergeCell ref="C92:I92"/>
    <mergeCell ref="C93:I93"/>
    <mergeCell ref="C82:I82"/>
    <mergeCell ref="C83:I83"/>
    <mergeCell ref="C84:I84"/>
    <mergeCell ref="C85:I85"/>
    <mergeCell ref="C86:I86"/>
    <mergeCell ref="C87:I87"/>
    <mergeCell ref="A1:J1"/>
    <mergeCell ref="A62:B62"/>
    <mergeCell ref="A76:B76"/>
    <mergeCell ref="A78:J78"/>
    <mergeCell ref="C80:I80"/>
    <mergeCell ref="C81:I81"/>
  </mergeCells>
  <phoneticPr fontId="13" type="noConversion"/>
  <pageMargins left="0.17" right="0.17" top="1.51" bottom="0.17" header="0.17" footer="0.17"/>
  <pageSetup paperSize="9" scale="2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4C99-D682-4976-9989-F8D962E204DF}">
  <sheetPr>
    <pageSetUpPr fitToPage="1"/>
  </sheetPr>
  <dimension ref="A1:M99"/>
  <sheetViews>
    <sheetView topLeftCell="A13" workbookViewId="0">
      <selection activeCell="F23" sqref="F23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0" max="10" width="14" bestFit="1" customWidth="1"/>
  </cols>
  <sheetData>
    <row r="1" spans="1:10" ht="21" x14ac:dyDescent="0.35">
      <c r="A1" s="553" t="s">
        <v>702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10</v>
      </c>
      <c r="B4" s="6" t="s">
        <v>712</v>
      </c>
      <c r="C4" s="7">
        <v>46054</v>
      </c>
      <c r="D4" s="8"/>
      <c r="E4" s="8"/>
      <c r="F4" s="8"/>
      <c r="G4" s="8"/>
      <c r="H4" s="8"/>
      <c r="I4" s="8">
        <v>10</v>
      </c>
      <c r="J4" s="5">
        <f>SUM(D4:I4)</f>
        <v>10</v>
      </c>
    </row>
    <row r="5" spans="1:10" ht="30.75" thickBot="1" x14ac:dyDescent="0.3">
      <c r="A5" s="186" t="s">
        <v>704</v>
      </c>
      <c r="B5" s="6" t="s">
        <v>705</v>
      </c>
      <c r="C5" s="7">
        <v>46054</v>
      </c>
      <c r="D5" s="8"/>
      <c r="E5" s="8"/>
      <c r="F5" s="8"/>
      <c r="G5" s="8">
        <v>30</v>
      </c>
      <c r="H5" s="8"/>
      <c r="I5" s="8"/>
      <c r="J5" s="5">
        <f t="shared" ref="J5:J21" si="0">SUM(D5:I5)</f>
        <v>30</v>
      </c>
    </row>
    <row r="6" spans="1:10" ht="15.75" thickBot="1" x14ac:dyDescent="0.3">
      <c r="A6" s="6"/>
      <c r="B6" s="6"/>
      <c r="C6" s="7"/>
      <c r="D6" s="8"/>
      <c r="E6" s="8"/>
      <c r="F6" s="8"/>
      <c r="G6" s="8"/>
      <c r="H6" s="8"/>
      <c r="I6" s="8"/>
      <c r="J6" s="5">
        <f t="shared" si="0"/>
        <v>0</v>
      </c>
    </row>
    <row r="7" spans="1:10" ht="15.75" thickBot="1" x14ac:dyDescent="0.3">
      <c r="A7" s="6" t="s">
        <v>706</v>
      </c>
      <c r="B7" s="6" t="s">
        <v>707</v>
      </c>
      <c r="C7" s="7">
        <v>46054</v>
      </c>
      <c r="D7" s="8"/>
      <c r="E7" s="8"/>
      <c r="F7" s="8">
        <v>650</v>
      </c>
      <c r="G7" s="8"/>
      <c r="H7" s="8"/>
      <c r="I7" s="8"/>
      <c r="J7" s="5">
        <f t="shared" si="0"/>
        <v>650</v>
      </c>
    </row>
    <row r="8" spans="1:10" ht="15.75" thickBot="1" x14ac:dyDescent="0.3">
      <c r="A8" s="6"/>
      <c r="B8" s="6"/>
      <c r="C8" s="7"/>
      <c r="D8" s="8"/>
      <c r="E8" s="8"/>
      <c r="F8" s="8"/>
      <c r="G8" s="8"/>
      <c r="H8" s="8"/>
      <c r="I8" s="8"/>
      <c r="J8" s="5">
        <f t="shared" si="0"/>
        <v>0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460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591" t="s">
        <v>706</v>
      </c>
      <c r="B12" s="591" t="s">
        <v>708</v>
      </c>
      <c r="C12" s="7">
        <v>45992</v>
      </c>
      <c r="D12" s="8">
        <v>20.100000000000001</v>
      </c>
      <c r="E12" s="8">
        <v>5</v>
      </c>
      <c r="F12" s="8"/>
      <c r="G12" s="8"/>
      <c r="H12" s="8"/>
      <c r="I12" s="11"/>
      <c r="J12" s="12">
        <f t="shared" si="0"/>
        <v>25.1</v>
      </c>
    </row>
    <row r="13" spans="1:10" ht="15.75" thickBot="1" x14ac:dyDescent="0.3">
      <c r="A13" s="592"/>
      <c r="B13" s="592"/>
      <c r="C13" s="7">
        <v>46023</v>
      </c>
      <c r="D13" s="8">
        <v>19</v>
      </c>
      <c r="E13" s="8">
        <v>3</v>
      </c>
      <c r="F13" s="8"/>
      <c r="G13" s="8"/>
      <c r="H13" s="8"/>
      <c r="I13" s="8"/>
      <c r="J13" s="5">
        <f t="shared" si="0"/>
        <v>22</v>
      </c>
    </row>
    <row r="14" spans="1:10" ht="15.75" thickBot="1" x14ac:dyDescent="0.3">
      <c r="A14" s="13"/>
      <c r="B14" s="458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5"/>
      <c r="B15" s="13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456"/>
      <c r="B16" s="456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17"/>
      <c r="B17" s="456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456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8"/>
      <c r="B19" s="456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459"/>
      <c r="B20" s="459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456"/>
      <c r="B21" s="457"/>
      <c r="C21" s="21"/>
      <c r="D21" s="22"/>
      <c r="E21" s="22"/>
      <c r="F21" s="22"/>
      <c r="G21" s="22"/>
      <c r="H21" s="22"/>
      <c r="I21" s="22"/>
      <c r="J21" s="5">
        <f t="shared" si="0"/>
        <v>0</v>
      </c>
    </row>
    <row r="22" spans="1:13" ht="19.5" thickBot="1" x14ac:dyDescent="0.35">
      <c r="A22" s="23" t="s">
        <v>9</v>
      </c>
      <c r="B22" s="4"/>
      <c r="C22" s="24"/>
      <c r="D22" s="25">
        <f t="shared" ref="D22:J22" si="1">SUM(D4:D21)</f>
        <v>39.1</v>
      </c>
      <c r="E22" s="25">
        <f t="shared" si="1"/>
        <v>8</v>
      </c>
      <c r="F22" s="25">
        <f t="shared" si="1"/>
        <v>650</v>
      </c>
      <c r="G22" s="25">
        <f t="shared" si="1"/>
        <v>30</v>
      </c>
      <c r="H22" s="25">
        <f t="shared" si="1"/>
        <v>0</v>
      </c>
      <c r="I22" s="25">
        <f t="shared" si="1"/>
        <v>10</v>
      </c>
      <c r="J22" s="26">
        <f t="shared" si="1"/>
        <v>737.1</v>
      </c>
    </row>
    <row r="23" spans="1:13" ht="19.5" thickBot="1" x14ac:dyDescent="0.35">
      <c r="A23" s="27"/>
      <c r="B23" s="28"/>
      <c r="C23" s="29"/>
      <c r="D23" s="30"/>
      <c r="E23" s="30"/>
      <c r="F23" s="30"/>
      <c r="G23" s="30"/>
      <c r="H23" s="30"/>
      <c r="I23" s="30"/>
      <c r="J23" s="30"/>
    </row>
    <row r="24" spans="1:13" ht="24" thickBot="1" x14ac:dyDescent="0.4">
      <c r="A24" s="31" t="s">
        <v>12</v>
      </c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15.75" thickBot="1" x14ac:dyDescent="0.3">
      <c r="A25" s="32" t="s">
        <v>13</v>
      </c>
      <c r="B25" s="4" t="s">
        <v>1</v>
      </c>
      <c r="C25" s="33" t="s">
        <v>14</v>
      </c>
      <c r="D25" s="33" t="s">
        <v>3</v>
      </c>
      <c r="E25" s="33" t="s">
        <v>4</v>
      </c>
      <c r="F25" s="4" t="s">
        <v>5</v>
      </c>
      <c r="G25" s="4" t="s">
        <v>6</v>
      </c>
      <c r="H25" s="4" t="s">
        <v>15</v>
      </c>
      <c r="I25" s="4" t="s">
        <v>8</v>
      </c>
      <c r="J25" s="34" t="s">
        <v>9</v>
      </c>
    </row>
    <row r="26" spans="1:13" ht="15.75" thickBot="1" x14ac:dyDescent="0.3">
      <c r="A26" s="459"/>
      <c r="B26" s="21"/>
      <c r="C26" s="21"/>
      <c r="D26" s="35"/>
      <c r="E26" s="36"/>
      <c r="F26" s="35"/>
      <c r="G26" s="35"/>
      <c r="H26" s="37"/>
      <c r="I26" s="37"/>
      <c r="J26" s="38">
        <f>SUM(D26:I26)</f>
        <v>0</v>
      </c>
    </row>
    <row r="27" spans="1:13" ht="15.75" thickBot="1" x14ac:dyDescent="0.3">
      <c r="A27" s="459"/>
      <c r="B27" s="21"/>
      <c r="C27" s="21"/>
      <c r="D27" s="35"/>
      <c r="E27" s="35"/>
      <c r="F27" s="35"/>
      <c r="G27" s="35"/>
      <c r="H27" s="37"/>
      <c r="I27" s="37"/>
      <c r="J27" s="38">
        <f t="shared" ref="J27:J29" si="2">SUM(D27:I27)</f>
        <v>0</v>
      </c>
    </row>
    <row r="28" spans="1:13" ht="15.75" thickBot="1" x14ac:dyDescent="0.3">
      <c r="A28" s="459"/>
      <c r="B28" s="456"/>
      <c r="C28" s="7"/>
      <c r="D28" s="39"/>
      <c r="E28" s="39"/>
      <c r="F28" s="39"/>
      <c r="G28" s="39"/>
      <c r="H28" s="8"/>
      <c r="I28" s="8"/>
      <c r="J28" s="38">
        <f t="shared" si="2"/>
        <v>0</v>
      </c>
    </row>
    <row r="29" spans="1:13" ht="15.75" thickBot="1" x14ac:dyDescent="0.3">
      <c r="A29" s="4"/>
      <c r="B29" s="40"/>
      <c r="C29" s="7"/>
      <c r="D29" s="39"/>
      <c r="E29" s="39"/>
      <c r="F29" s="39"/>
      <c r="G29" s="39"/>
      <c r="H29" s="8"/>
      <c r="I29" s="8"/>
      <c r="J29" s="38">
        <f t="shared" si="2"/>
        <v>0</v>
      </c>
      <c r="L29" s="41" t="s">
        <v>16</v>
      </c>
      <c r="M29" s="42">
        <f>J30+J38</f>
        <v>90.9</v>
      </c>
    </row>
    <row r="30" spans="1:13" ht="15.75" thickBot="1" x14ac:dyDescent="0.3">
      <c r="A30" s="4" t="s">
        <v>9</v>
      </c>
      <c r="B30" s="43"/>
      <c r="C30" s="44"/>
      <c r="D30" s="45"/>
      <c r="E30" s="45"/>
      <c r="F30" s="45"/>
      <c r="G30" s="45"/>
      <c r="H30" s="45"/>
      <c r="I30" s="45"/>
      <c r="J30" s="12">
        <f>SUM(J26:J29)</f>
        <v>0</v>
      </c>
    </row>
    <row r="31" spans="1:13" ht="15.75" thickBot="1" x14ac:dyDescent="0.3">
      <c r="A31" s="28"/>
      <c r="B31" s="46"/>
      <c r="C31" s="47"/>
      <c r="D31" s="48"/>
      <c r="E31" s="48"/>
      <c r="F31" s="48"/>
      <c r="G31" s="48"/>
      <c r="H31" s="48"/>
      <c r="I31" s="48"/>
      <c r="J31" s="49"/>
    </row>
    <row r="32" spans="1:13" ht="24" thickBot="1" x14ac:dyDescent="0.4">
      <c r="A32" s="31" t="s">
        <v>12</v>
      </c>
      <c r="B32" s="28"/>
      <c r="C32" s="29"/>
      <c r="D32" s="30"/>
      <c r="E32" s="30"/>
      <c r="F32" s="30"/>
      <c r="G32" s="30"/>
      <c r="H32" s="30"/>
      <c r="I32" s="30"/>
      <c r="J32" s="30"/>
    </row>
    <row r="33" spans="1:13" ht="45.75" thickBot="1" x14ac:dyDescent="0.3">
      <c r="A33" s="50" t="s">
        <v>17</v>
      </c>
      <c r="B33" s="4" t="s">
        <v>18</v>
      </c>
      <c r="C33" s="33" t="s">
        <v>14</v>
      </c>
      <c r="D33" s="33" t="s">
        <v>3</v>
      </c>
      <c r="E33" s="33" t="s">
        <v>4</v>
      </c>
      <c r="F33" s="33" t="s">
        <v>19</v>
      </c>
      <c r="G33" s="33" t="s">
        <v>20</v>
      </c>
      <c r="H33" s="33" t="s">
        <v>15</v>
      </c>
      <c r="I33" s="51" t="s">
        <v>21</v>
      </c>
      <c r="J33" s="34" t="s">
        <v>9</v>
      </c>
    </row>
    <row r="34" spans="1:13" ht="15.75" thickBot="1" x14ac:dyDescent="0.3">
      <c r="A34" s="6" t="s">
        <v>713</v>
      </c>
      <c r="B34" s="17" t="s">
        <v>714</v>
      </c>
      <c r="C34" s="7">
        <v>46023</v>
      </c>
      <c r="D34" s="8">
        <v>42.3</v>
      </c>
      <c r="E34" s="8">
        <v>48.6</v>
      </c>
      <c r="F34" s="8"/>
      <c r="G34" s="8"/>
      <c r="H34" s="8"/>
      <c r="I34" s="8"/>
      <c r="J34" s="5">
        <f t="shared" ref="J34:J37" si="3">SUM(D34:I34)</f>
        <v>90.9</v>
      </c>
    </row>
    <row r="35" spans="1:13" ht="15.75" thickBot="1" x14ac:dyDescent="0.3">
      <c r="A35" s="13"/>
      <c r="B35" s="21"/>
      <c r="C35" s="7"/>
      <c r="D35" s="35"/>
      <c r="E35" s="35"/>
      <c r="F35" s="35"/>
      <c r="G35" s="35"/>
      <c r="H35" s="37"/>
      <c r="I35" s="37"/>
      <c r="J35" s="38">
        <f t="shared" si="3"/>
        <v>0</v>
      </c>
    </row>
    <row r="36" spans="1:13" ht="15.75" thickBot="1" x14ac:dyDescent="0.3">
      <c r="A36" s="459"/>
      <c r="B36" s="456"/>
      <c r="C36" s="7"/>
      <c r="D36" s="39"/>
      <c r="E36" s="39"/>
      <c r="F36" s="39"/>
      <c r="G36" s="39"/>
      <c r="H36" s="8"/>
      <c r="I36" s="8"/>
      <c r="J36" s="38">
        <f t="shared" si="3"/>
        <v>0</v>
      </c>
    </row>
    <row r="37" spans="1:13" ht="15.75" thickBot="1" x14ac:dyDescent="0.3">
      <c r="A37" s="4"/>
      <c r="B37" s="40"/>
      <c r="C37" s="7"/>
      <c r="D37" s="39"/>
      <c r="E37" s="39"/>
      <c r="F37" s="39"/>
      <c r="G37" s="39"/>
      <c r="H37" s="8"/>
      <c r="I37" s="8"/>
      <c r="J37" s="38">
        <f t="shared" si="3"/>
        <v>0</v>
      </c>
      <c r="L37" s="53"/>
      <c r="M37" s="54"/>
    </row>
    <row r="38" spans="1:13" ht="15.75" thickBot="1" x14ac:dyDescent="0.3">
      <c r="A38" s="4" t="s">
        <v>9</v>
      </c>
      <c r="B38" s="43"/>
      <c r="C38" s="44"/>
      <c r="D38" s="45"/>
      <c r="E38" s="45"/>
      <c r="F38" s="45"/>
      <c r="G38" s="45"/>
      <c r="H38" s="45"/>
      <c r="I38" s="45"/>
      <c r="J38" s="12">
        <f>SUM(J34:J37)</f>
        <v>90.9</v>
      </c>
    </row>
    <row r="39" spans="1:13" x14ac:dyDescent="0.25">
      <c r="A39" s="28"/>
      <c r="B39" s="46"/>
      <c r="C39" s="47"/>
      <c r="D39" s="48"/>
      <c r="E39" s="48"/>
      <c r="F39" s="48"/>
      <c r="G39" s="48"/>
      <c r="H39" s="48"/>
      <c r="I39" s="48"/>
      <c r="J39" s="49"/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ht="15.75" thickBot="1" x14ac:dyDescent="0.3">
      <c r="A41" s="2"/>
      <c r="B41" s="2"/>
      <c r="C41" s="2"/>
      <c r="J41" s="3"/>
    </row>
    <row r="42" spans="1:13" ht="45.75" thickBot="1" x14ac:dyDescent="0.3">
      <c r="A42" s="33" t="s">
        <v>22</v>
      </c>
      <c r="B42" s="4" t="s">
        <v>18</v>
      </c>
      <c r="C42" s="33" t="s">
        <v>14</v>
      </c>
      <c r="D42" s="33" t="s">
        <v>3</v>
      </c>
      <c r="E42" s="33" t="s">
        <v>4</v>
      </c>
      <c r="F42" s="33" t="s">
        <v>19</v>
      </c>
      <c r="G42" s="33" t="s">
        <v>20</v>
      </c>
      <c r="H42" s="4" t="s">
        <v>21</v>
      </c>
      <c r="I42" s="51" t="s">
        <v>711</v>
      </c>
      <c r="J42" s="34" t="s">
        <v>9</v>
      </c>
    </row>
    <row r="43" spans="1:13" ht="15.75" thickBot="1" x14ac:dyDescent="0.3">
      <c r="A43" s="564" t="s">
        <v>709</v>
      </c>
      <c r="B43" s="566" t="s">
        <v>710</v>
      </c>
      <c r="C43" s="21">
        <v>45992</v>
      </c>
      <c r="D43" s="37">
        <v>102.6</v>
      </c>
      <c r="E43" s="55">
        <v>6</v>
      </c>
      <c r="F43" s="37">
        <v>60</v>
      </c>
      <c r="G43" s="37">
        <v>5</v>
      </c>
      <c r="H43" s="37"/>
      <c r="I43" s="37"/>
      <c r="J43" s="38">
        <f>SUM(D43:I43)</f>
        <v>173.6</v>
      </c>
    </row>
    <row r="44" spans="1:13" ht="15.75" thickBot="1" x14ac:dyDescent="0.3">
      <c r="A44" s="565"/>
      <c r="B44" s="567"/>
      <c r="C44" s="21">
        <v>46023</v>
      </c>
      <c r="D44" s="37">
        <v>99.7</v>
      </c>
      <c r="E44" s="37">
        <v>5</v>
      </c>
      <c r="F44" s="37">
        <v>60</v>
      </c>
      <c r="G44" s="37">
        <v>5</v>
      </c>
      <c r="H44" s="37"/>
      <c r="I44" s="37">
        <v>28.3</v>
      </c>
      <c r="J44" s="38">
        <f t="shared" ref="J44:J56" si="4">SUM(D44:I44)</f>
        <v>198</v>
      </c>
    </row>
    <row r="45" spans="1:13" ht="15.75" thickBot="1" x14ac:dyDescent="0.3">
      <c r="A45" s="456"/>
      <c r="B45" s="21"/>
      <c r="C45" s="21"/>
      <c r="D45" s="37"/>
      <c r="E45" s="37"/>
      <c r="F45" s="37"/>
      <c r="G45" s="37"/>
      <c r="H45" s="37"/>
      <c r="I45" s="37"/>
      <c r="J45" s="38">
        <f t="shared" si="4"/>
        <v>0</v>
      </c>
    </row>
    <row r="46" spans="1:13" ht="15.75" thickBot="1" x14ac:dyDescent="0.3">
      <c r="A46" s="40"/>
      <c r="B46" s="21"/>
      <c r="C46" s="21"/>
      <c r="D46" s="37"/>
      <c r="E46" s="37"/>
      <c r="F46" s="37"/>
      <c r="G46" s="37"/>
      <c r="H46" s="37"/>
      <c r="I46" s="37"/>
      <c r="J46" s="38">
        <f t="shared" si="4"/>
        <v>0</v>
      </c>
    </row>
    <row r="47" spans="1:13" ht="15.75" thickBot="1" x14ac:dyDescent="0.3">
      <c r="A47" s="40"/>
      <c r="B47" s="21"/>
      <c r="C47" s="21"/>
      <c r="D47" s="37"/>
      <c r="E47" s="37"/>
      <c r="F47" s="37"/>
      <c r="G47" s="37"/>
      <c r="H47" s="37"/>
      <c r="I47" s="37"/>
      <c r="J47" s="38">
        <f t="shared" si="4"/>
        <v>0</v>
      </c>
    </row>
    <row r="48" spans="1:13" ht="15.75" thickBot="1" x14ac:dyDescent="0.3">
      <c r="A48" s="456"/>
      <c r="B48" s="21"/>
      <c r="C48" s="21"/>
      <c r="D48" s="37"/>
      <c r="E48" s="37"/>
      <c r="F48" s="37"/>
      <c r="G48" s="37"/>
      <c r="H48" s="37"/>
      <c r="I48" s="37"/>
      <c r="J48" s="38">
        <f t="shared" si="4"/>
        <v>0</v>
      </c>
    </row>
    <row r="49" spans="1:10" ht="15.75" thickBot="1" x14ac:dyDescent="0.3">
      <c r="A49" s="456"/>
      <c r="B49" s="21"/>
      <c r="C49" s="21"/>
      <c r="D49" s="37"/>
      <c r="E49" s="37"/>
      <c r="F49" s="37"/>
      <c r="G49" s="37"/>
      <c r="H49" s="37"/>
      <c r="I49" s="37"/>
      <c r="J49" s="38">
        <f t="shared" si="4"/>
        <v>0</v>
      </c>
    </row>
    <row r="50" spans="1:10" ht="15.75" thickBot="1" x14ac:dyDescent="0.3">
      <c r="A50" s="456"/>
      <c r="B50" s="21"/>
      <c r="C50" s="21"/>
      <c r="D50" s="37"/>
      <c r="E50" s="37"/>
      <c r="F50" s="37"/>
      <c r="G50" s="37"/>
      <c r="H50" s="37"/>
      <c r="I50" s="37"/>
      <c r="J50" s="38">
        <f t="shared" si="4"/>
        <v>0</v>
      </c>
    </row>
    <row r="51" spans="1:10" ht="15.75" thickBot="1" x14ac:dyDescent="0.3">
      <c r="A51" s="456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456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56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40"/>
      <c r="B54" s="21"/>
      <c r="C54" s="21"/>
      <c r="D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E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57"/>
      <c r="E56" s="57"/>
      <c r="F56" s="57"/>
      <c r="G56" s="57"/>
      <c r="H56" s="57"/>
      <c r="I56" s="57"/>
      <c r="J56" s="38">
        <f t="shared" si="4"/>
        <v>0</v>
      </c>
    </row>
    <row r="57" spans="1:10" ht="19.5" thickBot="1" x14ac:dyDescent="0.35">
      <c r="A57" s="23" t="s">
        <v>9</v>
      </c>
      <c r="B57" s="4"/>
      <c r="C57" s="24"/>
      <c r="D57" s="25">
        <f t="shared" ref="D57:J57" si="5">SUM(D43:D56)</f>
        <v>202.3</v>
      </c>
      <c r="E57" s="25">
        <f t="shared" si="5"/>
        <v>11</v>
      </c>
      <c r="F57" s="25">
        <f t="shared" si="5"/>
        <v>120</v>
      </c>
      <c r="G57" s="25">
        <f t="shared" si="5"/>
        <v>10</v>
      </c>
      <c r="H57" s="25">
        <f t="shared" si="5"/>
        <v>0</v>
      </c>
      <c r="I57" s="25">
        <f t="shared" si="5"/>
        <v>28.3</v>
      </c>
      <c r="J57" s="25">
        <f t="shared" si="5"/>
        <v>371.6</v>
      </c>
    </row>
    <row r="58" spans="1:10" ht="15.75" x14ac:dyDescent="0.25">
      <c r="A58" s="58"/>
      <c r="B58" s="58"/>
      <c r="C58" s="59"/>
      <c r="D58" s="60"/>
      <c r="E58" s="60"/>
      <c r="F58" s="60"/>
      <c r="G58" s="60"/>
      <c r="H58" s="60"/>
      <c r="I58" s="60"/>
      <c r="J58" s="60"/>
    </row>
    <row r="59" spans="1:10" ht="16.5" thickBot="1" x14ac:dyDescent="0.3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9.5" thickBot="1" x14ac:dyDescent="0.35">
      <c r="A60" s="554" t="s">
        <v>23</v>
      </c>
      <c r="B60" s="555"/>
      <c r="C60" s="61"/>
      <c r="D60" s="62"/>
      <c r="E60" s="62"/>
      <c r="F60" s="62"/>
      <c r="G60" s="62"/>
      <c r="H60" s="62"/>
      <c r="I60" s="62"/>
      <c r="J60" s="26">
        <f>+J22+J57</f>
        <v>1108.7</v>
      </c>
    </row>
    <row r="61" spans="1:10" x14ac:dyDescent="0.25">
      <c r="A61" s="2"/>
      <c r="B61" s="2"/>
      <c r="C61" s="63"/>
      <c r="D61" s="3"/>
      <c r="E61" s="3"/>
      <c r="F61" s="3"/>
      <c r="G61" s="3"/>
      <c r="H61" s="3"/>
      <c r="I61" s="3"/>
      <c r="J61" s="3"/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ht="16.5" thickBot="1" x14ac:dyDescent="0.3">
      <c r="A63" s="64" t="s">
        <v>24</v>
      </c>
      <c r="B63" s="2"/>
      <c r="C63" s="63"/>
      <c r="D63" s="3"/>
      <c r="E63" s="3"/>
      <c r="F63" s="3"/>
      <c r="G63" s="3"/>
      <c r="H63" s="3"/>
      <c r="I63" s="3"/>
      <c r="J63" s="3"/>
    </row>
    <row r="64" spans="1:10" ht="19.5" thickBot="1" x14ac:dyDescent="0.35">
      <c r="A64" s="65" t="s">
        <v>25</v>
      </c>
      <c r="B64" s="66"/>
      <c r="C64" s="67"/>
      <c r="D64" s="68"/>
      <c r="E64" s="68"/>
      <c r="F64" s="68"/>
      <c r="G64" s="68"/>
      <c r="H64" s="68"/>
      <c r="I64" s="68"/>
      <c r="J64" s="26"/>
    </row>
    <row r="65" spans="1:10" ht="19.5" thickBot="1" x14ac:dyDescent="0.35">
      <c r="A65" s="65" t="s">
        <v>26</v>
      </c>
      <c r="B65" s="66"/>
      <c r="C65" s="69"/>
      <c r="D65" s="68"/>
      <c r="E65" s="68"/>
      <c r="F65" s="68"/>
      <c r="G65" s="68"/>
      <c r="H65" s="68"/>
      <c r="I65" s="68"/>
      <c r="J65" s="26"/>
    </row>
    <row r="66" spans="1:10" ht="18.75" x14ac:dyDescent="0.3">
      <c r="A66" s="70"/>
      <c r="B66" s="70"/>
      <c r="C66" s="71"/>
      <c r="D66" s="72"/>
      <c r="E66" s="72"/>
      <c r="F66" s="72"/>
      <c r="G66" s="72"/>
      <c r="H66" s="72"/>
      <c r="I66" s="72"/>
      <c r="J66" s="30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6.5" thickBot="1" x14ac:dyDescent="0.3">
      <c r="A68" s="73" t="s">
        <v>27</v>
      </c>
      <c r="B68" s="74"/>
      <c r="C68" s="63"/>
      <c r="D68" s="3"/>
      <c r="E68" s="3"/>
      <c r="F68" s="3"/>
      <c r="G68" s="3"/>
      <c r="H68" s="3"/>
      <c r="I68" s="3"/>
      <c r="J68" s="3"/>
    </row>
    <row r="69" spans="1:10" ht="19.5" thickBot="1" x14ac:dyDescent="0.35">
      <c r="A69" s="75" t="s">
        <v>28</v>
      </c>
      <c r="B69" s="76"/>
      <c r="C69" s="77"/>
      <c r="D69" s="78"/>
      <c r="E69" s="78"/>
      <c r="F69" s="78"/>
      <c r="G69" s="78"/>
      <c r="H69" s="78"/>
      <c r="I69" s="78"/>
      <c r="J69" s="79">
        <v>728.5</v>
      </c>
    </row>
    <row r="70" spans="1:10" x14ac:dyDescent="0.25">
      <c r="A70" s="80"/>
      <c r="B70" s="2"/>
      <c r="C70" s="63"/>
      <c r="D70" s="3"/>
      <c r="E70" s="3"/>
      <c r="F70" s="3"/>
      <c r="G70" s="3"/>
      <c r="H70" s="3"/>
      <c r="I70" s="3"/>
      <c r="J70" s="3"/>
    </row>
    <row r="71" spans="1:10" ht="16.5" thickBot="1" x14ac:dyDescent="0.3">
      <c r="A71" s="73"/>
      <c r="B71" s="74"/>
      <c r="C71" s="63"/>
      <c r="D71" s="3"/>
      <c r="E71" s="3"/>
      <c r="F71" s="3"/>
      <c r="G71" s="3"/>
      <c r="H71" s="3"/>
      <c r="I71" s="3"/>
      <c r="J71" s="3"/>
    </row>
    <row r="72" spans="1:10" ht="19.5" thickBot="1" x14ac:dyDescent="0.35">
      <c r="A72" s="75" t="s">
        <v>29</v>
      </c>
      <c r="B72" s="76"/>
      <c r="C72" s="81"/>
      <c r="D72" s="78"/>
      <c r="E72" s="78"/>
      <c r="F72" s="78"/>
      <c r="G72" s="78"/>
      <c r="H72" s="78"/>
      <c r="I72" s="78"/>
      <c r="J72" s="82"/>
    </row>
    <row r="73" spans="1:10" ht="15.75" thickBot="1" x14ac:dyDescent="0.3">
      <c r="A73" s="80"/>
      <c r="B73" s="2"/>
      <c r="C73" s="63"/>
      <c r="D73" s="3"/>
      <c r="E73" s="3"/>
      <c r="F73" s="3"/>
      <c r="G73" s="3"/>
      <c r="H73" s="3"/>
      <c r="I73" s="3"/>
      <c r="J73" s="3"/>
    </row>
    <row r="74" spans="1:10" ht="21.75" thickBot="1" x14ac:dyDescent="0.4">
      <c r="A74" s="556" t="s">
        <v>30</v>
      </c>
      <c r="B74" s="557"/>
      <c r="C74" s="83"/>
      <c r="D74" s="84"/>
      <c r="E74" s="84"/>
      <c r="F74" s="84"/>
      <c r="G74" s="84"/>
      <c r="H74" s="84"/>
      <c r="I74" s="84"/>
      <c r="J74" s="85">
        <f>SUM(J60:J73)</f>
        <v>1837.2</v>
      </c>
    </row>
    <row r="75" spans="1:10" x14ac:dyDescent="0.25">
      <c r="A75" s="2"/>
      <c r="B75" s="2"/>
      <c r="C75" s="63"/>
      <c r="D75" s="3"/>
      <c r="E75" s="3"/>
      <c r="F75" s="3"/>
      <c r="G75" s="3"/>
      <c r="H75" s="3"/>
      <c r="I75" s="3"/>
      <c r="J75" s="3"/>
    </row>
    <row r="76" spans="1:10" ht="21" x14ac:dyDescent="0.35">
      <c r="A76" s="553" t="s">
        <v>703</v>
      </c>
      <c r="B76" s="553"/>
      <c r="C76" s="553"/>
      <c r="D76" s="553"/>
      <c r="E76" s="553"/>
      <c r="F76" s="553"/>
      <c r="G76" s="553"/>
      <c r="H76" s="553"/>
      <c r="I76" s="553"/>
      <c r="J76" s="553"/>
    </row>
    <row r="77" spans="1:10" ht="21.75" thickBot="1" x14ac:dyDescent="0.4">
      <c r="A77" s="455" t="s">
        <v>31</v>
      </c>
      <c r="B77" s="455"/>
      <c r="C77" s="455"/>
      <c r="D77" s="455"/>
      <c r="E77" s="455"/>
      <c r="F77" s="455"/>
      <c r="G77" s="455"/>
      <c r="H77" s="455"/>
      <c r="I77" s="455"/>
      <c r="J77" s="87"/>
    </row>
    <row r="78" spans="1:10" ht="15.75" thickBot="1" x14ac:dyDescent="0.3">
      <c r="A78" s="88" t="s">
        <v>32</v>
      </c>
      <c r="B78" s="89" t="s">
        <v>33</v>
      </c>
      <c r="C78" s="558" t="s">
        <v>2</v>
      </c>
      <c r="D78" s="559"/>
      <c r="E78" s="559"/>
      <c r="F78" s="559"/>
      <c r="G78" s="559"/>
      <c r="H78" s="559"/>
      <c r="I78" s="560"/>
      <c r="J78" s="90" t="s">
        <v>9</v>
      </c>
    </row>
    <row r="79" spans="1:10" ht="15.75" thickBot="1" x14ac:dyDescent="0.3">
      <c r="A79" s="91"/>
      <c r="B79" s="92"/>
      <c r="C79" s="550"/>
      <c r="D79" s="551"/>
      <c r="E79" s="551"/>
      <c r="F79" s="551"/>
      <c r="G79" s="551"/>
      <c r="H79" s="551"/>
      <c r="I79" s="551"/>
      <c r="J79" s="22"/>
    </row>
    <row r="80" spans="1:10" ht="15.75" thickBot="1" x14ac:dyDescent="0.3">
      <c r="A80" s="40"/>
      <c r="B80" s="92"/>
      <c r="C80" s="550"/>
      <c r="D80" s="551"/>
      <c r="E80" s="551"/>
      <c r="F80" s="551"/>
      <c r="G80" s="551"/>
      <c r="H80" s="552"/>
      <c r="I80" s="552"/>
      <c r="J80" s="22"/>
    </row>
    <row r="81" spans="1:10" ht="15.75" thickBot="1" x14ac:dyDescent="0.3">
      <c r="A81" s="40"/>
      <c r="B81" s="92"/>
      <c r="C81" s="561"/>
      <c r="D81" s="562"/>
      <c r="E81" s="562"/>
      <c r="F81" s="562"/>
      <c r="G81" s="562"/>
      <c r="H81" s="562"/>
      <c r="I81" s="562"/>
      <c r="J81" s="93"/>
    </row>
    <row r="82" spans="1:10" ht="15.75" thickBot="1" x14ac:dyDescent="0.3">
      <c r="A82" s="40"/>
      <c r="B82" s="92"/>
      <c r="C82" s="550"/>
      <c r="D82" s="551"/>
      <c r="E82" s="551"/>
      <c r="F82" s="551"/>
      <c r="G82" s="551"/>
      <c r="H82" s="552"/>
      <c r="I82" s="552"/>
      <c r="J82" s="22"/>
    </row>
    <row r="83" spans="1:10" ht="15.75" thickBot="1" x14ac:dyDescent="0.3">
      <c r="A83" s="40"/>
      <c r="B83" s="92"/>
      <c r="C83" s="550"/>
      <c r="D83" s="551"/>
      <c r="E83" s="551"/>
      <c r="F83" s="551"/>
      <c r="G83" s="551"/>
      <c r="H83" s="552"/>
      <c r="I83" s="552"/>
      <c r="J83" s="22"/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22"/>
    </row>
    <row r="85" spans="1:10" ht="15.75" thickBot="1" x14ac:dyDescent="0.3">
      <c r="A85" s="40"/>
      <c r="B85" s="92"/>
      <c r="C85" s="550"/>
      <c r="D85" s="551"/>
      <c r="E85" s="551"/>
      <c r="F85" s="551"/>
      <c r="G85" s="551"/>
      <c r="H85" s="552"/>
      <c r="I85" s="552"/>
      <c r="J85" s="22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22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37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9.5" thickBot="1" x14ac:dyDescent="0.35">
      <c r="A92" s="94" t="s">
        <v>34</v>
      </c>
      <c r="B92" s="554"/>
      <c r="C92" s="563"/>
      <c r="D92" s="563"/>
      <c r="E92" s="563"/>
      <c r="F92" s="563"/>
      <c r="G92" s="563"/>
      <c r="H92" s="563"/>
      <c r="I92" s="563"/>
      <c r="J92" s="95">
        <f>SUM(J79:J91)</f>
        <v>0</v>
      </c>
    </row>
    <row r="93" spans="1:10" ht="18.75" x14ac:dyDescent="0.3">
      <c r="A93" s="27"/>
      <c r="B93" s="27"/>
      <c r="C93" s="96"/>
      <c r="D93" s="96"/>
      <c r="E93" s="96"/>
      <c r="F93" s="97"/>
      <c r="G93" s="96"/>
      <c r="H93" s="96"/>
      <c r="I93" s="96"/>
      <c r="J93" s="30"/>
    </row>
    <row r="94" spans="1:10" ht="18.75" x14ac:dyDescent="0.3">
      <c r="A94" s="27"/>
      <c r="B94" s="27"/>
      <c r="C94" s="96"/>
      <c r="D94" s="96"/>
      <c r="E94" s="96"/>
      <c r="F94" s="97"/>
      <c r="G94" s="96"/>
      <c r="H94" s="96"/>
      <c r="I94" s="96"/>
      <c r="J94" s="30"/>
    </row>
    <row r="95" spans="1:10" ht="18.75" x14ac:dyDescent="0.3">
      <c r="A95" s="58" t="s">
        <v>35</v>
      </c>
      <c r="B95" s="27"/>
      <c r="C95" s="2"/>
      <c r="D95" s="3"/>
      <c r="F95" s="3"/>
      <c r="J95" s="3"/>
    </row>
    <row r="96" spans="1:10" x14ac:dyDescent="0.25">
      <c r="A96" s="2" t="s">
        <v>36</v>
      </c>
      <c r="B96" s="63">
        <f>+J74</f>
        <v>1837.2</v>
      </c>
      <c r="C96" s="98"/>
      <c r="D96" s="3"/>
      <c r="F96" s="3"/>
      <c r="J96" s="3"/>
    </row>
    <row r="97" spans="1:10" ht="15.75" thickBot="1" x14ac:dyDescent="0.3">
      <c r="A97" s="2" t="s">
        <v>34</v>
      </c>
      <c r="B97" s="99">
        <f>+J92</f>
        <v>0</v>
      </c>
      <c r="C97" s="100"/>
      <c r="D97" s="3"/>
      <c r="F97" s="3"/>
      <c r="G97" s="101"/>
      <c r="H97" s="101"/>
      <c r="I97" s="102"/>
      <c r="J97" s="102"/>
    </row>
    <row r="98" spans="1:10" ht="17.25" thickTop="1" thickBot="1" x14ac:dyDescent="0.3">
      <c r="A98" s="58" t="s">
        <v>37</v>
      </c>
      <c r="B98" s="103">
        <f>++B96-B97</f>
        <v>1837.2</v>
      </c>
      <c r="C98" s="104"/>
      <c r="D98" s="105"/>
      <c r="E98" s="106"/>
      <c r="F98" s="105"/>
      <c r="G98" s="107"/>
      <c r="H98" s="107"/>
      <c r="I98" s="3"/>
    </row>
    <row r="99" spans="1:10" ht="15.75" thickTop="1" x14ac:dyDescent="0.25"/>
  </sheetData>
  <mergeCells count="23">
    <mergeCell ref="C85:I85"/>
    <mergeCell ref="A1:J1"/>
    <mergeCell ref="A60:B60"/>
    <mergeCell ref="A74:B74"/>
    <mergeCell ref="A76:J76"/>
    <mergeCell ref="C78:I78"/>
    <mergeCell ref="C79:I79"/>
    <mergeCell ref="B92:I92"/>
    <mergeCell ref="B12:B13"/>
    <mergeCell ref="A12:A13"/>
    <mergeCell ref="A43:A44"/>
    <mergeCell ref="B43:B44"/>
    <mergeCell ref="C86:I86"/>
    <mergeCell ref="C87:I87"/>
    <mergeCell ref="C88:I88"/>
    <mergeCell ref="C89:I89"/>
    <mergeCell ref="C90:I90"/>
    <mergeCell ref="C91:I91"/>
    <mergeCell ref="C80:I80"/>
    <mergeCell ref="C81:I81"/>
    <mergeCell ref="C82:I82"/>
    <mergeCell ref="C83:I83"/>
    <mergeCell ref="C84:I84"/>
  </mergeCells>
  <pageMargins left="0.17" right="0.17" top="0.17" bottom="0.17" header="0.17" footer="0.17"/>
  <pageSetup paperSize="9" scale="49" fitToWidth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2F44-1071-4099-8C6B-65803455D75E}">
  <sheetPr>
    <pageSetUpPr fitToPage="1"/>
  </sheetPr>
  <dimension ref="A1:M99"/>
  <sheetViews>
    <sheetView topLeftCell="A31" workbookViewId="0">
      <selection sqref="A1:M98"/>
    </sheetView>
  </sheetViews>
  <sheetFormatPr baseColWidth="10" defaultRowHeight="15" x14ac:dyDescent="0.25"/>
  <cols>
    <col min="1" max="1" width="32.140625" bestFit="1" customWidth="1"/>
    <col min="2" max="2" width="15.42578125" bestFit="1" customWidth="1"/>
  </cols>
  <sheetData>
    <row r="1" spans="1:10" ht="21" x14ac:dyDescent="0.35">
      <c r="A1" s="553" t="s">
        <v>715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/>
      <c r="B4" s="6"/>
      <c r="C4" s="7"/>
      <c r="D4" s="8"/>
      <c r="E4" s="8"/>
      <c r="F4" s="8"/>
      <c r="G4" s="8"/>
      <c r="H4" s="8"/>
      <c r="I4" s="8"/>
      <c r="J4" s="5">
        <f>SUM(D4:I4)</f>
        <v>0</v>
      </c>
    </row>
    <row r="5" spans="1:10" ht="15.75" thickBot="1" x14ac:dyDescent="0.3">
      <c r="A5" s="6"/>
      <c r="B5" s="6"/>
      <c r="C5" s="7"/>
      <c r="D5" s="8"/>
      <c r="E5" s="8"/>
      <c r="F5" s="8"/>
      <c r="G5" s="8"/>
      <c r="H5" s="8"/>
      <c r="I5" s="8"/>
      <c r="J5" s="5">
        <f t="shared" ref="J5:J21" si="0">SUM(D5:I5)</f>
        <v>0</v>
      </c>
    </row>
    <row r="6" spans="1:10" ht="15.75" thickBot="1" x14ac:dyDescent="0.3">
      <c r="A6" s="6"/>
      <c r="B6" s="6"/>
      <c r="C6" s="7"/>
      <c r="D6" s="8"/>
      <c r="E6" s="8"/>
      <c r="F6" s="8"/>
      <c r="G6" s="8"/>
      <c r="H6" s="8"/>
      <c r="I6" s="8"/>
      <c r="J6" s="5">
        <f t="shared" si="0"/>
        <v>0</v>
      </c>
    </row>
    <row r="7" spans="1:10" ht="15.75" thickBot="1" x14ac:dyDescent="0.3">
      <c r="A7" s="6"/>
      <c r="B7" s="6"/>
      <c r="C7" s="7"/>
      <c r="D7" s="8"/>
      <c r="E7" s="8"/>
      <c r="F7" s="8"/>
      <c r="G7" s="8"/>
      <c r="H7" s="8"/>
      <c r="I7" s="8"/>
      <c r="J7" s="5">
        <f t="shared" si="0"/>
        <v>0</v>
      </c>
    </row>
    <row r="8" spans="1:10" ht="15.75" thickBot="1" x14ac:dyDescent="0.3">
      <c r="A8" s="6"/>
      <c r="B8" s="6"/>
      <c r="C8" s="7"/>
      <c r="D8" s="8"/>
      <c r="E8" s="8"/>
      <c r="F8" s="8"/>
      <c r="G8" s="8"/>
      <c r="H8" s="8"/>
      <c r="I8" s="8"/>
      <c r="J8" s="5">
        <f t="shared" si="0"/>
        <v>0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473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473"/>
      <c r="B12" s="469"/>
      <c r="C12" s="7"/>
      <c r="D12" s="8"/>
      <c r="E12" s="8"/>
      <c r="F12" s="8"/>
      <c r="G12" s="8"/>
      <c r="H12" s="8"/>
      <c r="I12" s="11"/>
      <c r="J12" s="12">
        <f t="shared" si="0"/>
        <v>0</v>
      </c>
    </row>
    <row r="13" spans="1:10" ht="15.75" thickBot="1" x14ac:dyDescent="0.3">
      <c r="A13" s="6"/>
      <c r="B13" s="6"/>
      <c r="C13" s="7"/>
      <c r="D13" s="8"/>
      <c r="E13" s="8"/>
      <c r="F13" s="8"/>
      <c r="G13" s="8"/>
      <c r="H13" s="8"/>
      <c r="I13" s="8"/>
      <c r="J13" s="5">
        <f t="shared" si="0"/>
        <v>0</v>
      </c>
    </row>
    <row r="14" spans="1:10" ht="15.75" thickBot="1" x14ac:dyDescent="0.3">
      <c r="A14" s="13"/>
      <c r="B14" s="470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5"/>
      <c r="B15" s="13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465"/>
      <c r="B16" s="465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17"/>
      <c r="B17" s="465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465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8"/>
      <c r="B19" s="465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472"/>
      <c r="B20" s="472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465"/>
      <c r="B21" s="467"/>
      <c r="C21" s="21"/>
      <c r="D21" s="22"/>
      <c r="E21" s="22"/>
      <c r="F21" s="22"/>
      <c r="G21" s="22"/>
      <c r="H21" s="22"/>
      <c r="I21" s="22"/>
      <c r="J21" s="5">
        <f t="shared" si="0"/>
        <v>0</v>
      </c>
    </row>
    <row r="22" spans="1:13" ht="19.5" thickBot="1" x14ac:dyDescent="0.35">
      <c r="A22" s="23" t="s">
        <v>9</v>
      </c>
      <c r="B22" s="4"/>
      <c r="C22" s="24"/>
      <c r="D22" s="25">
        <f t="shared" ref="D22:J22" si="1">SUM(D4:D21)</f>
        <v>0</v>
      </c>
      <c r="E22" s="25">
        <f t="shared" si="1"/>
        <v>0</v>
      </c>
      <c r="F22" s="25">
        <f t="shared" si="1"/>
        <v>0</v>
      </c>
      <c r="G22" s="25">
        <f t="shared" si="1"/>
        <v>0</v>
      </c>
      <c r="H22" s="25">
        <f t="shared" si="1"/>
        <v>0</v>
      </c>
      <c r="I22" s="25">
        <f t="shared" si="1"/>
        <v>0</v>
      </c>
      <c r="J22" s="26">
        <f t="shared" si="1"/>
        <v>0</v>
      </c>
    </row>
    <row r="23" spans="1:13" ht="19.5" thickBot="1" x14ac:dyDescent="0.35">
      <c r="A23" s="27"/>
      <c r="B23" s="28"/>
      <c r="C23" s="29"/>
      <c r="D23" s="30"/>
      <c r="E23" s="30"/>
      <c r="F23" s="30"/>
      <c r="G23" s="30"/>
      <c r="H23" s="30"/>
      <c r="I23" s="30"/>
      <c r="J23" s="30"/>
    </row>
    <row r="24" spans="1:13" ht="24" thickBot="1" x14ac:dyDescent="0.4">
      <c r="A24" s="31" t="s">
        <v>12</v>
      </c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15.75" thickBot="1" x14ac:dyDescent="0.3">
      <c r="A25" s="32" t="s">
        <v>13</v>
      </c>
      <c r="B25" s="4" t="s">
        <v>1</v>
      </c>
      <c r="C25" s="33" t="s">
        <v>14</v>
      </c>
      <c r="D25" s="33" t="s">
        <v>3</v>
      </c>
      <c r="E25" s="33" t="s">
        <v>4</v>
      </c>
      <c r="F25" s="4" t="s">
        <v>5</v>
      </c>
      <c r="G25" s="4" t="s">
        <v>6</v>
      </c>
      <c r="H25" s="4" t="s">
        <v>15</v>
      </c>
      <c r="I25" s="4" t="s">
        <v>8</v>
      </c>
      <c r="J25" s="34" t="s">
        <v>9</v>
      </c>
    </row>
    <row r="26" spans="1:13" ht="15.75" thickBot="1" x14ac:dyDescent="0.3">
      <c r="A26" s="472"/>
      <c r="B26" s="21"/>
      <c r="C26" s="21"/>
      <c r="D26" s="35"/>
      <c r="E26" s="36"/>
      <c r="F26" s="35"/>
      <c r="G26" s="35"/>
      <c r="H26" s="37"/>
      <c r="I26" s="37"/>
      <c r="J26" s="38">
        <f>SUM(D26:I26)</f>
        <v>0</v>
      </c>
    </row>
    <row r="27" spans="1:13" ht="15.75" thickBot="1" x14ac:dyDescent="0.3">
      <c r="A27" s="472"/>
      <c r="B27" s="21"/>
      <c r="C27" s="21"/>
      <c r="D27" s="35"/>
      <c r="E27" s="35"/>
      <c r="F27" s="35"/>
      <c r="G27" s="35"/>
      <c r="H27" s="37"/>
      <c r="I27" s="37"/>
      <c r="J27" s="38">
        <f t="shared" ref="J27:J29" si="2">SUM(D27:I27)</f>
        <v>0</v>
      </c>
    </row>
    <row r="28" spans="1:13" ht="15.75" thickBot="1" x14ac:dyDescent="0.3">
      <c r="A28" s="472"/>
      <c r="B28" s="465"/>
      <c r="C28" s="7"/>
      <c r="D28" s="39"/>
      <c r="E28" s="39"/>
      <c r="F28" s="39"/>
      <c r="G28" s="39"/>
      <c r="H28" s="8"/>
      <c r="I28" s="8"/>
      <c r="J28" s="38">
        <f t="shared" si="2"/>
        <v>0</v>
      </c>
    </row>
    <row r="29" spans="1:13" ht="15.75" thickBot="1" x14ac:dyDescent="0.3">
      <c r="A29" s="4"/>
      <c r="B29" s="40"/>
      <c r="C29" s="7"/>
      <c r="D29" s="39"/>
      <c r="E29" s="39"/>
      <c r="F29" s="39"/>
      <c r="G29" s="39"/>
      <c r="H29" s="8"/>
      <c r="I29" s="8"/>
      <c r="J29" s="38">
        <f t="shared" si="2"/>
        <v>0</v>
      </c>
      <c r="L29" s="41" t="s">
        <v>16</v>
      </c>
      <c r="M29" s="42">
        <f>J30+J38</f>
        <v>0</v>
      </c>
    </row>
    <row r="30" spans="1:13" ht="15.75" thickBot="1" x14ac:dyDescent="0.3">
      <c r="A30" s="4" t="s">
        <v>9</v>
      </c>
      <c r="B30" s="43"/>
      <c r="C30" s="44"/>
      <c r="D30" s="45"/>
      <c r="E30" s="45"/>
      <c r="F30" s="45"/>
      <c r="G30" s="45"/>
      <c r="H30" s="45"/>
      <c r="I30" s="45"/>
      <c r="J30" s="12">
        <f>SUM(J26:J29)</f>
        <v>0</v>
      </c>
    </row>
    <row r="31" spans="1:13" ht="15.75" thickBot="1" x14ac:dyDescent="0.3">
      <c r="A31" s="28"/>
      <c r="B31" s="46"/>
      <c r="C31" s="47"/>
      <c r="D31" s="48"/>
      <c r="E31" s="48"/>
      <c r="F31" s="48"/>
      <c r="G31" s="48"/>
      <c r="H31" s="48"/>
      <c r="I31" s="48"/>
      <c r="J31" s="49"/>
    </row>
    <row r="32" spans="1:13" ht="24" thickBot="1" x14ac:dyDescent="0.4">
      <c r="A32" s="31" t="s">
        <v>12</v>
      </c>
      <c r="B32" s="28"/>
      <c r="C32" s="29"/>
      <c r="D32" s="30"/>
      <c r="E32" s="30"/>
      <c r="F32" s="30"/>
      <c r="G32" s="30"/>
      <c r="H32" s="30"/>
      <c r="I32" s="30"/>
      <c r="J32" s="30"/>
    </row>
    <row r="33" spans="1:13" ht="45.75" thickBot="1" x14ac:dyDescent="0.3">
      <c r="A33" s="50" t="s">
        <v>17</v>
      </c>
      <c r="B33" s="4" t="s">
        <v>18</v>
      </c>
      <c r="C33" s="33" t="s">
        <v>14</v>
      </c>
      <c r="D33" s="33" t="s">
        <v>3</v>
      </c>
      <c r="E33" s="33" t="s">
        <v>4</v>
      </c>
      <c r="F33" s="33" t="s">
        <v>19</v>
      </c>
      <c r="G33" s="33" t="s">
        <v>20</v>
      </c>
      <c r="H33" s="33" t="s">
        <v>15</v>
      </c>
      <c r="I33" s="51" t="s">
        <v>21</v>
      </c>
      <c r="J33" s="34" t="s">
        <v>9</v>
      </c>
    </row>
    <row r="34" spans="1:13" ht="15.75" thickBot="1" x14ac:dyDescent="0.3">
      <c r="A34" s="52"/>
      <c r="B34" s="17"/>
      <c r="C34" s="7"/>
      <c r="D34" s="8"/>
      <c r="E34" s="8"/>
      <c r="F34" s="8"/>
      <c r="G34" s="8"/>
      <c r="H34" s="8"/>
      <c r="I34" s="8"/>
      <c r="J34" s="5">
        <f t="shared" ref="J34:J37" si="3">SUM(D34:I34)</f>
        <v>0</v>
      </c>
    </row>
    <row r="35" spans="1:13" ht="15.75" thickBot="1" x14ac:dyDescent="0.3">
      <c r="A35" s="13"/>
      <c r="B35" s="21"/>
      <c r="C35" s="7"/>
      <c r="D35" s="35"/>
      <c r="E35" s="35"/>
      <c r="F35" s="35"/>
      <c r="G35" s="35"/>
      <c r="H35" s="37"/>
      <c r="I35" s="37"/>
      <c r="J35" s="38">
        <f t="shared" si="3"/>
        <v>0</v>
      </c>
    </row>
    <row r="36" spans="1:13" ht="15.75" thickBot="1" x14ac:dyDescent="0.3">
      <c r="A36" s="472"/>
      <c r="B36" s="465"/>
      <c r="C36" s="7"/>
      <c r="D36" s="39"/>
      <c r="E36" s="39"/>
      <c r="F36" s="39"/>
      <c r="G36" s="39"/>
      <c r="H36" s="8"/>
      <c r="I36" s="8"/>
      <c r="J36" s="38">
        <f t="shared" si="3"/>
        <v>0</v>
      </c>
    </row>
    <row r="37" spans="1:13" ht="15.75" thickBot="1" x14ac:dyDescent="0.3">
      <c r="A37" s="4"/>
      <c r="B37" s="40"/>
      <c r="C37" s="7"/>
      <c r="D37" s="39"/>
      <c r="E37" s="39"/>
      <c r="F37" s="39"/>
      <c r="G37" s="39"/>
      <c r="H37" s="8"/>
      <c r="I37" s="8"/>
      <c r="J37" s="38">
        <f t="shared" si="3"/>
        <v>0</v>
      </c>
      <c r="L37" s="53"/>
      <c r="M37" s="54"/>
    </row>
    <row r="38" spans="1:13" ht="15.75" thickBot="1" x14ac:dyDescent="0.3">
      <c r="A38" s="4" t="s">
        <v>9</v>
      </c>
      <c r="B38" s="43"/>
      <c r="C38" s="44"/>
      <c r="D38" s="45"/>
      <c r="E38" s="45"/>
      <c r="F38" s="45"/>
      <c r="G38" s="45"/>
      <c r="H38" s="45"/>
      <c r="I38" s="45"/>
      <c r="J38" s="12">
        <f>SUM(J34:J37)</f>
        <v>0</v>
      </c>
    </row>
    <row r="39" spans="1:13" x14ac:dyDescent="0.25">
      <c r="A39" s="28"/>
      <c r="B39" s="46"/>
      <c r="C39" s="47"/>
      <c r="D39" s="48"/>
      <c r="E39" s="48"/>
      <c r="F39" s="48"/>
      <c r="G39" s="48"/>
      <c r="H39" s="48"/>
      <c r="I39" s="48"/>
      <c r="J39" s="49"/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ht="15.75" thickBot="1" x14ac:dyDescent="0.3">
      <c r="A41" s="2"/>
      <c r="B41" s="2"/>
      <c r="C41" s="2"/>
      <c r="J41" s="3"/>
    </row>
    <row r="42" spans="1:13" ht="45.75" thickBot="1" x14ac:dyDescent="0.3">
      <c r="A42" s="33" t="s">
        <v>22</v>
      </c>
      <c r="B42" s="4" t="s">
        <v>18</v>
      </c>
      <c r="C42" s="33" t="s">
        <v>14</v>
      </c>
      <c r="D42" s="33" t="s">
        <v>3</v>
      </c>
      <c r="E42" s="33" t="s">
        <v>4</v>
      </c>
      <c r="F42" s="33" t="s">
        <v>19</v>
      </c>
      <c r="G42" s="33" t="s">
        <v>20</v>
      </c>
      <c r="H42" s="4" t="s">
        <v>21</v>
      </c>
      <c r="I42" s="51" t="s">
        <v>15</v>
      </c>
      <c r="J42" s="34" t="s">
        <v>9</v>
      </c>
    </row>
    <row r="43" spans="1:13" ht="15.75" thickBot="1" x14ac:dyDescent="0.3">
      <c r="A43" s="40"/>
      <c r="B43" s="21"/>
      <c r="C43" s="21"/>
      <c r="D43" s="37"/>
      <c r="E43" s="55"/>
      <c r="F43" s="37"/>
      <c r="G43" s="37"/>
      <c r="H43" s="37"/>
      <c r="I43" s="37"/>
      <c r="J43" s="38">
        <f>SUM(D43:I43)</f>
        <v>0</v>
      </c>
    </row>
    <row r="44" spans="1:13" ht="15.75" thickBot="1" x14ac:dyDescent="0.3">
      <c r="A44" s="40"/>
      <c r="B44" s="21"/>
      <c r="C44" s="21"/>
      <c r="D44" s="37"/>
      <c r="E44" s="37"/>
      <c r="F44" s="37"/>
      <c r="G44" s="37"/>
      <c r="H44" s="37"/>
      <c r="I44" s="37"/>
      <c r="J44" s="38">
        <f t="shared" ref="J44:J56" si="4">SUM(D44:I44)</f>
        <v>0</v>
      </c>
    </row>
    <row r="45" spans="1:13" ht="15.75" thickBot="1" x14ac:dyDescent="0.3">
      <c r="A45" s="465"/>
      <c r="B45" s="21"/>
      <c r="C45" s="21"/>
      <c r="D45" s="37"/>
      <c r="E45" s="37"/>
      <c r="F45" s="37"/>
      <c r="G45" s="37"/>
      <c r="H45" s="37"/>
      <c r="I45" s="37"/>
      <c r="J45" s="38">
        <f t="shared" si="4"/>
        <v>0</v>
      </c>
    </row>
    <row r="46" spans="1:13" ht="15.75" thickBot="1" x14ac:dyDescent="0.3">
      <c r="A46" s="40"/>
      <c r="B46" s="21"/>
      <c r="C46" s="21"/>
      <c r="D46" s="37"/>
      <c r="E46" s="37"/>
      <c r="F46" s="37"/>
      <c r="G46" s="37"/>
      <c r="H46" s="37"/>
      <c r="I46" s="37"/>
      <c r="J46" s="38">
        <f t="shared" si="4"/>
        <v>0</v>
      </c>
    </row>
    <row r="47" spans="1:13" ht="15.75" thickBot="1" x14ac:dyDescent="0.3">
      <c r="A47" s="40"/>
      <c r="B47" s="21"/>
      <c r="C47" s="21"/>
      <c r="D47" s="37"/>
      <c r="E47" s="37"/>
      <c r="F47" s="37"/>
      <c r="G47" s="37"/>
      <c r="H47" s="37"/>
      <c r="I47" s="37"/>
      <c r="J47" s="38">
        <f t="shared" si="4"/>
        <v>0</v>
      </c>
    </row>
    <row r="48" spans="1:13" ht="15.75" thickBot="1" x14ac:dyDescent="0.3">
      <c r="A48" s="465"/>
      <c r="B48" s="21"/>
      <c r="C48" s="21"/>
      <c r="D48" s="37"/>
      <c r="E48" s="37"/>
      <c r="F48" s="37"/>
      <c r="G48" s="37"/>
      <c r="H48" s="37"/>
      <c r="I48" s="37"/>
      <c r="J48" s="38">
        <f t="shared" si="4"/>
        <v>0</v>
      </c>
    </row>
    <row r="49" spans="1:10" ht="15.75" thickBot="1" x14ac:dyDescent="0.3">
      <c r="A49" s="465"/>
      <c r="B49" s="21"/>
      <c r="C49" s="21"/>
      <c r="D49" s="37"/>
      <c r="E49" s="37"/>
      <c r="F49" s="37"/>
      <c r="G49" s="37"/>
      <c r="H49" s="37"/>
      <c r="I49" s="37"/>
      <c r="J49" s="38">
        <f t="shared" si="4"/>
        <v>0</v>
      </c>
    </row>
    <row r="50" spans="1:10" ht="15.75" thickBot="1" x14ac:dyDescent="0.3">
      <c r="A50" s="465"/>
      <c r="B50" s="21"/>
      <c r="C50" s="21"/>
      <c r="D50" s="37"/>
      <c r="E50" s="37"/>
      <c r="F50" s="37"/>
      <c r="G50" s="37"/>
      <c r="H50" s="37"/>
      <c r="I50" s="37"/>
      <c r="J50" s="38">
        <f t="shared" si="4"/>
        <v>0</v>
      </c>
    </row>
    <row r="51" spans="1:10" ht="15.75" thickBot="1" x14ac:dyDescent="0.3">
      <c r="A51" s="465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465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56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40"/>
      <c r="B54" s="21"/>
      <c r="C54" s="21"/>
      <c r="D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E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57"/>
      <c r="E56" s="57"/>
      <c r="F56" s="57"/>
      <c r="G56" s="57"/>
      <c r="H56" s="57"/>
      <c r="I56" s="57"/>
      <c r="J56" s="38">
        <f t="shared" si="4"/>
        <v>0</v>
      </c>
    </row>
    <row r="57" spans="1:10" ht="19.5" thickBot="1" x14ac:dyDescent="0.35">
      <c r="A57" s="23" t="s">
        <v>9</v>
      </c>
      <c r="B57" s="4"/>
      <c r="C57" s="24"/>
      <c r="D57" s="25">
        <f t="shared" ref="D57:J57" si="5">SUM(D43:D56)</f>
        <v>0</v>
      </c>
      <c r="E57" s="25">
        <f t="shared" si="5"/>
        <v>0</v>
      </c>
      <c r="F57" s="25">
        <f t="shared" si="5"/>
        <v>0</v>
      </c>
      <c r="G57" s="25">
        <f t="shared" si="5"/>
        <v>0</v>
      </c>
      <c r="H57" s="25">
        <f t="shared" si="5"/>
        <v>0</v>
      </c>
      <c r="I57" s="25">
        <f t="shared" si="5"/>
        <v>0</v>
      </c>
      <c r="J57" s="25">
        <f t="shared" si="5"/>
        <v>0</v>
      </c>
    </row>
    <row r="58" spans="1:10" ht="15.75" x14ac:dyDescent="0.25">
      <c r="A58" s="58"/>
      <c r="B58" s="58"/>
      <c r="C58" s="59"/>
      <c r="D58" s="60"/>
      <c r="E58" s="60"/>
      <c r="F58" s="60"/>
      <c r="G58" s="60"/>
      <c r="H58" s="60"/>
      <c r="I58" s="60"/>
      <c r="J58" s="60"/>
    </row>
    <row r="59" spans="1:10" ht="16.5" thickBot="1" x14ac:dyDescent="0.3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9.5" thickBot="1" x14ac:dyDescent="0.35">
      <c r="A60" s="554" t="s">
        <v>23</v>
      </c>
      <c r="B60" s="555"/>
      <c r="C60" s="61"/>
      <c r="D60" s="62"/>
      <c r="E60" s="62"/>
      <c r="F60" s="62"/>
      <c r="G60" s="62"/>
      <c r="H60" s="62"/>
      <c r="I60" s="62"/>
      <c r="J60" s="26">
        <f>+J22+J57</f>
        <v>0</v>
      </c>
    </row>
    <row r="61" spans="1:10" x14ac:dyDescent="0.25">
      <c r="A61" s="2"/>
      <c r="B61" s="2"/>
      <c r="C61" s="63"/>
      <c r="D61" s="3"/>
      <c r="E61" s="3"/>
      <c r="F61" s="3"/>
      <c r="G61" s="3"/>
      <c r="H61" s="3"/>
      <c r="I61" s="3"/>
      <c r="J61" s="3"/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ht="16.5" thickBot="1" x14ac:dyDescent="0.3">
      <c r="A63" s="64" t="s">
        <v>24</v>
      </c>
      <c r="B63" s="2"/>
      <c r="C63" s="63"/>
      <c r="D63" s="3"/>
      <c r="E63" s="3"/>
      <c r="F63" s="3"/>
      <c r="G63" s="3"/>
      <c r="H63" s="3"/>
      <c r="I63" s="3"/>
      <c r="J63" s="3"/>
    </row>
    <row r="64" spans="1:10" ht="19.5" thickBot="1" x14ac:dyDescent="0.35">
      <c r="A64" s="65" t="s">
        <v>25</v>
      </c>
      <c r="B64" s="66"/>
      <c r="C64" s="67"/>
      <c r="D64" s="68"/>
      <c r="E64" s="68"/>
      <c r="F64" s="68"/>
      <c r="G64" s="68"/>
      <c r="H64" s="68"/>
      <c r="I64" s="68"/>
      <c r="J64" s="26"/>
    </row>
    <row r="65" spans="1:10" ht="19.5" thickBot="1" x14ac:dyDescent="0.35">
      <c r="A65" s="65" t="s">
        <v>26</v>
      </c>
      <c r="B65" s="66"/>
      <c r="C65" s="69"/>
      <c r="D65" s="68"/>
      <c r="E65" s="68"/>
      <c r="F65" s="68"/>
      <c r="G65" s="68"/>
      <c r="H65" s="68"/>
      <c r="I65" s="68"/>
      <c r="J65" s="26"/>
    </row>
    <row r="66" spans="1:10" ht="18.75" x14ac:dyDescent="0.3">
      <c r="A66" s="70"/>
      <c r="B66" s="70"/>
      <c r="C66" s="71"/>
      <c r="D66" s="72"/>
      <c r="E66" s="72"/>
      <c r="F66" s="72"/>
      <c r="G66" s="72"/>
      <c r="H66" s="72"/>
      <c r="I66" s="72"/>
      <c r="J66" s="30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6.5" thickBot="1" x14ac:dyDescent="0.3">
      <c r="A68" s="73" t="s">
        <v>27</v>
      </c>
      <c r="B68" s="74"/>
      <c r="C68" s="63"/>
      <c r="D68" s="3"/>
      <c r="E68" s="3"/>
      <c r="F68" s="3"/>
      <c r="G68" s="3"/>
      <c r="H68" s="3"/>
      <c r="I68" s="3"/>
      <c r="J68" s="3"/>
    </row>
    <row r="69" spans="1:10" ht="19.5" thickBot="1" x14ac:dyDescent="0.35">
      <c r="A69" s="75" t="s">
        <v>28</v>
      </c>
      <c r="B69" s="76"/>
      <c r="C69" s="77"/>
      <c r="D69" s="78"/>
      <c r="E69" s="78"/>
      <c r="F69" s="78"/>
      <c r="G69" s="78"/>
      <c r="H69" s="78"/>
      <c r="I69" s="78"/>
      <c r="J69" s="79">
        <v>145</v>
      </c>
    </row>
    <row r="70" spans="1:10" x14ac:dyDescent="0.25">
      <c r="A70" s="80"/>
      <c r="B70" s="2"/>
      <c r="C70" s="63"/>
      <c r="D70" s="3"/>
      <c r="E70" s="3"/>
      <c r="F70" s="3"/>
      <c r="G70" s="3"/>
      <c r="H70" s="3"/>
      <c r="I70" s="3"/>
      <c r="J70" s="3"/>
    </row>
    <row r="71" spans="1:10" ht="16.5" thickBot="1" x14ac:dyDescent="0.3">
      <c r="A71" s="73"/>
      <c r="B71" s="74"/>
      <c r="C71" s="63"/>
      <c r="D71" s="3"/>
      <c r="E71" s="3"/>
      <c r="F71" s="3"/>
      <c r="G71" s="3"/>
      <c r="H71" s="3"/>
      <c r="I71" s="3"/>
      <c r="J71" s="3"/>
    </row>
    <row r="72" spans="1:10" ht="19.5" thickBot="1" x14ac:dyDescent="0.35">
      <c r="A72" s="75" t="s">
        <v>29</v>
      </c>
      <c r="B72" s="76"/>
      <c r="C72" s="81"/>
      <c r="D72" s="78"/>
      <c r="E72" s="78"/>
      <c r="F72" s="78"/>
      <c r="G72" s="78"/>
      <c r="H72" s="78"/>
      <c r="I72" s="78"/>
      <c r="J72" s="82"/>
    </row>
    <row r="73" spans="1:10" ht="15.75" thickBot="1" x14ac:dyDescent="0.3">
      <c r="A73" s="80"/>
      <c r="B73" s="2"/>
      <c r="C73" s="63"/>
      <c r="D73" s="3"/>
      <c r="E73" s="3"/>
      <c r="F73" s="3"/>
      <c r="G73" s="3"/>
      <c r="H73" s="3"/>
      <c r="I73" s="3"/>
      <c r="J73" s="3"/>
    </row>
    <row r="74" spans="1:10" ht="21.75" thickBot="1" x14ac:dyDescent="0.4">
      <c r="A74" s="556" t="s">
        <v>30</v>
      </c>
      <c r="B74" s="557"/>
      <c r="C74" s="83"/>
      <c r="D74" s="84"/>
      <c r="E74" s="84"/>
      <c r="F74" s="84"/>
      <c r="G74" s="84"/>
      <c r="H74" s="84"/>
      <c r="I74" s="84"/>
      <c r="J74" s="85">
        <f>SUM(J60:J73)</f>
        <v>145</v>
      </c>
    </row>
    <row r="75" spans="1:10" x14ac:dyDescent="0.25">
      <c r="A75" s="2"/>
      <c r="B75" s="2"/>
      <c r="C75" s="63"/>
      <c r="D75" s="3"/>
      <c r="E75" s="3"/>
      <c r="F75" s="3"/>
      <c r="G75" s="3"/>
      <c r="H75" s="3"/>
      <c r="I75" s="3"/>
      <c r="J75" s="3"/>
    </row>
    <row r="76" spans="1:10" ht="21" x14ac:dyDescent="0.35">
      <c r="A76" s="553" t="s">
        <v>716</v>
      </c>
      <c r="B76" s="553"/>
      <c r="C76" s="553"/>
      <c r="D76" s="553"/>
      <c r="E76" s="553"/>
      <c r="F76" s="553"/>
      <c r="G76" s="553"/>
      <c r="H76" s="553"/>
      <c r="I76" s="553"/>
      <c r="J76" s="553"/>
    </row>
    <row r="77" spans="1:10" ht="21.75" thickBot="1" x14ac:dyDescent="0.4">
      <c r="A77" s="464" t="s">
        <v>31</v>
      </c>
      <c r="B77" s="464"/>
      <c r="C77" s="464"/>
      <c r="D77" s="464"/>
      <c r="E77" s="464"/>
      <c r="F77" s="464"/>
      <c r="G77" s="464"/>
      <c r="H77" s="464"/>
      <c r="I77" s="464"/>
      <c r="J77" s="87"/>
    </row>
    <row r="78" spans="1:10" ht="15.75" thickBot="1" x14ac:dyDescent="0.3">
      <c r="A78" s="88" t="s">
        <v>32</v>
      </c>
      <c r="B78" s="89" t="s">
        <v>33</v>
      </c>
      <c r="C78" s="558" t="s">
        <v>2</v>
      </c>
      <c r="D78" s="559"/>
      <c r="E78" s="559"/>
      <c r="F78" s="559"/>
      <c r="G78" s="559"/>
      <c r="H78" s="559"/>
      <c r="I78" s="560"/>
      <c r="J78" s="90" t="s">
        <v>9</v>
      </c>
    </row>
    <row r="79" spans="1:10" ht="15.75" thickBot="1" x14ac:dyDescent="0.3">
      <c r="A79" s="91"/>
      <c r="B79" s="92"/>
      <c r="C79" s="550"/>
      <c r="D79" s="551"/>
      <c r="E79" s="551"/>
      <c r="F79" s="551"/>
      <c r="G79" s="551"/>
      <c r="H79" s="551"/>
      <c r="I79" s="551"/>
      <c r="J79" s="22"/>
    </row>
    <row r="80" spans="1:10" ht="15.75" thickBot="1" x14ac:dyDescent="0.3">
      <c r="A80" s="40"/>
      <c r="B80" s="92"/>
      <c r="C80" s="550"/>
      <c r="D80" s="551"/>
      <c r="E80" s="551"/>
      <c r="F80" s="551"/>
      <c r="G80" s="551"/>
      <c r="H80" s="552"/>
      <c r="I80" s="552"/>
      <c r="J80" s="22"/>
    </row>
    <row r="81" spans="1:10" ht="15.75" thickBot="1" x14ac:dyDescent="0.3">
      <c r="A81" s="40"/>
      <c r="B81" s="92"/>
      <c r="C81" s="561"/>
      <c r="D81" s="562"/>
      <c r="E81" s="562"/>
      <c r="F81" s="562"/>
      <c r="G81" s="562"/>
      <c r="H81" s="562"/>
      <c r="I81" s="562"/>
      <c r="J81" s="93"/>
    </row>
    <row r="82" spans="1:10" ht="15.75" thickBot="1" x14ac:dyDescent="0.3">
      <c r="A82" s="40"/>
      <c r="B82" s="92"/>
      <c r="C82" s="550"/>
      <c r="D82" s="551"/>
      <c r="E82" s="551"/>
      <c r="F82" s="551"/>
      <c r="G82" s="551"/>
      <c r="H82" s="552"/>
      <c r="I82" s="552"/>
      <c r="J82" s="22"/>
    </row>
    <row r="83" spans="1:10" ht="15.75" thickBot="1" x14ac:dyDescent="0.3">
      <c r="A83" s="40"/>
      <c r="B83" s="92"/>
      <c r="C83" s="550"/>
      <c r="D83" s="551"/>
      <c r="E83" s="551"/>
      <c r="F83" s="551"/>
      <c r="G83" s="551"/>
      <c r="H83" s="552"/>
      <c r="I83" s="552"/>
      <c r="J83" s="22"/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22"/>
    </row>
    <row r="85" spans="1:10" ht="15.75" thickBot="1" x14ac:dyDescent="0.3">
      <c r="A85" s="40"/>
      <c r="B85" s="92"/>
      <c r="C85" s="550"/>
      <c r="D85" s="551"/>
      <c r="E85" s="551"/>
      <c r="F85" s="551"/>
      <c r="G85" s="551"/>
      <c r="H85" s="552"/>
      <c r="I85" s="552"/>
      <c r="J85" s="22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22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37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9.5" thickBot="1" x14ac:dyDescent="0.35">
      <c r="A92" s="94" t="s">
        <v>34</v>
      </c>
      <c r="B92" s="554"/>
      <c r="C92" s="563"/>
      <c r="D92" s="563"/>
      <c r="E92" s="563"/>
      <c r="F92" s="563"/>
      <c r="G92" s="563"/>
      <c r="H92" s="563"/>
      <c r="I92" s="563"/>
      <c r="J92" s="95">
        <f>SUM(J79:J91)</f>
        <v>0</v>
      </c>
    </row>
    <row r="93" spans="1:10" ht="18.75" x14ac:dyDescent="0.3">
      <c r="A93" s="27"/>
      <c r="B93" s="27"/>
      <c r="C93" s="96"/>
      <c r="D93" s="96"/>
      <c r="E93" s="96"/>
      <c r="F93" s="97"/>
      <c r="G93" s="96"/>
      <c r="H93" s="96"/>
      <c r="I93" s="96"/>
      <c r="J93" s="30"/>
    </row>
    <row r="94" spans="1:10" ht="18.75" x14ac:dyDescent="0.3">
      <c r="A94" s="27"/>
      <c r="B94" s="27"/>
      <c r="C94" s="96"/>
      <c r="D94" s="96"/>
      <c r="E94" s="96"/>
      <c r="F94" s="97"/>
      <c r="G94" s="96"/>
      <c r="H94" s="96"/>
      <c r="I94" s="96"/>
      <c r="J94" s="30"/>
    </row>
    <row r="95" spans="1:10" ht="18.75" x14ac:dyDescent="0.3">
      <c r="A95" s="58" t="s">
        <v>35</v>
      </c>
      <c r="B95" s="27"/>
      <c r="C95" s="2"/>
      <c r="D95" s="3"/>
      <c r="F95" s="3"/>
      <c r="J95" s="3"/>
    </row>
    <row r="96" spans="1:10" x14ac:dyDescent="0.25">
      <c r="A96" s="2" t="s">
        <v>36</v>
      </c>
      <c r="B96" s="63">
        <f>+J74</f>
        <v>145</v>
      </c>
      <c r="C96" s="98"/>
      <c r="D96" s="3"/>
      <c r="F96" s="3"/>
      <c r="J96" s="3"/>
    </row>
    <row r="97" spans="1:10" ht="15.75" thickBot="1" x14ac:dyDescent="0.3">
      <c r="A97" s="2" t="s">
        <v>34</v>
      </c>
      <c r="B97" s="99">
        <f>+J92</f>
        <v>0</v>
      </c>
      <c r="C97" s="100"/>
      <c r="D97" s="3"/>
      <c r="F97" s="3"/>
      <c r="G97" s="101"/>
      <c r="H97" s="101"/>
      <c r="I97" s="102"/>
      <c r="J97" s="102"/>
    </row>
    <row r="98" spans="1:10" ht="17.25" thickTop="1" thickBot="1" x14ac:dyDescent="0.3">
      <c r="A98" s="58" t="s">
        <v>37</v>
      </c>
      <c r="B98" s="103">
        <f>++B96-B97</f>
        <v>145</v>
      </c>
      <c r="C98" s="104"/>
      <c r="D98" s="105"/>
      <c r="E98" s="106"/>
      <c r="F98" s="105"/>
      <c r="G98" s="107"/>
      <c r="H98" s="107"/>
      <c r="I98" s="3"/>
    </row>
    <row r="99" spans="1:10" ht="15.75" thickTop="1" x14ac:dyDescent="0.25"/>
  </sheetData>
  <mergeCells count="19">
    <mergeCell ref="C85:I85"/>
    <mergeCell ref="A1:J1"/>
    <mergeCell ref="A60:B60"/>
    <mergeCell ref="A74:B74"/>
    <mergeCell ref="A76:J76"/>
    <mergeCell ref="C78:I78"/>
    <mergeCell ref="C79:I79"/>
    <mergeCell ref="C80:I80"/>
    <mergeCell ref="C81:I81"/>
    <mergeCell ref="C82:I82"/>
    <mergeCell ref="C83:I83"/>
    <mergeCell ref="C84:I84"/>
    <mergeCell ref="B92:I92"/>
    <mergeCell ref="C86:I86"/>
    <mergeCell ref="C87:I87"/>
    <mergeCell ref="C88:I88"/>
    <mergeCell ref="C89:I89"/>
    <mergeCell ref="C90:I90"/>
    <mergeCell ref="C91:I91"/>
  </mergeCells>
  <pageMargins left="0.17" right="0.17" top="0.17" bottom="0.17" header="0.17" footer="0.17"/>
  <pageSetup paperSize="9" scale="49" fitToWidth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5376-8137-4919-91EA-E7A4418838BF}">
  <sheetPr>
    <pageSetUpPr fitToPage="1"/>
  </sheetPr>
  <dimension ref="A1:M112"/>
  <sheetViews>
    <sheetView topLeftCell="A76" workbookViewId="0">
      <selection activeCell="J92" sqref="J92"/>
    </sheetView>
  </sheetViews>
  <sheetFormatPr baseColWidth="10" defaultRowHeight="15" x14ac:dyDescent="0.25"/>
  <cols>
    <col min="1" max="1" width="32.140625" bestFit="1" customWidth="1"/>
    <col min="2" max="2" width="15.42578125" style="2" bestFit="1" customWidth="1"/>
    <col min="4" max="5" width="13" bestFit="1" customWidth="1"/>
    <col min="8" max="8" width="15.85546875" customWidth="1"/>
    <col min="10" max="10" width="14" bestFit="1" customWidth="1"/>
  </cols>
  <sheetData>
    <row r="1" spans="1:10" ht="21" x14ac:dyDescent="0.35">
      <c r="A1" s="553" t="s">
        <v>717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C2" s="2"/>
      <c r="J2" s="3"/>
    </row>
    <row r="3" spans="1:10" ht="30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83</v>
      </c>
      <c r="J3" s="5" t="s">
        <v>9</v>
      </c>
    </row>
    <row r="4" spans="1:10" ht="15.75" thickBot="1" x14ac:dyDescent="0.3">
      <c r="A4" s="317" t="s">
        <v>741</v>
      </c>
      <c r="B4" s="317" t="s">
        <v>742</v>
      </c>
      <c r="C4" s="7">
        <v>46054</v>
      </c>
      <c r="D4" s="4"/>
      <c r="E4" s="4"/>
      <c r="F4" s="4"/>
      <c r="G4" s="8">
        <v>60</v>
      </c>
      <c r="H4" s="4"/>
      <c r="I4" s="4"/>
      <c r="J4" s="5">
        <f t="shared" ref="J4:J21" si="0">SUM(D4:I4)</f>
        <v>60</v>
      </c>
    </row>
    <row r="5" spans="1:10" ht="15.75" thickBot="1" x14ac:dyDescent="0.3">
      <c r="A5" s="6" t="s">
        <v>7</v>
      </c>
      <c r="B5" s="6" t="s">
        <v>735</v>
      </c>
      <c r="C5" s="7">
        <v>46054</v>
      </c>
      <c r="D5" s="8"/>
      <c r="E5" s="8"/>
      <c r="F5" s="8"/>
      <c r="G5" s="8"/>
      <c r="H5" s="8">
        <v>67</v>
      </c>
      <c r="I5" s="8"/>
      <c r="J5" s="5">
        <f t="shared" si="0"/>
        <v>67</v>
      </c>
    </row>
    <row r="6" spans="1:10" ht="15.75" thickBot="1" x14ac:dyDescent="0.3">
      <c r="A6" s="485" t="s">
        <v>751</v>
      </c>
      <c r="B6" s="6" t="s">
        <v>752</v>
      </c>
      <c r="C6" s="7">
        <v>46174</v>
      </c>
      <c r="D6" s="8"/>
      <c r="E6" s="8"/>
      <c r="F6" s="8"/>
      <c r="G6" s="8"/>
      <c r="H6" s="8"/>
      <c r="I6" s="8">
        <v>200</v>
      </c>
      <c r="J6" s="5">
        <f t="shared" si="0"/>
        <v>200</v>
      </c>
    </row>
    <row r="7" spans="1:10" ht="15.75" thickBot="1" x14ac:dyDescent="0.3">
      <c r="A7" s="6" t="s">
        <v>754</v>
      </c>
      <c r="B7" s="6" t="s">
        <v>755</v>
      </c>
      <c r="C7" s="7">
        <v>46023</v>
      </c>
      <c r="D7" s="8"/>
      <c r="E7" s="8"/>
      <c r="F7" s="8">
        <v>850</v>
      </c>
      <c r="G7" s="8"/>
      <c r="H7" s="8"/>
      <c r="I7" s="8"/>
      <c r="J7" s="5">
        <f t="shared" si="0"/>
        <v>850</v>
      </c>
    </row>
    <row r="8" spans="1:10" ht="15.75" thickBot="1" x14ac:dyDescent="0.3">
      <c r="A8" s="6" t="s">
        <v>7</v>
      </c>
      <c r="B8" s="6" t="s">
        <v>759</v>
      </c>
      <c r="C8" s="7">
        <v>46054</v>
      </c>
      <c r="D8" s="8"/>
      <c r="E8" s="8"/>
      <c r="F8" s="8"/>
      <c r="G8" s="8"/>
      <c r="H8" s="8">
        <v>54.7</v>
      </c>
      <c r="I8" s="8"/>
      <c r="J8" s="5">
        <f t="shared" si="0"/>
        <v>54.7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473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473"/>
      <c r="B12" s="469"/>
      <c r="C12" s="7"/>
      <c r="D12" s="8"/>
      <c r="E12" s="8"/>
      <c r="F12" s="8"/>
      <c r="G12" s="8"/>
      <c r="H12" s="8"/>
      <c r="I12" s="11"/>
      <c r="J12" s="12">
        <f t="shared" si="0"/>
        <v>0</v>
      </c>
    </row>
    <row r="13" spans="1:10" ht="15.75" thickBot="1" x14ac:dyDescent="0.3">
      <c r="A13" s="6"/>
      <c r="B13" s="6"/>
      <c r="C13" s="7"/>
      <c r="D13" s="8"/>
      <c r="E13" s="8"/>
      <c r="F13" s="8"/>
      <c r="G13" s="8"/>
      <c r="H13" s="8"/>
      <c r="I13" s="8"/>
      <c r="J13" s="5">
        <f t="shared" si="0"/>
        <v>0</v>
      </c>
    </row>
    <row r="14" spans="1:10" ht="15.75" thickBot="1" x14ac:dyDescent="0.3">
      <c r="A14" s="52"/>
      <c r="B14" s="6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6" t="s">
        <v>754</v>
      </c>
      <c r="B15" s="469" t="s">
        <v>756</v>
      </c>
      <c r="C15" s="7">
        <v>46023</v>
      </c>
      <c r="D15" s="8">
        <v>13.3</v>
      </c>
      <c r="E15" s="8">
        <v>3</v>
      </c>
      <c r="F15" s="8"/>
      <c r="G15" s="8"/>
      <c r="H15" s="8"/>
      <c r="I15" s="8"/>
      <c r="J15" s="5">
        <f t="shared" si="0"/>
        <v>16.3</v>
      </c>
    </row>
    <row r="16" spans="1:10" ht="15.75" thickBot="1" x14ac:dyDescent="0.3">
      <c r="A16" s="52"/>
      <c r="B16" s="6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0" ht="15.75" thickBot="1" x14ac:dyDescent="0.3">
      <c r="A17" s="481"/>
      <c r="B17" s="471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0" ht="15.75" thickBot="1" x14ac:dyDescent="0.3">
      <c r="A18" s="52"/>
      <c r="B18" s="6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0" ht="15.75" thickBot="1" x14ac:dyDescent="0.3">
      <c r="A19" s="17"/>
      <c r="B19" s="40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0" ht="15.75" thickBot="1" x14ac:dyDescent="0.3">
      <c r="A20" s="472"/>
      <c r="B20" s="472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0" ht="15.75" thickBot="1" x14ac:dyDescent="0.3">
      <c r="A21" s="465"/>
      <c r="B21" s="467"/>
      <c r="C21" s="21"/>
      <c r="D21" s="22"/>
      <c r="E21" s="22"/>
      <c r="F21" s="22"/>
      <c r="G21" s="22"/>
      <c r="H21" s="22"/>
      <c r="I21" s="22"/>
      <c r="J21" s="5">
        <f t="shared" si="0"/>
        <v>0</v>
      </c>
    </row>
    <row r="22" spans="1:10" ht="19.5" thickBot="1" x14ac:dyDescent="0.35">
      <c r="A22" s="23" t="s">
        <v>9</v>
      </c>
      <c r="B22" s="4"/>
      <c r="C22" s="24"/>
      <c r="D22" s="25">
        <f>SUM(D5:D21)</f>
        <v>13.3</v>
      </c>
      <c r="E22" s="25">
        <f>SUM(E5:E21)</f>
        <v>3</v>
      </c>
      <c r="F22" s="25">
        <f>SUM(F5:F21)</f>
        <v>850</v>
      </c>
      <c r="G22" s="25">
        <f>SUM(G4:G21)</f>
        <v>60</v>
      </c>
      <c r="H22" s="25">
        <f>SUM(H5:H21)</f>
        <v>121.7</v>
      </c>
      <c r="I22" s="25">
        <f>SUM(I5:I21)</f>
        <v>200</v>
      </c>
      <c r="J22" s="26">
        <f>SUM(J4:J21)</f>
        <v>1248</v>
      </c>
    </row>
    <row r="23" spans="1:10" ht="19.5" thickBot="1" x14ac:dyDescent="0.35">
      <c r="A23" s="27"/>
      <c r="B23" s="28"/>
      <c r="C23" s="29"/>
      <c r="D23" s="30"/>
      <c r="E23" s="30"/>
      <c r="F23" s="30"/>
      <c r="G23" s="30"/>
      <c r="H23" s="30"/>
      <c r="I23" s="30"/>
      <c r="J23" s="30"/>
    </row>
    <row r="24" spans="1:10" ht="24" thickBot="1" x14ac:dyDescent="0.4">
      <c r="A24" s="31" t="s">
        <v>12</v>
      </c>
      <c r="B24" s="28"/>
      <c r="C24" s="29"/>
      <c r="D24" s="30"/>
      <c r="E24" s="30"/>
      <c r="F24" s="30"/>
      <c r="G24" s="30"/>
      <c r="H24" s="30"/>
      <c r="I24" s="30"/>
      <c r="J24" s="30"/>
    </row>
    <row r="25" spans="1:10" ht="15.75" thickBot="1" x14ac:dyDescent="0.3">
      <c r="A25" s="32" t="s">
        <v>13</v>
      </c>
      <c r="B25" s="4" t="s">
        <v>1</v>
      </c>
      <c r="C25" s="33" t="s">
        <v>14</v>
      </c>
      <c r="D25" s="33" t="s">
        <v>3</v>
      </c>
      <c r="E25" s="33" t="s">
        <v>4</v>
      </c>
      <c r="F25" s="4" t="s">
        <v>5</v>
      </c>
      <c r="G25" s="4" t="s">
        <v>6</v>
      </c>
      <c r="H25" s="4" t="s">
        <v>15</v>
      </c>
      <c r="I25" s="4" t="s">
        <v>8</v>
      </c>
      <c r="J25" s="34" t="s">
        <v>9</v>
      </c>
    </row>
    <row r="26" spans="1:10" ht="15.75" thickBot="1" x14ac:dyDescent="0.3">
      <c r="A26" s="591" t="s">
        <v>736</v>
      </c>
      <c r="B26" s="6" t="s">
        <v>737</v>
      </c>
      <c r="C26" s="7">
        <v>46023</v>
      </c>
      <c r="D26" s="8"/>
      <c r="E26" s="8"/>
      <c r="F26" s="8">
        <v>180</v>
      </c>
      <c r="G26" s="8"/>
      <c r="H26" s="8"/>
      <c r="I26" s="8"/>
      <c r="J26" s="5">
        <f t="shared" ref="J26:J33" si="1">SUM(D26:I26)</f>
        <v>180</v>
      </c>
    </row>
    <row r="27" spans="1:10" ht="15.75" thickBot="1" x14ac:dyDescent="0.3">
      <c r="A27" s="593"/>
      <c r="B27" s="591" t="s">
        <v>738</v>
      </c>
      <c r="C27" s="7">
        <v>45839</v>
      </c>
      <c r="D27" s="8">
        <v>8.1999999999999993</v>
      </c>
      <c r="E27" s="8">
        <v>4</v>
      </c>
      <c r="F27" s="8"/>
      <c r="G27" s="8"/>
      <c r="H27" s="8"/>
      <c r="I27" s="8"/>
      <c r="J27" s="5">
        <f t="shared" si="1"/>
        <v>12.2</v>
      </c>
    </row>
    <row r="28" spans="1:10" ht="15.75" thickBot="1" x14ac:dyDescent="0.3">
      <c r="A28" s="593"/>
      <c r="B28" s="593"/>
      <c r="C28" s="7">
        <v>45962</v>
      </c>
      <c r="D28" s="8">
        <v>20.399999999999999</v>
      </c>
      <c r="E28" s="8">
        <v>5</v>
      </c>
      <c r="F28" s="8"/>
      <c r="G28" s="8"/>
      <c r="H28" s="8"/>
      <c r="I28" s="8"/>
      <c r="J28" s="5">
        <f t="shared" si="1"/>
        <v>25.4</v>
      </c>
    </row>
    <row r="29" spans="1:10" ht="15.75" thickBot="1" x14ac:dyDescent="0.3">
      <c r="A29" s="593"/>
      <c r="B29" s="593"/>
      <c r="C29" s="7">
        <v>45992</v>
      </c>
      <c r="D29" s="8">
        <v>26.6</v>
      </c>
      <c r="E29" s="8">
        <v>5</v>
      </c>
      <c r="F29" s="8"/>
      <c r="G29" s="8"/>
      <c r="H29" s="8"/>
      <c r="I29" s="8"/>
      <c r="J29" s="5">
        <f t="shared" si="1"/>
        <v>31.6</v>
      </c>
    </row>
    <row r="30" spans="1:10" ht="15.75" thickBot="1" x14ac:dyDescent="0.3">
      <c r="A30" s="592"/>
      <c r="B30" s="592"/>
      <c r="C30" s="7">
        <v>46023</v>
      </c>
      <c r="D30" s="8">
        <v>29</v>
      </c>
      <c r="E30" s="8">
        <v>3</v>
      </c>
      <c r="F30" s="8"/>
      <c r="G30" s="8"/>
      <c r="H30" s="8"/>
      <c r="I30" s="8"/>
      <c r="J30" s="5">
        <f t="shared" si="1"/>
        <v>32</v>
      </c>
    </row>
    <row r="31" spans="1:10" ht="15.75" thickBot="1" x14ac:dyDescent="0.3">
      <c r="A31" s="472"/>
      <c r="B31" s="21"/>
      <c r="C31" s="21"/>
      <c r="D31" s="35"/>
      <c r="E31" s="35"/>
      <c r="F31" s="35"/>
      <c r="G31" s="35"/>
      <c r="H31" s="37"/>
      <c r="I31" s="37"/>
      <c r="J31" s="5">
        <f t="shared" si="1"/>
        <v>0</v>
      </c>
    </row>
    <row r="32" spans="1:10" ht="15.75" thickBot="1" x14ac:dyDescent="0.3">
      <c r="A32" s="472"/>
      <c r="B32" s="465"/>
      <c r="C32" s="7"/>
      <c r="D32" s="39"/>
      <c r="E32" s="39"/>
      <c r="F32" s="39"/>
      <c r="G32" s="39"/>
      <c r="H32" s="8"/>
      <c r="I32" s="8"/>
      <c r="J32" s="5">
        <f t="shared" si="1"/>
        <v>0</v>
      </c>
    </row>
    <row r="33" spans="1:13" ht="15.75" thickBot="1" x14ac:dyDescent="0.3">
      <c r="A33" s="4"/>
      <c r="B33" s="40"/>
      <c r="C33" s="7"/>
      <c r="D33" s="39"/>
      <c r="E33" s="39"/>
      <c r="F33" s="39"/>
      <c r="G33" s="39"/>
      <c r="H33" s="8"/>
      <c r="I33" s="8"/>
      <c r="J33" s="5">
        <f t="shared" si="1"/>
        <v>0</v>
      </c>
      <c r="L33" s="41" t="s">
        <v>16</v>
      </c>
      <c r="M33" s="42">
        <f>J34+J42</f>
        <v>1347.6000000000001</v>
      </c>
    </row>
    <row r="34" spans="1:13" ht="15.75" thickBot="1" x14ac:dyDescent="0.3">
      <c r="A34" s="4" t="s">
        <v>9</v>
      </c>
      <c r="B34" s="43"/>
      <c r="C34" s="44"/>
      <c r="D34" s="45"/>
      <c r="E34" s="45"/>
      <c r="F34" s="45"/>
      <c r="G34" s="45"/>
      <c r="H34" s="45"/>
      <c r="I34" s="45"/>
      <c r="J34" s="12">
        <f>SUM(J26:J33)</f>
        <v>281.2</v>
      </c>
    </row>
    <row r="35" spans="1:13" ht="15.75" thickBot="1" x14ac:dyDescent="0.3">
      <c r="A35" s="28"/>
      <c r="B35" s="46"/>
      <c r="C35" s="47"/>
      <c r="D35" s="48"/>
      <c r="E35" s="48"/>
      <c r="F35" s="48"/>
      <c r="G35" s="48"/>
      <c r="H35" s="48"/>
      <c r="I35" s="48"/>
      <c r="J35" s="49"/>
    </row>
    <row r="36" spans="1:13" ht="24" thickBot="1" x14ac:dyDescent="0.4">
      <c r="A36" s="31" t="s">
        <v>12</v>
      </c>
      <c r="B36" s="28"/>
      <c r="C36" s="29"/>
      <c r="D36" s="30"/>
      <c r="E36" s="30"/>
      <c r="F36" s="30"/>
      <c r="G36" s="30"/>
      <c r="H36" s="30"/>
      <c r="I36" s="30"/>
      <c r="J36" s="30"/>
    </row>
    <row r="37" spans="1:13" ht="45.75" thickBot="1" x14ac:dyDescent="0.3">
      <c r="A37" s="50" t="s">
        <v>17</v>
      </c>
      <c r="B37" s="4" t="s">
        <v>18</v>
      </c>
      <c r="C37" s="33" t="s">
        <v>14</v>
      </c>
      <c r="D37" s="33" t="s">
        <v>3</v>
      </c>
      <c r="E37" s="33" t="s">
        <v>4</v>
      </c>
      <c r="F37" s="33" t="s">
        <v>19</v>
      </c>
      <c r="G37" s="33" t="s">
        <v>20</v>
      </c>
      <c r="H37" s="33" t="s">
        <v>15</v>
      </c>
      <c r="I37" s="51" t="s">
        <v>21</v>
      </c>
      <c r="J37" s="34" t="s">
        <v>9</v>
      </c>
    </row>
    <row r="38" spans="1:13" ht="15.75" thickBot="1" x14ac:dyDescent="0.3">
      <c r="A38" s="465" t="s">
        <v>732</v>
      </c>
      <c r="B38" s="21" t="s">
        <v>733</v>
      </c>
      <c r="C38" s="7">
        <v>46023</v>
      </c>
      <c r="D38" s="482">
        <v>31.4</v>
      </c>
      <c r="E38" s="8">
        <v>36.6</v>
      </c>
      <c r="F38" s="8"/>
      <c r="G38" s="8"/>
      <c r="H38" s="8"/>
      <c r="I38" s="8">
        <v>10</v>
      </c>
      <c r="J38" s="5">
        <f t="shared" ref="J38:J41" si="2">SUM(D38:I38)</f>
        <v>78</v>
      </c>
    </row>
    <row r="39" spans="1:13" ht="15.75" thickBot="1" x14ac:dyDescent="0.3">
      <c r="A39" s="6" t="s">
        <v>739</v>
      </c>
      <c r="B39" s="21" t="s">
        <v>740</v>
      </c>
      <c r="C39" s="7">
        <v>46023</v>
      </c>
      <c r="D39" s="37">
        <v>504.8</v>
      </c>
      <c r="E39" s="35">
        <v>97.3</v>
      </c>
      <c r="F39" s="35">
        <v>60</v>
      </c>
      <c r="G39" s="35">
        <v>5</v>
      </c>
      <c r="H39" s="37"/>
      <c r="I39" s="37">
        <v>10</v>
      </c>
      <c r="J39" s="38">
        <f t="shared" si="2"/>
        <v>677.1</v>
      </c>
    </row>
    <row r="40" spans="1:13" ht="15.75" thickBot="1" x14ac:dyDescent="0.3">
      <c r="A40" s="316" t="s">
        <v>749</v>
      </c>
      <c r="B40" s="21" t="s">
        <v>750</v>
      </c>
      <c r="C40" s="7">
        <v>45992</v>
      </c>
      <c r="D40" s="483">
        <v>305.3</v>
      </c>
      <c r="E40" s="39">
        <v>6</v>
      </c>
      <c r="F40" s="39"/>
      <c r="G40" s="39"/>
      <c r="H40" s="8"/>
      <c r="I40" s="8"/>
      <c r="J40" s="38">
        <f t="shared" si="2"/>
        <v>311.3</v>
      </c>
    </row>
    <row r="41" spans="1:13" ht="15.75" thickBot="1" x14ac:dyDescent="0.3">
      <c r="A41" s="4"/>
      <c r="B41" s="40"/>
      <c r="C41" s="7"/>
      <c r="D41" s="39"/>
      <c r="E41" s="39"/>
      <c r="F41" s="39"/>
      <c r="G41" s="39"/>
      <c r="H41" s="8"/>
      <c r="I41" s="8"/>
      <c r="J41" s="38">
        <f t="shared" si="2"/>
        <v>0</v>
      </c>
      <c r="L41" s="53"/>
      <c r="M41" s="54"/>
    </row>
    <row r="42" spans="1:13" ht="15.75" thickBot="1" x14ac:dyDescent="0.3">
      <c r="A42" s="4" t="s">
        <v>9</v>
      </c>
      <c r="B42" s="43"/>
      <c r="C42" s="44"/>
      <c r="D42" s="45"/>
      <c r="E42" s="45"/>
      <c r="F42" s="45"/>
      <c r="G42" s="45"/>
      <c r="H42" s="45"/>
      <c r="I42" s="45"/>
      <c r="J42" s="12">
        <f>SUM(J38:J41)</f>
        <v>1066.4000000000001</v>
      </c>
    </row>
    <row r="43" spans="1:13" x14ac:dyDescent="0.25">
      <c r="A43" s="28"/>
      <c r="B43" s="46"/>
      <c r="C43" s="47"/>
      <c r="D43" s="48"/>
      <c r="E43" s="48"/>
      <c r="F43" s="48"/>
      <c r="G43" s="48"/>
      <c r="H43" s="48"/>
      <c r="I43" s="48"/>
      <c r="J43" s="49"/>
    </row>
    <row r="44" spans="1:13" x14ac:dyDescent="0.25">
      <c r="A44" s="28"/>
      <c r="B44" s="46"/>
      <c r="C44" s="47"/>
      <c r="D44" s="48"/>
      <c r="E44" s="48"/>
      <c r="F44" s="48"/>
      <c r="G44" s="48"/>
      <c r="H44" s="48"/>
      <c r="I44" s="48"/>
      <c r="J44" s="49"/>
    </row>
    <row r="45" spans="1:13" ht="15.75" thickBot="1" x14ac:dyDescent="0.3">
      <c r="A45" s="2"/>
      <c r="C45" s="2"/>
      <c r="J45" s="3"/>
    </row>
    <row r="46" spans="1:13" ht="45.75" thickBot="1" x14ac:dyDescent="0.3">
      <c r="A46" s="33" t="s">
        <v>22</v>
      </c>
      <c r="B46" s="4" t="s">
        <v>18</v>
      </c>
      <c r="C46" s="33" t="s">
        <v>14</v>
      </c>
      <c r="D46" s="33" t="s">
        <v>3</v>
      </c>
      <c r="E46" s="33" t="s">
        <v>4</v>
      </c>
      <c r="F46" s="33" t="s">
        <v>19</v>
      </c>
      <c r="G46" s="33" t="s">
        <v>20</v>
      </c>
      <c r="H46" s="4" t="s">
        <v>21</v>
      </c>
      <c r="I46" s="51" t="s">
        <v>711</v>
      </c>
      <c r="J46" s="34" t="s">
        <v>9</v>
      </c>
    </row>
    <row r="47" spans="1:13" ht="15.75" thickBot="1" x14ac:dyDescent="0.3">
      <c r="A47" s="564" t="s">
        <v>719</v>
      </c>
      <c r="B47" s="566" t="s">
        <v>720</v>
      </c>
      <c r="C47" s="21">
        <v>46023</v>
      </c>
      <c r="D47" s="37">
        <v>53</v>
      </c>
      <c r="E47" s="55">
        <v>65</v>
      </c>
      <c r="F47" s="37"/>
      <c r="G47" s="37"/>
      <c r="H47" s="37">
        <v>10</v>
      </c>
      <c r="I47" s="37"/>
      <c r="J47" s="38">
        <f>SUM(D47:I47)</f>
        <v>128</v>
      </c>
    </row>
    <row r="48" spans="1:13" ht="15.75" thickBot="1" x14ac:dyDescent="0.3">
      <c r="A48" s="565"/>
      <c r="B48" s="567"/>
      <c r="C48" s="21">
        <v>46054</v>
      </c>
      <c r="D48" s="37"/>
      <c r="E48" s="37"/>
      <c r="F48" s="37">
        <v>56</v>
      </c>
      <c r="G48" s="37">
        <v>5</v>
      </c>
      <c r="H48" s="37"/>
      <c r="I48" s="37"/>
      <c r="J48" s="38">
        <f t="shared" ref="J48:J69" si="3">SUM(D48:I48)</f>
        <v>61</v>
      </c>
    </row>
    <row r="49" spans="1:10" ht="15.75" thickBot="1" x14ac:dyDescent="0.3">
      <c r="A49" s="465" t="s">
        <v>721</v>
      </c>
      <c r="B49" s="21" t="s">
        <v>722</v>
      </c>
      <c r="C49" s="21">
        <v>46023</v>
      </c>
      <c r="D49" s="37">
        <v>823.1</v>
      </c>
      <c r="E49" s="37">
        <v>28.6</v>
      </c>
      <c r="F49" s="37">
        <v>60</v>
      </c>
      <c r="G49" s="37">
        <v>5</v>
      </c>
      <c r="H49" s="37">
        <v>10</v>
      </c>
      <c r="I49" s="37">
        <v>28.3</v>
      </c>
      <c r="J49" s="38">
        <f t="shared" si="3"/>
        <v>955</v>
      </c>
    </row>
    <row r="50" spans="1:10" ht="15.75" thickBot="1" x14ac:dyDescent="0.3">
      <c r="A50" s="40" t="s">
        <v>726</v>
      </c>
      <c r="B50" s="21" t="s">
        <v>727</v>
      </c>
      <c r="C50" s="21">
        <v>46023</v>
      </c>
      <c r="D50" s="37">
        <v>77.5</v>
      </c>
      <c r="E50" s="37">
        <v>201.6</v>
      </c>
      <c r="F50" s="37"/>
      <c r="G50" s="37"/>
      <c r="H50" s="37"/>
      <c r="I50" s="37">
        <v>28.3</v>
      </c>
      <c r="J50" s="38">
        <f t="shared" si="3"/>
        <v>307.40000000000003</v>
      </c>
    </row>
    <row r="51" spans="1:10" ht="15.75" thickBot="1" x14ac:dyDescent="0.3">
      <c r="A51" s="564" t="s">
        <v>728</v>
      </c>
      <c r="B51" s="566" t="s">
        <v>729</v>
      </c>
      <c r="C51" s="21">
        <v>45992</v>
      </c>
      <c r="D51" s="37">
        <v>56.2</v>
      </c>
      <c r="E51" s="37">
        <v>277.5</v>
      </c>
      <c r="F51" s="37"/>
      <c r="G51" s="37"/>
      <c r="H51" s="37"/>
      <c r="I51" s="37"/>
      <c r="J51" s="38">
        <f t="shared" si="3"/>
        <v>333.7</v>
      </c>
    </row>
    <row r="52" spans="1:10" ht="15.75" thickBot="1" x14ac:dyDescent="0.3">
      <c r="A52" s="565"/>
      <c r="B52" s="567"/>
      <c r="C52" s="21">
        <v>46023</v>
      </c>
      <c r="D52" s="37">
        <v>54.7</v>
      </c>
      <c r="E52" s="37">
        <v>221.6</v>
      </c>
      <c r="F52" s="37"/>
      <c r="G52" s="37"/>
      <c r="H52" s="37"/>
      <c r="I52" s="37"/>
      <c r="J52" s="38">
        <f t="shared" si="3"/>
        <v>276.3</v>
      </c>
    </row>
    <row r="53" spans="1:10" ht="15.75" thickBot="1" x14ac:dyDescent="0.3">
      <c r="A53" s="564" t="s">
        <v>730</v>
      </c>
      <c r="B53" s="566" t="s">
        <v>731</v>
      </c>
      <c r="C53" s="21">
        <v>45992</v>
      </c>
      <c r="D53" s="37">
        <v>4.5</v>
      </c>
      <c r="E53" s="37">
        <v>7</v>
      </c>
      <c r="F53" s="37">
        <v>60</v>
      </c>
      <c r="G53" s="37">
        <v>5</v>
      </c>
      <c r="H53" s="37"/>
      <c r="I53" s="37"/>
      <c r="J53" s="38">
        <f t="shared" si="3"/>
        <v>76.5</v>
      </c>
    </row>
    <row r="54" spans="1:10" ht="15.75" thickBot="1" x14ac:dyDescent="0.3">
      <c r="A54" s="565"/>
      <c r="B54" s="567"/>
      <c r="C54" s="21">
        <v>46023</v>
      </c>
      <c r="D54" s="37">
        <v>4.0999999999999996</v>
      </c>
      <c r="E54" s="37">
        <v>5.3</v>
      </c>
      <c r="F54" s="37"/>
      <c r="G54" s="37"/>
      <c r="H54" s="37">
        <v>10</v>
      </c>
      <c r="I54" s="37"/>
      <c r="J54" s="38">
        <f t="shared" si="3"/>
        <v>19.399999999999999</v>
      </c>
    </row>
    <row r="55" spans="1:10" ht="15.75" thickBot="1" x14ac:dyDescent="0.3">
      <c r="A55" s="465" t="s">
        <v>732</v>
      </c>
      <c r="B55" s="21" t="s">
        <v>734</v>
      </c>
      <c r="C55" s="21">
        <v>46023</v>
      </c>
      <c r="D55" s="37">
        <v>600</v>
      </c>
      <c r="E55" s="37"/>
      <c r="F55" s="37"/>
      <c r="G55" s="37"/>
      <c r="H55" s="37"/>
      <c r="I55" s="37"/>
      <c r="J55" s="38">
        <f t="shared" si="3"/>
        <v>600</v>
      </c>
    </row>
    <row r="56" spans="1:10" ht="15.75" thickBot="1" x14ac:dyDescent="0.3">
      <c r="A56" s="564" t="s">
        <v>743</v>
      </c>
      <c r="B56" s="566" t="s">
        <v>744</v>
      </c>
      <c r="C56" s="21">
        <v>45962</v>
      </c>
      <c r="D56" s="37">
        <v>564.6</v>
      </c>
      <c r="E56" s="37">
        <v>54</v>
      </c>
      <c r="F56" s="37"/>
      <c r="G56" s="37"/>
      <c r="H56" s="37"/>
      <c r="I56" s="37"/>
      <c r="J56" s="38">
        <f t="shared" si="3"/>
        <v>618.6</v>
      </c>
    </row>
    <row r="57" spans="1:10" ht="15.75" thickBot="1" x14ac:dyDescent="0.3">
      <c r="A57" s="594"/>
      <c r="B57" s="597"/>
      <c r="C57" s="21">
        <v>45992</v>
      </c>
      <c r="D57" s="37">
        <v>426.4</v>
      </c>
      <c r="E57" s="37">
        <v>54</v>
      </c>
      <c r="F57" s="37"/>
      <c r="G57" s="37"/>
      <c r="H57" s="37"/>
      <c r="I57" s="37"/>
      <c r="J57" s="38">
        <f t="shared" si="3"/>
        <v>480.4</v>
      </c>
    </row>
    <row r="58" spans="1:10" ht="15.75" thickBot="1" x14ac:dyDescent="0.3">
      <c r="A58" s="565"/>
      <c r="B58" s="567"/>
      <c r="C58" s="21">
        <v>46023</v>
      </c>
      <c r="D58" s="37">
        <v>688.8</v>
      </c>
      <c r="E58" s="484">
        <v>42</v>
      </c>
      <c r="F58" s="37"/>
      <c r="G58" s="37"/>
      <c r="H58" s="37">
        <v>10</v>
      </c>
      <c r="I58" s="37"/>
      <c r="J58" s="38">
        <f t="shared" si="3"/>
        <v>740.8</v>
      </c>
    </row>
    <row r="59" spans="1:10" ht="15.75" thickBot="1" x14ac:dyDescent="0.3">
      <c r="A59" s="564" t="s">
        <v>745</v>
      </c>
      <c r="B59" s="566" t="s">
        <v>746</v>
      </c>
      <c r="C59" s="21">
        <v>45962</v>
      </c>
      <c r="D59" s="37">
        <v>5</v>
      </c>
      <c r="E59" s="37">
        <v>6</v>
      </c>
      <c r="F59" s="37">
        <v>60</v>
      </c>
      <c r="G59" s="37">
        <v>5</v>
      </c>
      <c r="H59" s="37"/>
      <c r="I59" s="37"/>
      <c r="J59" s="38">
        <f t="shared" si="3"/>
        <v>76</v>
      </c>
    </row>
    <row r="60" spans="1:10" ht="15.75" thickBot="1" x14ac:dyDescent="0.3">
      <c r="A60" s="594"/>
      <c r="B60" s="597"/>
      <c r="C60" s="21">
        <v>45992</v>
      </c>
      <c r="D60" s="37">
        <v>86.3</v>
      </c>
      <c r="E60" s="484">
        <v>6</v>
      </c>
      <c r="F60" s="37">
        <v>60</v>
      </c>
      <c r="G60" s="37">
        <v>5</v>
      </c>
      <c r="H60" s="37"/>
      <c r="I60" s="37"/>
      <c r="J60" s="38">
        <f t="shared" si="3"/>
        <v>157.30000000000001</v>
      </c>
    </row>
    <row r="61" spans="1:10" ht="15.75" thickBot="1" x14ac:dyDescent="0.3">
      <c r="A61" s="565"/>
      <c r="B61" s="567"/>
      <c r="C61" s="21">
        <v>46023</v>
      </c>
      <c r="D61" s="37">
        <v>666.7</v>
      </c>
      <c r="E61" s="37"/>
      <c r="F61" s="37"/>
      <c r="G61" s="37"/>
      <c r="H61" s="37"/>
      <c r="I61" s="37"/>
      <c r="J61" s="38">
        <f t="shared" si="3"/>
        <v>666.7</v>
      </c>
    </row>
    <row r="62" spans="1:10" ht="15.75" thickBot="1" x14ac:dyDescent="0.3">
      <c r="A62" s="564" t="s">
        <v>747</v>
      </c>
      <c r="B62" s="566" t="s">
        <v>748</v>
      </c>
      <c r="C62" s="21">
        <v>45962</v>
      </c>
      <c r="D62" s="37">
        <v>5.9</v>
      </c>
      <c r="E62" s="37">
        <v>24.7</v>
      </c>
      <c r="F62" s="37"/>
      <c r="G62" s="37"/>
      <c r="H62" s="37"/>
      <c r="I62" s="37"/>
      <c r="J62" s="38">
        <f t="shared" si="3"/>
        <v>30.6</v>
      </c>
    </row>
    <row r="63" spans="1:10" ht="15.75" thickBot="1" x14ac:dyDescent="0.3">
      <c r="A63" s="594"/>
      <c r="B63" s="597"/>
      <c r="C63" s="21">
        <v>45992</v>
      </c>
      <c r="D63" s="37">
        <v>6.9</v>
      </c>
      <c r="E63" s="37">
        <v>22.9</v>
      </c>
      <c r="F63" s="37"/>
      <c r="G63" s="37"/>
      <c r="H63" s="37"/>
      <c r="I63" s="37"/>
      <c r="J63" s="38">
        <f t="shared" si="3"/>
        <v>29.799999999999997</v>
      </c>
    </row>
    <row r="64" spans="1:10" ht="15.75" thickBot="1" x14ac:dyDescent="0.3">
      <c r="A64" s="565"/>
      <c r="B64" s="567"/>
      <c r="C64" s="21">
        <v>46023</v>
      </c>
      <c r="D64" s="37">
        <v>5.5</v>
      </c>
      <c r="E64" s="37">
        <v>30.4</v>
      </c>
      <c r="F64" s="37"/>
      <c r="G64" s="37"/>
      <c r="H64" s="37"/>
      <c r="I64" s="37"/>
      <c r="J64" s="38">
        <f t="shared" si="3"/>
        <v>35.9</v>
      </c>
    </row>
    <row r="65" spans="1:10" ht="15.75" thickBot="1" x14ac:dyDescent="0.3">
      <c r="A65" s="564" t="s">
        <v>728</v>
      </c>
      <c r="B65" s="566" t="s">
        <v>753</v>
      </c>
      <c r="C65" s="21">
        <v>46023</v>
      </c>
      <c r="D65" s="37"/>
      <c r="E65" s="37"/>
      <c r="F65" s="37"/>
      <c r="G65" s="37"/>
      <c r="H65" s="37">
        <v>10</v>
      </c>
      <c r="I65" s="37"/>
      <c r="J65" s="38">
        <f t="shared" si="3"/>
        <v>10</v>
      </c>
    </row>
    <row r="66" spans="1:10" ht="15.75" thickBot="1" x14ac:dyDescent="0.3">
      <c r="A66" s="565"/>
      <c r="B66" s="567"/>
      <c r="C66" s="21">
        <v>46054</v>
      </c>
      <c r="D66" s="37"/>
      <c r="E66" s="37"/>
      <c r="F66" s="37">
        <v>56</v>
      </c>
      <c r="G66" s="37">
        <v>5</v>
      </c>
      <c r="H66" s="37"/>
      <c r="I66" s="37"/>
      <c r="J66" s="38">
        <f t="shared" si="3"/>
        <v>61</v>
      </c>
    </row>
    <row r="67" spans="1:10" ht="15.75" thickBot="1" x14ac:dyDescent="0.3">
      <c r="A67" s="466" t="s">
        <v>757</v>
      </c>
      <c r="B67" s="468" t="s">
        <v>758</v>
      </c>
      <c r="C67" s="21">
        <v>46023</v>
      </c>
      <c r="D67" s="37">
        <v>38.299999999999997</v>
      </c>
      <c r="E67" s="37">
        <v>5</v>
      </c>
      <c r="F67" s="37"/>
      <c r="G67" s="37"/>
      <c r="H67" s="37"/>
      <c r="I67" s="37"/>
      <c r="J67" s="38">
        <f t="shared" si="3"/>
        <v>43.3</v>
      </c>
    </row>
    <row r="68" spans="1:10" ht="15.75" thickBot="1" x14ac:dyDescent="0.3">
      <c r="A68" s="40"/>
      <c r="B68" s="21"/>
      <c r="C68" s="21"/>
      <c r="D68" s="37"/>
      <c r="E68" s="37"/>
      <c r="F68" s="37"/>
      <c r="G68" s="37"/>
      <c r="H68" s="37"/>
      <c r="I68" s="37"/>
      <c r="J68" s="38">
        <f t="shared" si="3"/>
        <v>0</v>
      </c>
    </row>
    <row r="69" spans="1:10" ht="15.75" thickBot="1" x14ac:dyDescent="0.3">
      <c r="A69" s="40"/>
      <c r="B69" s="21"/>
      <c r="C69" s="21"/>
      <c r="D69" s="57"/>
      <c r="E69" s="57"/>
      <c r="F69" s="57"/>
      <c r="G69" s="57"/>
      <c r="H69" s="57"/>
      <c r="I69" s="57"/>
      <c r="J69" s="38">
        <f t="shared" si="3"/>
        <v>0</v>
      </c>
    </row>
    <row r="70" spans="1:10" ht="19.5" thickBot="1" x14ac:dyDescent="0.35">
      <c r="A70" s="23" t="s">
        <v>9</v>
      </c>
      <c r="B70" s="4"/>
      <c r="C70" s="24"/>
      <c r="D70" s="25">
        <f t="shared" ref="D70:I70" si="4">SUM(D47:D69)</f>
        <v>4167.4999999999991</v>
      </c>
      <c r="E70" s="25">
        <f t="shared" si="4"/>
        <v>1051.6000000000001</v>
      </c>
      <c r="F70" s="25">
        <f t="shared" si="4"/>
        <v>352</v>
      </c>
      <c r="G70" s="25">
        <f t="shared" si="4"/>
        <v>30</v>
      </c>
      <c r="H70" s="25">
        <f t="shared" si="4"/>
        <v>50</v>
      </c>
      <c r="I70" s="25">
        <f t="shared" si="4"/>
        <v>56.6</v>
      </c>
      <c r="J70" s="25">
        <f>SUM(J47:J69)</f>
        <v>5707.7000000000007</v>
      </c>
    </row>
    <row r="71" spans="1:10" ht="15.75" x14ac:dyDescent="0.25">
      <c r="A71" s="58"/>
      <c r="B71" s="58"/>
      <c r="C71" s="59"/>
      <c r="D71" s="60"/>
      <c r="E71" s="60"/>
      <c r="F71" s="60"/>
      <c r="G71" s="60"/>
      <c r="H71" s="60"/>
      <c r="I71" s="60"/>
      <c r="J71" s="60"/>
    </row>
    <row r="72" spans="1:10" ht="16.5" thickBot="1" x14ac:dyDescent="0.3">
      <c r="A72" s="58"/>
      <c r="B72" s="58"/>
      <c r="C72" s="59"/>
      <c r="D72" s="60"/>
      <c r="E72" s="60"/>
      <c r="F72" s="60"/>
      <c r="G72" s="60"/>
      <c r="H72" s="60"/>
      <c r="I72" s="60"/>
      <c r="J72" s="60"/>
    </row>
    <row r="73" spans="1:10" ht="19.5" thickBot="1" x14ac:dyDescent="0.35">
      <c r="A73" s="554" t="s">
        <v>23</v>
      </c>
      <c r="B73" s="555"/>
      <c r="C73" s="61"/>
      <c r="D73" s="62"/>
      <c r="E73" s="62"/>
      <c r="F73" s="62"/>
      <c r="G73" s="62"/>
      <c r="H73" s="62"/>
      <c r="I73" s="62"/>
      <c r="J73" s="26">
        <f>+J22+J70</f>
        <v>6955.7000000000007</v>
      </c>
    </row>
    <row r="74" spans="1:10" x14ac:dyDescent="0.25">
      <c r="A74" s="2"/>
      <c r="C74" s="63"/>
      <c r="D74" s="3"/>
      <c r="E74" s="3"/>
      <c r="F74" s="3"/>
      <c r="G74" s="3"/>
      <c r="H74" s="3"/>
      <c r="I74" s="3"/>
      <c r="J74" s="3"/>
    </row>
    <row r="75" spans="1:10" x14ac:dyDescent="0.25">
      <c r="A75" s="2"/>
      <c r="C75" s="63"/>
      <c r="D75" s="3"/>
      <c r="E75" s="3"/>
      <c r="F75" s="3"/>
      <c r="G75" s="3"/>
      <c r="H75" s="3"/>
      <c r="I75" s="3"/>
      <c r="J75" s="3"/>
    </row>
    <row r="76" spans="1:10" ht="16.5" thickBot="1" x14ac:dyDescent="0.3">
      <c r="A76" s="64" t="s">
        <v>24</v>
      </c>
      <c r="C76" s="63"/>
      <c r="D76" s="3"/>
      <c r="E76" s="3"/>
      <c r="F76" s="3"/>
      <c r="G76" s="3"/>
      <c r="H76" s="3"/>
      <c r="I76" s="3"/>
      <c r="J76" s="3"/>
    </row>
    <row r="77" spans="1:10" ht="19.5" thickBot="1" x14ac:dyDescent="0.35">
      <c r="A77" s="65" t="s">
        <v>25</v>
      </c>
      <c r="B77" s="66"/>
      <c r="C77" s="67"/>
      <c r="D77" s="68"/>
      <c r="E77" s="68"/>
      <c r="F77" s="68"/>
      <c r="G77" s="68"/>
      <c r="H77" s="68"/>
      <c r="I77" s="68"/>
      <c r="J77" s="26"/>
    </row>
    <row r="78" spans="1:10" ht="19.5" thickBot="1" x14ac:dyDescent="0.35">
      <c r="A78" s="65" t="s">
        <v>26</v>
      </c>
      <c r="B78" s="66"/>
      <c r="C78" s="69"/>
      <c r="D78" s="68"/>
      <c r="E78" s="68"/>
      <c r="F78" s="68"/>
      <c r="G78" s="68"/>
      <c r="H78" s="68"/>
      <c r="I78" s="68"/>
      <c r="J78" s="26"/>
    </row>
    <row r="79" spans="1:10" ht="18.75" x14ac:dyDescent="0.3">
      <c r="A79" s="70"/>
      <c r="B79" s="70"/>
      <c r="C79" s="71"/>
      <c r="D79" s="72"/>
      <c r="E79" s="72"/>
      <c r="F79" s="72"/>
      <c r="G79" s="72"/>
      <c r="H79" s="72"/>
      <c r="I79" s="72"/>
      <c r="J79" s="30"/>
    </row>
    <row r="80" spans="1:10" ht="18.75" x14ac:dyDescent="0.3">
      <c r="A80" s="70"/>
      <c r="B80" s="70"/>
      <c r="C80" s="71"/>
      <c r="D80" s="72"/>
      <c r="E80" s="72"/>
      <c r="F80" s="72"/>
      <c r="G80" s="72"/>
      <c r="H80" s="72"/>
      <c r="I80" s="72"/>
      <c r="J80" s="30"/>
    </row>
    <row r="81" spans="1:10" ht="16.5" thickBot="1" x14ac:dyDescent="0.3">
      <c r="A81" s="73" t="s">
        <v>27</v>
      </c>
      <c r="B81" s="74"/>
      <c r="C81" s="63"/>
      <c r="D81" s="3"/>
      <c r="E81" s="3"/>
      <c r="F81" s="3"/>
      <c r="G81" s="3"/>
      <c r="H81" s="3"/>
      <c r="I81" s="3"/>
      <c r="J81" s="3"/>
    </row>
    <row r="82" spans="1:10" ht="19.5" thickBot="1" x14ac:dyDescent="0.35">
      <c r="A82" s="75" t="s">
        <v>28</v>
      </c>
      <c r="B82" s="76"/>
      <c r="C82" s="77"/>
      <c r="D82" s="78"/>
      <c r="E82" s="78"/>
      <c r="F82" s="78"/>
      <c r="G82" s="78"/>
      <c r="H82" s="78"/>
      <c r="I82" s="78"/>
      <c r="J82" s="79">
        <v>319</v>
      </c>
    </row>
    <row r="83" spans="1:10" x14ac:dyDescent="0.25">
      <c r="A83" s="80"/>
      <c r="C83" s="63"/>
      <c r="D83" s="3"/>
      <c r="E83" s="3"/>
      <c r="F83" s="3"/>
      <c r="G83" s="3"/>
      <c r="H83" s="3"/>
      <c r="I83" s="3"/>
      <c r="J83" s="3"/>
    </row>
    <row r="84" spans="1:10" ht="16.5" thickBot="1" x14ac:dyDescent="0.3">
      <c r="A84" s="73"/>
      <c r="B84" s="74"/>
      <c r="C84" s="63"/>
      <c r="D84" s="3"/>
      <c r="E84" s="3"/>
      <c r="F84" s="3"/>
      <c r="G84" s="3"/>
      <c r="H84" s="3"/>
      <c r="I84" s="3"/>
      <c r="J84" s="3"/>
    </row>
    <row r="85" spans="1:10" ht="19.5" thickBot="1" x14ac:dyDescent="0.35">
      <c r="A85" s="75" t="s">
        <v>29</v>
      </c>
      <c r="B85" s="76"/>
      <c r="C85" s="81"/>
      <c r="D85" s="78"/>
      <c r="E85" s="78"/>
      <c r="F85" s="78"/>
      <c r="G85" s="78"/>
      <c r="H85" s="78"/>
      <c r="I85" s="78"/>
      <c r="J85" s="82"/>
    </row>
    <row r="86" spans="1:10" ht="15.75" thickBot="1" x14ac:dyDescent="0.3">
      <c r="A86" s="80"/>
      <c r="C86" s="63"/>
      <c r="D86" s="3"/>
      <c r="E86" s="3"/>
      <c r="F86" s="3"/>
      <c r="G86" s="3"/>
      <c r="H86" s="3"/>
      <c r="I86" s="3"/>
      <c r="J86" s="3"/>
    </row>
    <row r="87" spans="1:10" ht="21.75" thickBot="1" x14ac:dyDescent="0.4">
      <c r="A87" s="556" t="s">
        <v>30</v>
      </c>
      <c r="B87" s="557"/>
      <c r="C87" s="83"/>
      <c r="D87" s="84"/>
      <c r="E87" s="84"/>
      <c r="F87" s="84"/>
      <c r="G87" s="84"/>
      <c r="H87" s="84"/>
      <c r="I87" s="84"/>
      <c r="J87" s="85">
        <f>SUM(J73:J86)</f>
        <v>7274.7000000000007</v>
      </c>
    </row>
    <row r="88" spans="1:10" x14ac:dyDescent="0.25">
      <c r="A88" s="2"/>
      <c r="C88" s="63"/>
      <c r="D88" s="3"/>
      <c r="E88" s="3"/>
      <c r="F88" s="3"/>
      <c r="G88" s="3"/>
      <c r="H88" s="3"/>
      <c r="I88" s="3"/>
      <c r="J88" s="3"/>
    </row>
    <row r="89" spans="1:10" ht="21" x14ac:dyDescent="0.35">
      <c r="A89" s="553" t="s">
        <v>718</v>
      </c>
      <c r="B89" s="553"/>
      <c r="C89" s="553"/>
      <c r="D89" s="553"/>
      <c r="E89" s="553"/>
      <c r="F89" s="553"/>
      <c r="G89" s="553"/>
      <c r="H89" s="553"/>
      <c r="I89" s="553"/>
      <c r="J89" s="553"/>
    </row>
    <row r="90" spans="1:10" ht="21.75" thickBot="1" x14ac:dyDescent="0.4">
      <c r="A90" s="464" t="s">
        <v>31</v>
      </c>
      <c r="B90" s="464"/>
      <c r="C90" s="464"/>
      <c r="D90" s="464"/>
      <c r="E90" s="464"/>
      <c r="F90" s="464"/>
      <c r="G90" s="464"/>
      <c r="H90" s="464"/>
      <c r="I90" s="464"/>
      <c r="J90" s="87"/>
    </row>
    <row r="91" spans="1:10" ht="15.75" thickBot="1" x14ac:dyDescent="0.3">
      <c r="A91" s="88" t="s">
        <v>32</v>
      </c>
      <c r="B91" s="89" t="s">
        <v>33</v>
      </c>
      <c r="C91" s="558" t="s">
        <v>2</v>
      </c>
      <c r="D91" s="559"/>
      <c r="E91" s="559"/>
      <c r="F91" s="559"/>
      <c r="G91" s="559"/>
      <c r="H91" s="559"/>
      <c r="I91" s="560"/>
      <c r="J91" s="90" t="s">
        <v>9</v>
      </c>
    </row>
    <row r="92" spans="1:10" ht="15.75" thickBot="1" x14ac:dyDescent="0.3">
      <c r="A92" s="91" t="s">
        <v>723</v>
      </c>
      <c r="B92" s="92" t="s">
        <v>724</v>
      </c>
      <c r="C92" s="550" t="s">
        <v>725</v>
      </c>
      <c r="D92" s="551"/>
      <c r="E92" s="551"/>
      <c r="F92" s="551"/>
      <c r="G92" s="551"/>
      <c r="H92" s="551"/>
      <c r="I92" s="551"/>
      <c r="J92" s="22">
        <v>80</v>
      </c>
    </row>
    <row r="93" spans="1:10" ht="15.75" thickBot="1" x14ac:dyDescent="0.3">
      <c r="A93" s="40"/>
      <c r="B93" s="92"/>
      <c r="C93" s="550"/>
      <c r="D93" s="551"/>
      <c r="E93" s="551"/>
      <c r="F93" s="551"/>
      <c r="G93" s="551"/>
      <c r="H93" s="552"/>
      <c r="I93" s="552"/>
      <c r="J93" s="22"/>
    </row>
    <row r="94" spans="1:10" ht="15.75" thickBot="1" x14ac:dyDescent="0.3">
      <c r="A94" s="40"/>
      <c r="B94" s="92"/>
      <c r="C94" s="561"/>
      <c r="D94" s="562"/>
      <c r="E94" s="562"/>
      <c r="F94" s="562"/>
      <c r="G94" s="562"/>
      <c r="H94" s="562"/>
      <c r="I94" s="562"/>
      <c r="J94" s="93"/>
    </row>
    <row r="95" spans="1:10" ht="15.75" thickBot="1" x14ac:dyDescent="0.3">
      <c r="A95" s="40"/>
      <c r="B95" s="92"/>
      <c r="C95" s="550"/>
      <c r="D95" s="551"/>
      <c r="E95" s="551"/>
      <c r="F95" s="551"/>
      <c r="G95" s="551"/>
      <c r="H95" s="552"/>
      <c r="I95" s="552"/>
      <c r="J95" s="22"/>
    </row>
    <row r="96" spans="1:10" ht="15.75" thickBot="1" x14ac:dyDescent="0.3">
      <c r="A96" s="40"/>
      <c r="B96" s="92"/>
      <c r="C96" s="550"/>
      <c r="D96" s="551"/>
      <c r="E96" s="551"/>
      <c r="F96" s="551"/>
      <c r="G96" s="551"/>
      <c r="H96" s="552"/>
      <c r="I96" s="552"/>
      <c r="J96" s="22"/>
    </row>
    <row r="97" spans="1:10" ht="15.75" thickBot="1" x14ac:dyDescent="0.3">
      <c r="A97" s="40"/>
      <c r="B97" s="92"/>
      <c r="C97" s="550"/>
      <c r="D97" s="551"/>
      <c r="E97" s="551"/>
      <c r="F97" s="551"/>
      <c r="G97" s="551"/>
      <c r="H97" s="552"/>
      <c r="I97" s="552"/>
      <c r="J97" s="22"/>
    </row>
    <row r="98" spans="1:10" ht="15.75" thickBot="1" x14ac:dyDescent="0.3">
      <c r="A98" s="40"/>
      <c r="B98" s="92"/>
      <c r="C98" s="550"/>
      <c r="D98" s="551"/>
      <c r="E98" s="551"/>
      <c r="F98" s="551"/>
      <c r="G98" s="551"/>
      <c r="H98" s="552"/>
      <c r="I98" s="552"/>
      <c r="J98" s="22"/>
    </row>
    <row r="99" spans="1:10" ht="15.75" thickBot="1" x14ac:dyDescent="0.3">
      <c r="A99" s="40"/>
      <c r="B99" s="92"/>
      <c r="C99" s="550"/>
      <c r="D99" s="551"/>
      <c r="E99" s="551"/>
      <c r="F99" s="551"/>
      <c r="G99" s="551"/>
      <c r="H99" s="552"/>
      <c r="I99" s="552"/>
      <c r="J99" s="22"/>
    </row>
    <row r="100" spans="1:10" ht="15.75" thickBot="1" x14ac:dyDescent="0.3">
      <c r="A100" s="40"/>
      <c r="B100" s="92"/>
      <c r="C100" s="550"/>
      <c r="D100" s="551"/>
      <c r="E100" s="551"/>
      <c r="F100" s="551"/>
      <c r="G100" s="551"/>
      <c r="H100" s="552"/>
      <c r="I100" s="552"/>
      <c r="J100" s="37"/>
    </row>
    <row r="101" spans="1:10" ht="15.75" thickBot="1" x14ac:dyDescent="0.3">
      <c r="A101" s="40"/>
      <c r="B101" s="92"/>
      <c r="C101" s="550"/>
      <c r="D101" s="551"/>
      <c r="E101" s="551"/>
      <c r="F101" s="551"/>
      <c r="G101" s="551"/>
      <c r="H101" s="552"/>
      <c r="I101" s="552"/>
      <c r="J101" s="37"/>
    </row>
    <row r="102" spans="1:10" ht="15.75" thickBot="1" x14ac:dyDescent="0.3">
      <c r="A102" s="40"/>
      <c r="B102" s="92"/>
      <c r="C102" s="550"/>
      <c r="D102" s="551"/>
      <c r="E102" s="551"/>
      <c r="F102" s="551"/>
      <c r="G102" s="551"/>
      <c r="H102" s="552"/>
      <c r="I102" s="552"/>
      <c r="J102" s="37"/>
    </row>
    <row r="103" spans="1:10" ht="15.75" thickBot="1" x14ac:dyDescent="0.3">
      <c r="A103" s="40"/>
      <c r="B103" s="92"/>
      <c r="C103" s="550"/>
      <c r="D103" s="551"/>
      <c r="E103" s="551"/>
      <c r="F103" s="551"/>
      <c r="G103" s="551"/>
      <c r="H103" s="552"/>
      <c r="I103" s="552"/>
      <c r="J103" s="37"/>
    </row>
    <row r="104" spans="1:10" ht="15.75" thickBot="1" x14ac:dyDescent="0.3">
      <c r="A104" s="40"/>
      <c r="B104" s="92"/>
      <c r="C104" s="550"/>
      <c r="D104" s="551"/>
      <c r="E104" s="551"/>
      <c r="F104" s="551"/>
      <c r="G104" s="551"/>
      <c r="H104" s="552"/>
      <c r="I104" s="552"/>
      <c r="J104" s="37"/>
    </row>
    <row r="105" spans="1:10" ht="19.5" thickBot="1" x14ac:dyDescent="0.35">
      <c r="A105" s="94" t="s">
        <v>34</v>
      </c>
      <c r="B105" s="554"/>
      <c r="C105" s="563"/>
      <c r="D105" s="563"/>
      <c r="E105" s="563"/>
      <c r="F105" s="563"/>
      <c r="G105" s="563"/>
      <c r="H105" s="563"/>
      <c r="I105" s="563"/>
      <c r="J105" s="95">
        <f>SUM(J92:J104)</f>
        <v>80</v>
      </c>
    </row>
    <row r="106" spans="1:10" ht="18.75" x14ac:dyDescent="0.3">
      <c r="A106" s="27"/>
      <c r="B106" s="27"/>
      <c r="C106" s="96"/>
      <c r="D106" s="96"/>
      <c r="E106" s="96"/>
      <c r="F106" s="97"/>
      <c r="G106" s="96"/>
      <c r="H106" s="96"/>
      <c r="I106" s="96"/>
      <c r="J106" s="30"/>
    </row>
    <row r="107" spans="1:10" ht="18.75" x14ac:dyDescent="0.3">
      <c r="A107" s="27"/>
      <c r="B107" s="27"/>
      <c r="C107" s="96"/>
      <c r="D107" s="96"/>
      <c r="E107" s="96"/>
      <c r="F107" s="97"/>
      <c r="G107" s="96"/>
      <c r="H107" s="96"/>
      <c r="I107" s="96"/>
      <c r="J107" s="30"/>
    </row>
    <row r="108" spans="1:10" ht="18.75" x14ac:dyDescent="0.3">
      <c r="A108" s="58" t="s">
        <v>35</v>
      </c>
      <c r="B108" s="27"/>
      <c r="C108" s="2"/>
      <c r="D108" s="3"/>
      <c r="F108" s="3"/>
      <c r="J108" s="3"/>
    </row>
    <row r="109" spans="1:10" x14ac:dyDescent="0.25">
      <c r="A109" s="2" t="s">
        <v>36</v>
      </c>
      <c r="B109" s="63">
        <f>+J87</f>
        <v>7274.7000000000007</v>
      </c>
      <c r="C109" s="98"/>
      <c r="D109" s="3"/>
      <c r="F109" s="3"/>
      <c r="J109" s="3"/>
    </row>
    <row r="110" spans="1:10" ht="15.75" thickBot="1" x14ac:dyDescent="0.3">
      <c r="A110" s="2" t="s">
        <v>34</v>
      </c>
      <c r="B110" s="99">
        <f>+J105</f>
        <v>80</v>
      </c>
      <c r="C110" s="100"/>
      <c r="D110" s="3"/>
      <c r="F110" s="3"/>
      <c r="G110" s="101"/>
      <c r="H110" s="101"/>
      <c r="I110" s="102"/>
      <c r="J110" s="102"/>
    </row>
    <row r="111" spans="1:10" ht="17.25" thickTop="1" thickBot="1" x14ac:dyDescent="0.3">
      <c r="A111" s="58" t="s">
        <v>37</v>
      </c>
      <c r="B111" s="103">
        <f>++B109-B110</f>
        <v>7194.7000000000007</v>
      </c>
      <c r="C111" s="104"/>
      <c r="D111" s="105"/>
      <c r="E111" s="106"/>
      <c r="F111" s="105"/>
      <c r="G111" s="107"/>
      <c r="H111" s="107"/>
      <c r="I111" s="3"/>
    </row>
    <row r="112" spans="1:10" ht="15.75" thickTop="1" x14ac:dyDescent="0.25"/>
  </sheetData>
  <mergeCells count="35">
    <mergeCell ref="C103:I103"/>
    <mergeCell ref="C96:I96"/>
    <mergeCell ref="C97:I97"/>
    <mergeCell ref="A26:A30"/>
    <mergeCell ref="B56:B58"/>
    <mergeCell ref="A62:A64"/>
    <mergeCell ref="B65:B66"/>
    <mergeCell ref="A65:A66"/>
    <mergeCell ref="C92:I92"/>
    <mergeCell ref="B27:B30"/>
    <mergeCell ref="C93:I93"/>
    <mergeCell ref="C94:I94"/>
    <mergeCell ref="C95:I95"/>
    <mergeCell ref="A1:J1"/>
    <mergeCell ref="A73:B73"/>
    <mergeCell ref="A87:B87"/>
    <mergeCell ref="A89:J89"/>
    <mergeCell ref="C91:I91"/>
    <mergeCell ref="A56:A58"/>
    <mergeCell ref="B105:I105"/>
    <mergeCell ref="B47:B48"/>
    <mergeCell ref="A47:A48"/>
    <mergeCell ref="B51:B52"/>
    <mergeCell ref="A51:A52"/>
    <mergeCell ref="B53:B54"/>
    <mergeCell ref="A53:A54"/>
    <mergeCell ref="B59:B61"/>
    <mergeCell ref="A59:A61"/>
    <mergeCell ref="B62:B64"/>
    <mergeCell ref="C99:I99"/>
    <mergeCell ref="C100:I100"/>
    <mergeCell ref="C101:I101"/>
    <mergeCell ref="C104:I104"/>
    <mergeCell ref="C98:I98"/>
    <mergeCell ref="C102:I102"/>
  </mergeCells>
  <phoneticPr fontId="13" type="noConversion"/>
  <pageMargins left="0.17" right="0.17" top="1.81" bottom="0.17" header="0.17" footer="0.17"/>
  <pageSetup paperSize="9" scale="24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9969-4556-49FB-B8EC-5AEDFB261761}">
  <sheetPr>
    <pageSetUpPr fitToPage="1"/>
  </sheetPr>
  <dimension ref="A1:M99"/>
  <sheetViews>
    <sheetView topLeftCell="A58" workbookViewId="0">
      <selection activeCell="J27" sqref="J27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0" max="10" width="14" bestFit="1" customWidth="1"/>
  </cols>
  <sheetData>
    <row r="1" spans="1:10" ht="21" x14ac:dyDescent="0.35">
      <c r="A1" s="553" t="s">
        <v>760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358</v>
      </c>
      <c r="B4" s="494" t="s">
        <v>764</v>
      </c>
      <c r="C4" s="494">
        <v>46054</v>
      </c>
      <c r="D4" s="8"/>
      <c r="E4" s="8"/>
      <c r="F4" s="8"/>
      <c r="G4" s="8"/>
      <c r="H4" s="8"/>
      <c r="I4" s="8">
        <v>10</v>
      </c>
      <c r="J4" s="5">
        <f>SUM(D4:I4)</f>
        <v>10</v>
      </c>
    </row>
    <row r="5" spans="1:10" ht="15.75" thickBot="1" x14ac:dyDescent="0.3">
      <c r="A5" s="6" t="s">
        <v>567</v>
      </c>
      <c r="B5" s="494" t="s">
        <v>769</v>
      </c>
      <c r="C5" s="494">
        <v>46054</v>
      </c>
      <c r="D5" s="8"/>
      <c r="E5" s="8"/>
      <c r="F5" s="8"/>
      <c r="G5" s="8"/>
      <c r="H5" s="8"/>
      <c r="I5" s="8">
        <v>10</v>
      </c>
      <c r="J5" s="5">
        <f t="shared" ref="J5:J21" si="0">SUM(D5:I5)</f>
        <v>10</v>
      </c>
    </row>
    <row r="6" spans="1:10" ht="15.75" thickBot="1" x14ac:dyDescent="0.3">
      <c r="A6" s="6" t="s">
        <v>7</v>
      </c>
      <c r="B6" s="6" t="s">
        <v>780</v>
      </c>
      <c r="C6" s="494">
        <v>46054</v>
      </c>
      <c r="D6" s="8"/>
      <c r="E6" s="8"/>
      <c r="F6" s="8"/>
      <c r="G6" s="8"/>
      <c r="H6" s="8">
        <v>55.2</v>
      </c>
      <c r="I6" s="8"/>
      <c r="J6" s="5">
        <f t="shared" si="0"/>
        <v>55.2</v>
      </c>
    </row>
    <row r="7" spans="1:10" ht="15.75" thickBot="1" x14ac:dyDescent="0.3">
      <c r="A7" s="6"/>
      <c r="B7" s="6"/>
      <c r="C7" s="7"/>
      <c r="D7" s="8"/>
      <c r="E7" s="8"/>
      <c r="F7" s="8"/>
      <c r="G7" s="8"/>
      <c r="H7" s="8"/>
      <c r="I7" s="8"/>
      <c r="J7" s="5">
        <f t="shared" si="0"/>
        <v>0</v>
      </c>
    </row>
    <row r="8" spans="1:10" ht="15.75" thickBot="1" x14ac:dyDescent="0.3">
      <c r="A8" s="6"/>
      <c r="B8" s="6"/>
      <c r="C8" s="7"/>
      <c r="D8" s="8"/>
      <c r="E8" s="8"/>
      <c r="F8" s="8"/>
      <c r="G8" s="8"/>
      <c r="H8" s="8"/>
      <c r="I8" s="8"/>
      <c r="J8" s="5">
        <f t="shared" si="0"/>
        <v>0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480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480"/>
      <c r="B12" s="477"/>
      <c r="C12" s="7"/>
      <c r="D12" s="8"/>
      <c r="E12" s="8"/>
      <c r="F12" s="8"/>
      <c r="G12" s="8"/>
      <c r="H12" s="8"/>
      <c r="I12" s="11"/>
      <c r="J12" s="12">
        <f t="shared" si="0"/>
        <v>0</v>
      </c>
    </row>
    <row r="13" spans="1:10" ht="15.75" thickBot="1" x14ac:dyDescent="0.3">
      <c r="A13" s="6"/>
      <c r="B13" s="6"/>
      <c r="C13" s="7"/>
      <c r="D13" s="8"/>
      <c r="E13" s="8"/>
      <c r="F13" s="8"/>
      <c r="G13" s="8"/>
      <c r="H13" s="8"/>
      <c r="I13" s="8"/>
      <c r="J13" s="5">
        <f t="shared" si="0"/>
        <v>0</v>
      </c>
    </row>
    <row r="14" spans="1:10" ht="15.75" thickBot="1" x14ac:dyDescent="0.3">
      <c r="A14" s="13"/>
      <c r="B14" s="478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5"/>
      <c r="B15" s="13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476"/>
      <c r="B16" s="476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17"/>
      <c r="B17" s="476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476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8"/>
      <c r="B19" s="476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479"/>
      <c r="B20" s="479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476"/>
      <c r="B21" s="475"/>
      <c r="C21" s="21"/>
      <c r="D21" s="22"/>
      <c r="E21" s="22"/>
      <c r="F21" s="22"/>
      <c r="G21" s="22"/>
      <c r="H21" s="22"/>
      <c r="I21" s="22"/>
      <c r="J21" s="5">
        <f t="shared" si="0"/>
        <v>0</v>
      </c>
    </row>
    <row r="22" spans="1:13" ht="19.5" thickBot="1" x14ac:dyDescent="0.35">
      <c r="A22" s="23" t="s">
        <v>9</v>
      </c>
      <c r="B22" s="4"/>
      <c r="C22" s="24"/>
      <c r="D22" s="25">
        <f t="shared" ref="D22:I22" si="1">SUM(D4:D21)</f>
        <v>0</v>
      </c>
      <c r="E22" s="25">
        <f t="shared" si="1"/>
        <v>0</v>
      </c>
      <c r="F22" s="25">
        <f t="shared" si="1"/>
        <v>0</v>
      </c>
      <c r="G22" s="25">
        <f t="shared" si="1"/>
        <v>0</v>
      </c>
      <c r="H22" s="25">
        <f t="shared" si="1"/>
        <v>55.2</v>
      </c>
      <c r="I22" s="25">
        <f t="shared" si="1"/>
        <v>20</v>
      </c>
      <c r="J22" s="26">
        <f>SUM(J4:J21)</f>
        <v>75.2</v>
      </c>
    </row>
    <row r="23" spans="1:13" ht="19.5" thickBot="1" x14ac:dyDescent="0.35">
      <c r="A23" s="27"/>
      <c r="B23" s="28"/>
      <c r="C23" s="29"/>
      <c r="D23" s="30"/>
      <c r="E23" s="30"/>
      <c r="F23" s="30"/>
      <c r="G23" s="30"/>
      <c r="H23" s="30"/>
      <c r="I23" s="30"/>
      <c r="J23" s="30"/>
    </row>
    <row r="24" spans="1:13" ht="24" thickBot="1" x14ac:dyDescent="0.4">
      <c r="A24" s="31" t="s">
        <v>12</v>
      </c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15.75" thickBot="1" x14ac:dyDescent="0.3">
      <c r="A25" s="32" t="s">
        <v>13</v>
      </c>
      <c r="B25" s="4" t="s">
        <v>1</v>
      </c>
      <c r="C25" s="33" t="s">
        <v>14</v>
      </c>
      <c r="D25" s="33" t="s">
        <v>3</v>
      </c>
      <c r="E25" s="33" t="s">
        <v>4</v>
      </c>
      <c r="F25" s="4" t="s">
        <v>5</v>
      </c>
      <c r="G25" s="4" t="s">
        <v>6</v>
      </c>
      <c r="H25" s="4" t="s">
        <v>15</v>
      </c>
      <c r="I25" s="4" t="s">
        <v>8</v>
      </c>
      <c r="J25" s="34" t="s">
        <v>9</v>
      </c>
    </row>
    <row r="26" spans="1:13" ht="15.75" thickBot="1" x14ac:dyDescent="0.3">
      <c r="A26" s="479"/>
      <c r="B26" s="21"/>
      <c r="C26" s="21"/>
      <c r="D26" s="35"/>
      <c r="E26" s="36"/>
      <c r="F26" s="35"/>
      <c r="G26" s="35"/>
      <c r="H26" s="37"/>
      <c r="I26" s="37"/>
      <c r="J26" s="38">
        <f>SUM(D26:I26)</f>
        <v>0</v>
      </c>
    </row>
    <row r="27" spans="1:13" ht="15.75" thickBot="1" x14ac:dyDescent="0.3">
      <c r="A27" s="479"/>
      <c r="B27" s="21"/>
      <c r="C27" s="21"/>
      <c r="D27" s="35"/>
      <c r="E27" s="35"/>
      <c r="F27" s="35"/>
      <c r="G27" s="35"/>
      <c r="H27" s="37"/>
      <c r="I27" s="37"/>
      <c r="J27" s="38">
        <f t="shared" ref="J27:J29" si="2">SUM(D27:I27)</f>
        <v>0</v>
      </c>
    </row>
    <row r="28" spans="1:13" ht="15.75" thickBot="1" x14ac:dyDescent="0.3">
      <c r="A28" s="479"/>
      <c r="B28" s="476"/>
      <c r="C28" s="7"/>
      <c r="D28" s="39"/>
      <c r="E28" s="39"/>
      <c r="F28" s="39"/>
      <c r="G28" s="39"/>
      <c r="H28" s="8"/>
      <c r="I28" s="8"/>
      <c r="J28" s="38">
        <f t="shared" si="2"/>
        <v>0</v>
      </c>
    </row>
    <row r="29" spans="1:13" ht="15.75" thickBot="1" x14ac:dyDescent="0.3">
      <c r="A29" s="4"/>
      <c r="B29" s="40"/>
      <c r="C29" s="7"/>
      <c r="D29" s="39"/>
      <c r="E29" s="39"/>
      <c r="F29" s="39"/>
      <c r="G29" s="39"/>
      <c r="H29" s="8"/>
      <c r="I29" s="8"/>
      <c r="J29" s="38">
        <f t="shared" si="2"/>
        <v>0</v>
      </c>
      <c r="L29" s="41" t="s">
        <v>16</v>
      </c>
      <c r="M29" s="42">
        <f>J30+J38</f>
        <v>230</v>
      </c>
    </row>
    <row r="30" spans="1:13" ht="15.75" thickBot="1" x14ac:dyDescent="0.3">
      <c r="A30" s="4" t="s">
        <v>9</v>
      </c>
      <c r="B30" s="43"/>
      <c r="C30" s="44"/>
      <c r="D30" s="45"/>
      <c r="E30" s="45"/>
      <c r="F30" s="45"/>
      <c r="G30" s="45"/>
      <c r="H30" s="45"/>
      <c r="I30" s="45"/>
      <c r="J30" s="12">
        <f>SUM(J26:J29)</f>
        <v>0</v>
      </c>
    </row>
    <row r="31" spans="1:13" ht="15.75" thickBot="1" x14ac:dyDescent="0.3">
      <c r="A31" s="28"/>
      <c r="B31" s="46"/>
      <c r="C31" s="47"/>
      <c r="D31" s="48"/>
      <c r="E31" s="48"/>
      <c r="F31" s="48"/>
      <c r="G31" s="48"/>
      <c r="H31" s="48"/>
      <c r="I31" s="48"/>
      <c r="J31" s="49"/>
    </row>
    <row r="32" spans="1:13" ht="24" thickBot="1" x14ac:dyDescent="0.4">
      <c r="A32" s="31" t="s">
        <v>12</v>
      </c>
      <c r="B32" s="28"/>
      <c r="C32" s="29"/>
      <c r="D32" s="30"/>
      <c r="E32" s="30"/>
      <c r="F32" s="30"/>
      <c r="G32" s="30"/>
      <c r="H32" s="30"/>
      <c r="I32" s="30"/>
      <c r="J32" s="30"/>
    </row>
    <row r="33" spans="1:13" ht="45.75" thickBot="1" x14ac:dyDescent="0.3">
      <c r="A33" s="50" t="s">
        <v>17</v>
      </c>
      <c r="B33" s="4" t="s">
        <v>18</v>
      </c>
      <c r="C33" s="33" t="s">
        <v>14</v>
      </c>
      <c r="D33" s="33" t="s">
        <v>3</v>
      </c>
      <c r="E33" s="33" t="s">
        <v>4</v>
      </c>
      <c r="F33" s="33" t="s">
        <v>19</v>
      </c>
      <c r="G33" s="33" t="s">
        <v>20</v>
      </c>
      <c r="H33" s="33" t="s">
        <v>15</v>
      </c>
      <c r="I33" s="51" t="s">
        <v>21</v>
      </c>
      <c r="J33" s="34" t="s">
        <v>9</v>
      </c>
    </row>
    <row r="34" spans="1:13" ht="15.75" thickBot="1" x14ac:dyDescent="0.3">
      <c r="A34" s="6" t="s">
        <v>766</v>
      </c>
      <c r="B34" s="17" t="s">
        <v>767</v>
      </c>
      <c r="C34" s="7">
        <v>45992</v>
      </c>
      <c r="D34" s="8">
        <v>84</v>
      </c>
      <c r="E34" s="8">
        <v>146</v>
      </c>
      <c r="F34" s="8"/>
      <c r="G34" s="8"/>
      <c r="H34" s="8"/>
      <c r="I34" s="8"/>
      <c r="J34" s="5">
        <f t="shared" ref="J34:J37" si="3">SUM(D34:I34)</f>
        <v>230</v>
      </c>
    </row>
    <row r="35" spans="1:13" ht="15.75" thickBot="1" x14ac:dyDescent="0.3">
      <c r="A35" s="13"/>
      <c r="B35" s="17"/>
      <c r="C35" s="7"/>
      <c r="D35" s="35"/>
      <c r="E35" s="35"/>
      <c r="F35" s="35"/>
      <c r="G35" s="35"/>
      <c r="H35" s="37"/>
      <c r="I35" s="37"/>
      <c r="J35" s="38">
        <f t="shared" si="3"/>
        <v>0</v>
      </c>
    </row>
    <row r="36" spans="1:13" ht="15.75" thickBot="1" x14ac:dyDescent="0.3">
      <c r="A36" s="479"/>
      <c r="B36" s="476"/>
      <c r="C36" s="7"/>
      <c r="D36" s="39"/>
      <c r="E36" s="39"/>
      <c r="F36" s="39"/>
      <c r="G36" s="39"/>
      <c r="H36" s="8"/>
      <c r="I36" s="8"/>
      <c r="J36" s="38">
        <f t="shared" si="3"/>
        <v>0</v>
      </c>
    </row>
    <row r="37" spans="1:13" ht="15.75" thickBot="1" x14ac:dyDescent="0.3">
      <c r="A37" s="4"/>
      <c r="B37" s="40"/>
      <c r="C37" s="7"/>
      <c r="D37" s="39"/>
      <c r="E37" s="39"/>
      <c r="F37" s="39"/>
      <c r="G37" s="39"/>
      <c r="H37" s="8"/>
      <c r="I37" s="8"/>
      <c r="J37" s="38">
        <f t="shared" si="3"/>
        <v>0</v>
      </c>
      <c r="L37" s="53"/>
      <c r="M37" s="54"/>
    </row>
    <row r="38" spans="1:13" ht="15.75" thickBot="1" x14ac:dyDescent="0.3">
      <c r="A38" s="4" t="s">
        <v>9</v>
      </c>
      <c r="B38" s="43"/>
      <c r="C38" s="44"/>
      <c r="D38" s="45"/>
      <c r="E38" s="45"/>
      <c r="F38" s="45"/>
      <c r="G38" s="45"/>
      <c r="H38" s="45"/>
      <c r="I38" s="45"/>
      <c r="J38" s="12">
        <f>SUM(J34:J37)</f>
        <v>230</v>
      </c>
    </row>
    <row r="39" spans="1:13" x14ac:dyDescent="0.25">
      <c r="A39" s="28"/>
      <c r="B39" s="46"/>
      <c r="C39" s="47"/>
      <c r="D39" s="48"/>
      <c r="E39" s="48"/>
      <c r="F39" s="48"/>
      <c r="G39" s="48"/>
      <c r="H39" s="48"/>
      <c r="I39" s="48"/>
      <c r="J39" s="49"/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ht="15.75" thickBot="1" x14ac:dyDescent="0.3">
      <c r="A41" s="2"/>
      <c r="B41" s="2"/>
      <c r="C41" s="2"/>
      <c r="J41" s="3"/>
    </row>
    <row r="42" spans="1:13" ht="45.75" thickBot="1" x14ac:dyDescent="0.3">
      <c r="A42" s="33" t="s">
        <v>22</v>
      </c>
      <c r="B42" s="4" t="s">
        <v>18</v>
      </c>
      <c r="C42" s="33" t="s">
        <v>14</v>
      </c>
      <c r="D42" s="33" t="s">
        <v>3</v>
      </c>
      <c r="E42" s="33" t="s">
        <v>4</v>
      </c>
      <c r="F42" s="33" t="s">
        <v>19</v>
      </c>
      <c r="G42" s="33" t="s">
        <v>20</v>
      </c>
      <c r="H42" s="4" t="s">
        <v>21</v>
      </c>
      <c r="I42" s="51" t="s">
        <v>711</v>
      </c>
      <c r="J42" s="34" t="s">
        <v>9</v>
      </c>
    </row>
    <row r="43" spans="1:13" ht="15.75" thickBot="1" x14ac:dyDescent="0.3">
      <c r="A43" s="40" t="s">
        <v>762</v>
      </c>
      <c r="B43" s="21" t="s">
        <v>763</v>
      </c>
      <c r="C43" s="21">
        <v>46023</v>
      </c>
      <c r="D43" s="37"/>
      <c r="E43" s="55"/>
      <c r="F43" s="37"/>
      <c r="G43" s="37"/>
      <c r="H43" s="37">
        <v>10</v>
      </c>
      <c r="I43" s="37"/>
      <c r="J43" s="38">
        <f>SUM(D43:I43)</f>
        <v>10</v>
      </c>
    </row>
    <row r="44" spans="1:13" ht="15.75" thickBot="1" x14ac:dyDescent="0.3">
      <c r="A44" s="564" t="s">
        <v>713</v>
      </c>
      <c r="B44" s="566" t="s">
        <v>765</v>
      </c>
      <c r="C44" s="21">
        <v>45962</v>
      </c>
      <c r="D44" s="37">
        <v>53.6</v>
      </c>
      <c r="E44" s="37">
        <v>11.6</v>
      </c>
      <c r="F44" s="37">
        <v>60</v>
      </c>
      <c r="G44" s="37">
        <v>5</v>
      </c>
      <c r="H44" s="37"/>
      <c r="I44" s="37"/>
      <c r="J44" s="38">
        <f t="shared" ref="J44:J56" si="4">SUM(D44:I44)</f>
        <v>130.19999999999999</v>
      </c>
    </row>
    <row r="45" spans="1:13" ht="15.75" thickBot="1" x14ac:dyDescent="0.3">
      <c r="A45" s="594"/>
      <c r="B45" s="597"/>
      <c r="C45" s="21">
        <v>45992</v>
      </c>
      <c r="D45" s="37">
        <v>18.5</v>
      </c>
      <c r="E45" s="37">
        <v>70.099999999999994</v>
      </c>
      <c r="F45" s="37">
        <v>60</v>
      </c>
      <c r="G45" s="37">
        <v>5</v>
      </c>
      <c r="H45" s="37"/>
      <c r="I45" s="37"/>
      <c r="J45" s="38">
        <f t="shared" si="4"/>
        <v>153.6</v>
      </c>
    </row>
    <row r="46" spans="1:13" ht="15.75" thickBot="1" x14ac:dyDescent="0.3">
      <c r="A46" s="565"/>
      <c r="B46" s="567"/>
      <c r="C46" s="21">
        <v>46023</v>
      </c>
      <c r="D46" s="37"/>
      <c r="E46" s="37"/>
      <c r="F46" s="37">
        <v>60</v>
      </c>
      <c r="G46" s="37">
        <v>5</v>
      </c>
      <c r="H46" s="37">
        <v>10</v>
      </c>
      <c r="I46" s="37">
        <v>28.3</v>
      </c>
      <c r="J46" s="38">
        <f t="shared" si="4"/>
        <v>103.3</v>
      </c>
    </row>
    <row r="47" spans="1:13" ht="15.75" thickBot="1" x14ac:dyDescent="0.3">
      <c r="A47" s="6" t="s">
        <v>766</v>
      </c>
      <c r="B47" s="17" t="s">
        <v>768</v>
      </c>
      <c r="C47" s="7">
        <v>45992</v>
      </c>
      <c r="D47" s="37">
        <v>0.6</v>
      </c>
      <c r="E47" s="37"/>
      <c r="F47" s="37"/>
      <c r="G47" s="37"/>
      <c r="H47" s="37"/>
      <c r="I47" s="37"/>
      <c r="J47" s="38">
        <f t="shared" si="4"/>
        <v>0.6</v>
      </c>
    </row>
    <row r="48" spans="1:13" ht="15.75" thickBot="1" x14ac:dyDescent="0.3">
      <c r="A48" s="476" t="s">
        <v>371</v>
      </c>
      <c r="B48" s="17" t="s">
        <v>776</v>
      </c>
      <c r="C48" s="21">
        <v>46023</v>
      </c>
      <c r="D48" s="37">
        <v>362</v>
      </c>
      <c r="E48" s="37">
        <v>30</v>
      </c>
      <c r="F48" s="37"/>
      <c r="G48" s="37"/>
      <c r="H48" s="37"/>
      <c r="I48" s="37"/>
      <c r="J48" s="38">
        <f t="shared" si="4"/>
        <v>392</v>
      </c>
    </row>
    <row r="49" spans="1:10" ht="15.75" thickBot="1" x14ac:dyDescent="0.3">
      <c r="A49" s="476" t="s">
        <v>565</v>
      </c>
      <c r="B49" s="17" t="s">
        <v>777</v>
      </c>
      <c r="C49" s="21">
        <v>46023</v>
      </c>
      <c r="D49" s="37"/>
      <c r="E49" s="37"/>
      <c r="F49" s="37"/>
      <c r="G49" s="37"/>
      <c r="H49" s="37">
        <v>10</v>
      </c>
      <c r="I49" s="37"/>
      <c r="J49" s="38">
        <f t="shared" si="4"/>
        <v>10</v>
      </c>
    </row>
    <row r="50" spans="1:10" ht="15.75" thickBot="1" x14ac:dyDescent="0.3">
      <c r="A50" s="476" t="s">
        <v>778</v>
      </c>
      <c r="B50" s="17" t="s">
        <v>779</v>
      </c>
      <c r="C50" s="21">
        <v>46023</v>
      </c>
      <c r="D50" s="37">
        <v>221.9</v>
      </c>
      <c r="E50" s="37">
        <v>98.3</v>
      </c>
      <c r="F50" s="37">
        <v>56</v>
      </c>
      <c r="G50" s="37">
        <v>5</v>
      </c>
      <c r="H50" s="37"/>
      <c r="I50" s="37">
        <v>28.3</v>
      </c>
      <c r="J50" s="38">
        <f t="shared" si="4"/>
        <v>409.5</v>
      </c>
    </row>
    <row r="51" spans="1:10" ht="15.75" thickBot="1" x14ac:dyDescent="0.3">
      <c r="A51" s="476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476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56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40"/>
      <c r="B54" s="21"/>
      <c r="C54" s="21"/>
      <c r="D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E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57"/>
      <c r="E56" s="57"/>
      <c r="F56" s="57"/>
      <c r="G56" s="57"/>
      <c r="H56" s="57"/>
      <c r="I56" s="57"/>
      <c r="J56" s="38">
        <f t="shared" si="4"/>
        <v>0</v>
      </c>
    </row>
    <row r="57" spans="1:10" ht="19.5" thickBot="1" x14ac:dyDescent="0.35">
      <c r="A57" s="23" t="s">
        <v>9</v>
      </c>
      <c r="B57" s="4"/>
      <c r="C57" s="24"/>
      <c r="D57" s="25">
        <f t="shared" ref="D57:J57" si="5">SUM(D43:D56)</f>
        <v>656.6</v>
      </c>
      <c r="E57" s="25">
        <f t="shared" si="5"/>
        <v>210</v>
      </c>
      <c r="F57" s="25">
        <f t="shared" si="5"/>
        <v>236</v>
      </c>
      <c r="G57" s="25">
        <f t="shared" si="5"/>
        <v>20</v>
      </c>
      <c r="H57" s="25">
        <f t="shared" si="5"/>
        <v>30</v>
      </c>
      <c r="I57" s="25">
        <f t="shared" si="5"/>
        <v>56.6</v>
      </c>
      <c r="J57" s="25">
        <f t="shared" si="5"/>
        <v>1209.2</v>
      </c>
    </row>
    <row r="58" spans="1:10" ht="15.75" x14ac:dyDescent="0.25">
      <c r="A58" s="58"/>
      <c r="B58" s="58"/>
      <c r="C58" s="59"/>
      <c r="D58" s="60"/>
      <c r="E58" s="60"/>
      <c r="F58" s="60"/>
      <c r="G58" s="60"/>
      <c r="H58" s="60"/>
      <c r="I58" s="60"/>
      <c r="J58" s="60"/>
    </row>
    <row r="59" spans="1:10" ht="16.5" thickBot="1" x14ac:dyDescent="0.3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9.5" thickBot="1" x14ac:dyDescent="0.35">
      <c r="A60" s="554" t="s">
        <v>23</v>
      </c>
      <c r="B60" s="555"/>
      <c r="C60" s="61"/>
      <c r="D60" s="62"/>
      <c r="E60" s="62"/>
      <c r="F60" s="62"/>
      <c r="G60" s="62"/>
      <c r="H60" s="62"/>
      <c r="I60" s="62"/>
      <c r="J60" s="26">
        <f>+J22+J57</f>
        <v>1284.4000000000001</v>
      </c>
    </row>
    <row r="61" spans="1:10" x14ac:dyDescent="0.25">
      <c r="A61" s="2"/>
      <c r="B61" s="2"/>
      <c r="C61" s="63"/>
      <c r="D61" s="3"/>
      <c r="E61" s="3"/>
      <c r="F61" s="3"/>
      <c r="G61" s="3"/>
      <c r="H61" s="3"/>
      <c r="I61" s="3"/>
      <c r="J61" s="3"/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ht="16.5" thickBot="1" x14ac:dyDescent="0.3">
      <c r="A63" s="64" t="s">
        <v>24</v>
      </c>
      <c r="B63" s="2"/>
      <c r="C63" s="63"/>
      <c r="D63" s="3"/>
      <c r="E63" s="3"/>
      <c r="F63" s="3"/>
      <c r="G63" s="3"/>
      <c r="H63" s="3"/>
      <c r="I63" s="3"/>
      <c r="J63" s="3"/>
    </row>
    <row r="64" spans="1:10" ht="19.5" thickBot="1" x14ac:dyDescent="0.35">
      <c r="A64" s="65" t="s">
        <v>25</v>
      </c>
      <c r="B64" s="66"/>
      <c r="C64" s="67"/>
      <c r="D64" s="68"/>
      <c r="E64" s="68"/>
      <c r="F64" s="68"/>
      <c r="G64" s="68"/>
      <c r="H64" s="68"/>
      <c r="I64" s="68"/>
      <c r="J64" s="26"/>
    </row>
    <row r="65" spans="1:10" ht="19.5" thickBot="1" x14ac:dyDescent="0.35">
      <c r="A65" s="65" t="s">
        <v>26</v>
      </c>
      <c r="B65" s="66"/>
      <c r="C65" s="69"/>
      <c r="D65" s="68"/>
      <c r="E65" s="68"/>
      <c r="F65" s="68"/>
      <c r="G65" s="68"/>
      <c r="H65" s="68"/>
      <c r="I65" s="68"/>
      <c r="J65" s="26"/>
    </row>
    <row r="66" spans="1:10" ht="18.75" x14ac:dyDescent="0.3">
      <c r="A66" s="70"/>
      <c r="B66" s="70"/>
      <c r="C66" s="71"/>
      <c r="D66" s="72"/>
      <c r="E66" s="72"/>
      <c r="F66" s="72"/>
      <c r="G66" s="72"/>
      <c r="H66" s="72"/>
      <c r="I66" s="72"/>
      <c r="J66" s="30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6.5" thickBot="1" x14ac:dyDescent="0.3">
      <c r="A68" s="73" t="s">
        <v>27</v>
      </c>
      <c r="B68" s="74"/>
      <c r="C68" s="63"/>
      <c r="D68" s="3"/>
      <c r="E68" s="3"/>
      <c r="F68" s="3"/>
      <c r="G68" s="3"/>
      <c r="H68" s="3"/>
      <c r="I68" s="3"/>
      <c r="J68" s="3"/>
    </row>
    <row r="69" spans="1:10" ht="19.5" thickBot="1" x14ac:dyDescent="0.35">
      <c r="A69" s="75" t="s">
        <v>28</v>
      </c>
      <c r="B69" s="76"/>
      <c r="C69" s="77"/>
      <c r="D69" s="78"/>
      <c r="E69" s="78"/>
      <c r="F69" s="78"/>
      <c r="G69" s="78"/>
      <c r="H69" s="78"/>
      <c r="I69" s="78"/>
      <c r="J69" s="79">
        <v>414</v>
      </c>
    </row>
    <row r="70" spans="1:10" x14ac:dyDescent="0.25">
      <c r="A70" s="80"/>
      <c r="B70" s="2"/>
      <c r="C70" s="63"/>
      <c r="D70" s="3"/>
      <c r="E70" s="3"/>
      <c r="F70" s="3"/>
      <c r="G70" s="3"/>
      <c r="H70" s="3"/>
      <c r="I70" s="3"/>
      <c r="J70" s="3"/>
    </row>
    <row r="71" spans="1:10" ht="16.5" thickBot="1" x14ac:dyDescent="0.3">
      <c r="A71" s="73"/>
      <c r="B71" s="74"/>
      <c r="C71" s="63"/>
      <c r="D71" s="3"/>
      <c r="E71" s="3"/>
      <c r="F71" s="3"/>
      <c r="G71" s="3"/>
      <c r="H71" s="3"/>
      <c r="I71" s="3"/>
      <c r="J71" s="3"/>
    </row>
    <row r="72" spans="1:10" ht="19.5" thickBot="1" x14ac:dyDescent="0.35">
      <c r="A72" s="75" t="s">
        <v>29</v>
      </c>
      <c r="B72" s="76"/>
      <c r="C72" s="81"/>
      <c r="D72" s="78"/>
      <c r="E72" s="78"/>
      <c r="F72" s="78"/>
      <c r="G72" s="78"/>
      <c r="H72" s="78"/>
      <c r="I72" s="78"/>
      <c r="J72" s="82"/>
    </row>
    <row r="73" spans="1:10" ht="15.75" thickBot="1" x14ac:dyDescent="0.3">
      <c r="A73" s="80"/>
      <c r="B73" s="2"/>
      <c r="C73" s="63"/>
      <c r="D73" s="3"/>
      <c r="E73" s="3"/>
      <c r="F73" s="3"/>
      <c r="G73" s="3"/>
      <c r="H73" s="3"/>
      <c r="I73" s="3"/>
      <c r="J73" s="3"/>
    </row>
    <row r="74" spans="1:10" ht="21.75" thickBot="1" x14ac:dyDescent="0.4">
      <c r="A74" s="556" t="s">
        <v>30</v>
      </c>
      <c r="B74" s="557"/>
      <c r="C74" s="83"/>
      <c r="D74" s="84"/>
      <c r="E74" s="84"/>
      <c r="F74" s="84"/>
      <c r="G74" s="84"/>
      <c r="H74" s="84"/>
      <c r="I74" s="84"/>
      <c r="J74" s="85">
        <f>SUM(J60:J73)</f>
        <v>1698.4</v>
      </c>
    </row>
    <row r="75" spans="1:10" x14ac:dyDescent="0.25">
      <c r="A75" s="2"/>
      <c r="B75" s="2"/>
      <c r="C75" s="63"/>
      <c r="D75" s="3"/>
      <c r="E75" s="3"/>
      <c r="F75" s="3"/>
      <c r="G75" s="3"/>
      <c r="H75" s="3"/>
      <c r="I75" s="3"/>
      <c r="J75" s="3"/>
    </row>
    <row r="76" spans="1:10" ht="21" x14ac:dyDescent="0.35">
      <c r="A76" s="553" t="s">
        <v>761</v>
      </c>
      <c r="B76" s="553"/>
      <c r="C76" s="553"/>
      <c r="D76" s="553"/>
      <c r="E76" s="553"/>
      <c r="F76" s="553"/>
      <c r="G76" s="553"/>
      <c r="H76" s="553"/>
      <c r="I76" s="553"/>
      <c r="J76" s="553"/>
    </row>
    <row r="77" spans="1:10" ht="21.75" thickBot="1" x14ac:dyDescent="0.4">
      <c r="A77" s="474" t="s">
        <v>31</v>
      </c>
      <c r="B77" s="474"/>
      <c r="C77" s="474"/>
      <c r="D77" s="474"/>
      <c r="E77" s="474"/>
      <c r="F77" s="474"/>
      <c r="G77" s="474"/>
      <c r="H77" s="474"/>
      <c r="I77" s="474"/>
      <c r="J77" s="87"/>
    </row>
    <row r="78" spans="1:10" ht="15.75" thickBot="1" x14ac:dyDescent="0.3">
      <c r="A78" s="88" t="s">
        <v>32</v>
      </c>
      <c r="B78" s="89" t="s">
        <v>33</v>
      </c>
      <c r="C78" s="558" t="s">
        <v>2</v>
      </c>
      <c r="D78" s="559"/>
      <c r="E78" s="559"/>
      <c r="F78" s="559"/>
      <c r="G78" s="559"/>
      <c r="H78" s="559"/>
      <c r="I78" s="560"/>
      <c r="J78" s="90" t="s">
        <v>9</v>
      </c>
    </row>
    <row r="79" spans="1:10" ht="15.75" thickBot="1" x14ac:dyDescent="0.3">
      <c r="A79" s="91" t="s">
        <v>770</v>
      </c>
      <c r="B79" s="92" t="s">
        <v>771</v>
      </c>
      <c r="C79" s="550" t="s">
        <v>772</v>
      </c>
      <c r="D79" s="551"/>
      <c r="E79" s="551"/>
      <c r="F79" s="551"/>
      <c r="G79" s="551"/>
      <c r="H79" s="551"/>
      <c r="I79" s="551"/>
      <c r="J79" s="22">
        <v>20</v>
      </c>
    </row>
    <row r="80" spans="1:10" ht="15.75" thickBot="1" x14ac:dyDescent="0.3">
      <c r="A80" s="40" t="s">
        <v>773</v>
      </c>
      <c r="B80" s="92" t="s">
        <v>774</v>
      </c>
      <c r="C80" s="550" t="s">
        <v>775</v>
      </c>
      <c r="D80" s="551"/>
      <c r="E80" s="551"/>
      <c r="F80" s="551"/>
      <c r="G80" s="551"/>
      <c r="H80" s="552"/>
      <c r="I80" s="552"/>
      <c r="J80" s="22">
        <v>15.2</v>
      </c>
    </row>
    <row r="81" spans="1:10" ht="15.75" thickBot="1" x14ac:dyDescent="0.3">
      <c r="A81" s="40"/>
      <c r="B81" s="92"/>
      <c r="C81" s="561"/>
      <c r="D81" s="562"/>
      <c r="E81" s="562"/>
      <c r="F81" s="562"/>
      <c r="G81" s="562"/>
      <c r="H81" s="562"/>
      <c r="I81" s="562"/>
      <c r="J81" s="93"/>
    </row>
    <row r="82" spans="1:10" ht="15.75" thickBot="1" x14ac:dyDescent="0.3">
      <c r="A82" s="40"/>
      <c r="B82" s="92"/>
      <c r="C82" s="550"/>
      <c r="D82" s="551"/>
      <c r="E82" s="551"/>
      <c r="F82" s="551"/>
      <c r="G82" s="551"/>
      <c r="H82" s="552"/>
      <c r="I82" s="552"/>
      <c r="J82" s="22"/>
    </row>
    <row r="83" spans="1:10" ht="15.75" thickBot="1" x14ac:dyDescent="0.3">
      <c r="A83" s="40"/>
      <c r="B83" s="92"/>
      <c r="C83" s="550"/>
      <c r="D83" s="551"/>
      <c r="E83" s="551"/>
      <c r="F83" s="551"/>
      <c r="G83" s="551"/>
      <c r="H83" s="552"/>
      <c r="I83" s="552"/>
      <c r="J83" s="22"/>
    </row>
    <row r="84" spans="1:10" ht="15.75" thickBot="1" x14ac:dyDescent="0.3">
      <c r="A84" s="40"/>
      <c r="B84" s="92"/>
      <c r="C84" s="550"/>
      <c r="D84" s="551"/>
      <c r="E84" s="551"/>
      <c r="F84" s="551"/>
      <c r="G84" s="551"/>
      <c r="H84" s="552"/>
      <c r="I84" s="552"/>
      <c r="J84" s="22"/>
    </row>
    <row r="85" spans="1:10" ht="15.75" thickBot="1" x14ac:dyDescent="0.3">
      <c r="A85" s="40"/>
      <c r="B85" s="92"/>
      <c r="C85" s="550"/>
      <c r="D85" s="551"/>
      <c r="E85" s="551"/>
      <c r="F85" s="551"/>
      <c r="G85" s="551"/>
      <c r="H85" s="552"/>
      <c r="I85" s="552"/>
      <c r="J85" s="22"/>
    </row>
    <row r="86" spans="1:10" ht="15.75" thickBot="1" x14ac:dyDescent="0.3">
      <c r="A86" s="40"/>
      <c r="B86" s="92"/>
      <c r="C86" s="550"/>
      <c r="D86" s="551"/>
      <c r="E86" s="551"/>
      <c r="F86" s="551"/>
      <c r="G86" s="551"/>
      <c r="H86" s="552"/>
      <c r="I86" s="552"/>
      <c r="J86" s="22"/>
    </row>
    <row r="87" spans="1:10" ht="15.75" thickBot="1" x14ac:dyDescent="0.3">
      <c r="A87" s="40"/>
      <c r="B87" s="92"/>
      <c r="C87" s="550"/>
      <c r="D87" s="551"/>
      <c r="E87" s="551"/>
      <c r="F87" s="551"/>
      <c r="G87" s="551"/>
      <c r="H87" s="552"/>
      <c r="I87" s="552"/>
      <c r="J87" s="37"/>
    </row>
    <row r="88" spans="1:10" ht="15.75" thickBot="1" x14ac:dyDescent="0.3">
      <c r="A88" s="40"/>
      <c r="B88" s="92"/>
      <c r="C88" s="550"/>
      <c r="D88" s="551"/>
      <c r="E88" s="551"/>
      <c r="F88" s="551"/>
      <c r="G88" s="551"/>
      <c r="H88" s="552"/>
      <c r="I88" s="552"/>
      <c r="J88" s="37"/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37"/>
    </row>
    <row r="92" spans="1:10" ht="19.5" thickBot="1" x14ac:dyDescent="0.35">
      <c r="A92" s="94" t="s">
        <v>34</v>
      </c>
      <c r="B92" s="554"/>
      <c r="C92" s="563"/>
      <c r="D92" s="563"/>
      <c r="E92" s="563"/>
      <c r="F92" s="563"/>
      <c r="G92" s="563"/>
      <c r="H92" s="563"/>
      <c r="I92" s="563"/>
      <c r="J92" s="95">
        <f>SUM(J79:J91)</f>
        <v>35.200000000000003</v>
      </c>
    </row>
    <row r="93" spans="1:10" ht="18.75" x14ac:dyDescent="0.3">
      <c r="A93" s="27"/>
      <c r="B93" s="27"/>
      <c r="C93" s="96"/>
      <c r="D93" s="96"/>
      <c r="E93" s="96"/>
      <c r="F93" s="97"/>
      <c r="G93" s="96"/>
      <c r="H93" s="96"/>
      <c r="I93" s="96"/>
      <c r="J93" s="30"/>
    </row>
    <row r="94" spans="1:10" ht="18.75" x14ac:dyDescent="0.3">
      <c r="A94" s="27"/>
      <c r="B94" s="27"/>
      <c r="C94" s="96"/>
      <c r="D94" s="96"/>
      <c r="E94" s="96"/>
      <c r="F94" s="97"/>
      <c r="G94" s="96"/>
      <c r="H94" s="96"/>
      <c r="I94" s="96"/>
      <c r="J94" s="30"/>
    </row>
    <row r="95" spans="1:10" ht="18.75" x14ac:dyDescent="0.3">
      <c r="A95" s="58" t="s">
        <v>35</v>
      </c>
      <c r="B95" s="27"/>
      <c r="C95" s="2"/>
      <c r="D95" s="3"/>
      <c r="F95" s="3"/>
      <c r="J95" s="3"/>
    </row>
    <row r="96" spans="1:10" x14ac:dyDescent="0.25">
      <c r="A96" s="2" t="s">
        <v>36</v>
      </c>
      <c r="B96" s="63">
        <f>+J74</f>
        <v>1698.4</v>
      </c>
      <c r="C96" s="98"/>
      <c r="D96" s="3"/>
      <c r="F96" s="3"/>
      <c r="J96" s="3"/>
    </row>
    <row r="97" spans="1:10" ht="15.75" thickBot="1" x14ac:dyDescent="0.3">
      <c r="A97" s="2" t="s">
        <v>34</v>
      </c>
      <c r="B97" s="99">
        <f>+J92</f>
        <v>35.200000000000003</v>
      </c>
      <c r="C97" s="100"/>
      <c r="D97" s="3"/>
      <c r="F97" s="3"/>
      <c r="G97" s="101"/>
      <c r="H97" s="101"/>
      <c r="I97" s="102"/>
      <c r="J97" s="102"/>
    </row>
    <row r="98" spans="1:10" ht="17.25" thickTop="1" thickBot="1" x14ac:dyDescent="0.3">
      <c r="A98" s="58" t="s">
        <v>37</v>
      </c>
      <c r="B98" s="103">
        <f>++B96-B97</f>
        <v>1663.2</v>
      </c>
      <c r="C98" s="104"/>
      <c r="D98" s="105"/>
      <c r="E98" s="106"/>
      <c r="F98" s="105"/>
      <c r="G98" s="107"/>
      <c r="H98" s="107"/>
      <c r="I98" s="3"/>
    </row>
    <row r="99" spans="1:10" ht="15.75" thickTop="1" x14ac:dyDescent="0.25"/>
  </sheetData>
  <mergeCells count="21">
    <mergeCell ref="B92:I92"/>
    <mergeCell ref="C86:I86"/>
    <mergeCell ref="C87:I87"/>
    <mergeCell ref="C88:I88"/>
    <mergeCell ref="C89:I89"/>
    <mergeCell ref="C90:I90"/>
    <mergeCell ref="C91:I91"/>
    <mergeCell ref="C85:I85"/>
    <mergeCell ref="A1:J1"/>
    <mergeCell ref="A60:B60"/>
    <mergeCell ref="A74:B74"/>
    <mergeCell ref="A76:J76"/>
    <mergeCell ref="C78:I78"/>
    <mergeCell ref="C79:I79"/>
    <mergeCell ref="B44:B46"/>
    <mergeCell ref="A44:A46"/>
    <mergeCell ref="C80:I80"/>
    <mergeCell ref="C81:I81"/>
    <mergeCell ref="C82:I82"/>
    <mergeCell ref="C83:I83"/>
    <mergeCell ref="C84:I84"/>
  </mergeCells>
  <phoneticPr fontId="13" type="noConversion"/>
  <pageMargins left="0.2" right="0.17" top="0.17" bottom="0.17" header="0.17" footer="0.17"/>
  <pageSetup paperSize="9" scale="4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B994-2C19-4640-BCD5-0723C4B9ED38}">
  <sheetPr>
    <pageSetUpPr fitToPage="1"/>
  </sheetPr>
  <dimension ref="A1:M112"/>
  <sheetViews>
    <sheetView zoomScaleNormal="100" workbookViewId="0">
      <selection activeCell="A83" sqref="A83:J106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6" max="6" width="13" bestFit="1" customWidth="1"/>
    <col min="10" max="10" width="14" bestFit="1" customWidth="1"/>
  </cols>
  <sheetData>
    <row r="1" spans="1:10" ht="21" x14ac:dyDescent="0.35">
      <c r="A1" s="553" t="s">
        <v>781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10</v>
      </c>
      <c r="B4" s="6" t="s">
        <v>795</v>
      </c>
      <c r="C4" s="7">
        <v>46054</v>
      </c>
      <c r="D4" s="8"/>
      <c r="E4" s="8"/>
      <c r="F4" s="8"/>
      <c r="G4" s="8"/>
      <c r="H4" s="8"/>
      <c r="I4" s="8">
        <v>10</v>
      </c>
      <c r="J4" s="5">
        <f>SUM(D4:I4)</f>
        <v>10</v>
      </c>
    </row>
    <row r="5" spans="1:10" ht="15.75" thickBot="1" x14ac:dyDescent="0.3">
      <c r="A5" s="591" t="s">
        <v>783</v>
      </c>
      <c r="B5" s="591" t="s">
        <v>784</v>
      </c>
      <c r="C5" s="7">
        <v>45962</v>
      </c>
      <c r="D5" s="8">
        <v>10</v>
      </c>
      <c r="E5" s="8">
        <v>5</v>
      </c>
      <c r="F5" s="8"/>
      <c r="G5" s="8"/>
      <c r="H5" s="8"/>
      <c r="I5" s="8"/>
      <c r="J5" s="5">
        <f t="shared" ref="J5:J28" si="0">SUM(D5:I5)</f>
        <v>15</v>
      </c>
    </row>
    <row r="6" spans="1:10" ht="15.75" thickBot="1" x14ac:dyDescent="0.3">
      <c r="A6" s="593"/>
      <c r="B6" s="593"/>
      <c r="C6" s="7">
        <v>45992</v>
      </c>
      <c r="D6" s="8">
        <v>10</v>
      </c>
      <c r="E6" s="8">
        <v>5</v>
      </c>
      <c r="F6" s="8"/>
      <c r="G6" s="8"/>
      <c r="H6" s="8"/>
      <c r="I6" s="8"/>
      <c r="J6" s="5">
        <f t="shared" si="0"/>
        <v>15</v>
      </c>
    </row>
    <row r="7" spans="1:10" ht="15.75" thickBot="1" x14ac:dyDescent="0.3">
      <c r="A7" s="592"/>
      <c r="B7" s="592"/>
      <c r="C7" s="7">
        <v>46023</v>
      </c>
      <c r="D7" s="8">
        <v>15</v>
      </c>
      <c r="E7" s="8">
        <v>3</v>
      </c>
      <c r="F7" s="8"/>
      <c r="G7" s="8"/>
      <c r="H7" s="8"/>
      <c r="I7" s="8"/>
      <c r="J7" s="5">
        <f t="shared" si="0"/>
        <v>18</v>
      </c>
    </row>
    <row r="8" spans="1:10" ht="15.75" thickBot="1" x14ac:dyDescent="0.3">
      <c r="A8" s="6" t="s">
        <v>450</v>
      </c>
      <c r="B8" s="6" t="s">
        <v>802</v>
      </c>
      <c r="C8" s="7">
        <v>46023</v>
      </c>
      <c r="D8" s="8">
        <v>21.1</v>
      </c>
      <c r="E8" s="8">
        <v>3</v>
      </c>
      <c r="F8" s="8"/>
      <c r="G8" s="8"/>
      <c r="H8" s="8"/>
      <c r="I8" s="8"/>
      <c r="J8" s="5">
        <f t="shared" si="0"/>
        <v>24.1</v>
      </c>
    </row>
    <row r="9" spans="1:10" ht="15.75" thickBot="1" x14ac:dyDescent="0.3">
      <c r="A9" s="6" t="s">
        <v>800</v>
      </c>
      <c r="B9" s="6" t="s">
        <v>803</v>
      </c>
      <c r="C9" s="7">
        <v>46023</v>
      </c>
      <c r="D9" s="8">
        <v>9</v>
      </c>
      <c r="E9" s="8">
        <v>3</v>
      </c>
      <c r="F9" s="8"/>
      <c r="G9" s="8"/>
      <c r="H9" s="8"/>
      <c r="I9" s="8"/>
      <c r="J9" s="5">
        <f t="shared" si="0"/>
        <v>12</v>
      </c>
    </row>
    <row r="10" spans="1:10" ht="15.75" thickBot="1" x14ac:dyDescent="0.3">
      <c r="A10" s="6" t="s">
        <v>476</v>
      </c>
      <c r="B10" s="6" t="s">
        <v>805</v>
      </c>
      <c r="C10" s="7">
        <v>46023</v>
      </c>
      <c r="D10" s="8">
        <v>15</v>
      </c>
      <c r="E10" s="8">
        <v>3</v>
      </c>
      <c r="F10" s="8"/>
      <c r="G10" s="8"/>
      <c r="H10" s="8"/>
      <c r="I10" s="8"/>
      <c r="J10" s="5">
        <f t="shared" si="0"/>
        <v>18</v>
      </c>
    </row>
    <row r="11" spans="1:10" ht="15.75" thickBot="1" x14ac:dyDescent="0.3">
      <c r="A11" s="492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492"/>
      <c r="B12" s="489"/>
      <c r="C12" s="7"/>
      <c r="D12" s="8"/>
      <c r="E12" s="8"/>
      <c r="F12" s="8"/>
      <c r="G12" s="8"/>
      <c r="H12" s="8"/>
      <c r="I12" s="11"/>
      <c r="J12" s="12">
        <f t="shared" si="0"/>
        <v>0</v>
      </c>
    </row>
    <row r="13" spans="1:10" ht="15.75" thickBot="1" x14ac:dyDescent="0.3">
      <c r="A13" s="6"/>
      <c r="B13" s="6"/>
      <c r="C13" s="7"/>
      <c r="D13" s="8"/>
      <c r="E13" s="8"/>
      <c r="F13" s="8"/>
      <c r="G13" s="8"/>
      <c r="H13" s="8"/>
      <c r="I13" s="8"/>
      <c r="J13" s="5">
        <f t="shared" si="0"/>
        <v>0</v>
      </c>
    </row>
    <row r="14" spans="1:10" ht="15.75" thickBot="1" x14ac:dyDescent="0.3">
      <c r="A14" s="490"/>
      <c r="B14" s="490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493" t="s">
        <v>791</v>
      </c>
      <c r="B15" s="490" t="s">
        <v>792</v>
      </c>
      <c r="C15" s="7">
        <v>46054</v>
      </c>
      <c r="D15" s="8"/>
      <c r="E15" s="8"/>
      <c r="F15" s="8">
        <v>400</v>
      </c>
      <c r="G15" s="8"/>
      <c r="H15" s="8"/>
      <c r="I15" s="8"/>
      <c r="J15" s="5">
        <f t="shared" si="0"/>
        <v>400</v>
      </c>
    </row>
    <row r="16" spans="1:10" ht="15.75" thickBot="1" x14ac:dyDescent="0.3">
      <c r="A16" s="488" t="s">
        <v>163</v>
      </c>
      <c r="B16" s="490" t="s">
        <v>797</v>
      </c>
      <c r="C16" s="7">
        <v>46023</v>
      </c>
      <c r="D16" s="8"/>
      <c r="E16" s="8"/>
      <c r="F16" s="8">
        <v>50</v>
      </c>
      <c r="G16" s="8"/>
      <c r="H16" s="8"/>
      <c r="I16" s="8"/>
      <c r="J16" s="5">
        <f t="shared" si="0"/>
        <v>50</v>
      </c>
    </row>
    <row r="17" spans="1:10" ht="15.75" thickBot="1" x14ac:dyDescent="0.3">
      <c r="A17" s="488" t="s">
        <v>799</v>
      </c>
      <c r="B17" s="490" t="s">
        <v>798</v>
      </c>
      <c r="C17" s="7">
        <v>46023</v>
      </c>
      <c r="D17" s="8"/>
      <c r="E17" s="8"/>
      <c r="F17" s="8">
        <v>300</v>
      </c>
      <c r="G17" s="8"/>
      <c r="H17" s="8"/>
      <c r="I17" s="8"/>
      <c r="J17" s="5">
        <f t="shared" si="0"/>
        <v>300</v>
      </c>
    </row>
    <row r="18" spans="1:10" ht="15.75" thickBot="1" x14ac:dyDescent="0.3">
      <c r="A18" s="564" t="s">
        <v>800</v>
      </c>
      <c r="B18" s="591" t="s">
        <v>801</v>
      </c>
      <c r="C18" s="7">
        <v>45992</v>
      </c>
      <c r="D18" s="8"/>
      <c r="E18" s="8"/>
      <c r="F18" s="8">
        <v>150</v>
      </c>
      <c r="G18" s="8"/>
      <c r="H18" s="8"/>
      <c r="I18" s="8"/>
      <c r="J18" s="5">
        <f t="shared" si="0"/>
        <v>150</v>
      </c>
    </row>
    <row r="19" spans="1:10" ht="15.75" thickBot="1" x14ac:dyDescent="0.3">
      <c r="A19" s="565"/>
      <c r="B19" s="592"/>
      <c r="C19" s="7">
        <v>46023</v>
      </c>
      <c r="D19" s="8"/>
      <c r="E19" s="8"/>
      <c r="F19" s="8">
        <v>100</v>
      </c>
      <c r="G19" s="8"/>
      <c r="H19" s="8"/>
      <c r="I19" s="8"/>
      <c r="J19" s="5">
        <f t="shared" si="0"/>
        <v>100</v>
      </c>
    </row>
    <row r="20" spans="1:10" ht="15.75" thickBot="1" x14ac:dyDescent="0.3">
      <c r="A20" s="6" t="s">
        <v>476</v>
      </c>
      <c r="B20" s="488" t="s">
        <v>804</v>
      </c>
      <c r="C20" s="7">
        <v>46023</v>
      </c>
      <c r="D20" s="8"/>
      <c r="E20" s="8"/>
      <c r="F20" s="8">
        <v>100</v>
      </c>
      <c r="G20" s="8"/>
      <c r="H20" s="8"/>
      <c r="I20" s="8"/>
      <c r="J20" s="5">
        <f t="shared" si="0"/>
        <v>100</v>
      </c>
    </row>
    <row r="21" spans="1:10" ht="15.75" thickBot="1" x14ac:dyDescent="0.3">
      <c r="A21" s="17" t="s">
        <v>7</v>
      </c>
      <c r="B21" s="488" t="s">
        <v>814</v>
      </c>
      <c r="C21" s="7">
        <v>46054</v>
      </c>
      <c r="D21" s="8"/>
      <c r="E21" s="8"/>
      <c r="F21" s="8"/>
      <c r="G21" s="8"/>
      <c r="H21" s="8">
        <v>63.5</v>
      </c>
      <c r="I21" s="8"/>
      <c r="J21" s="5">
        <f t="shared" si="0"/>
        <v>63.5</v>
      </c>
    </row>
    <row r="22" spans="1:10" ht="15.75" thickBot="1" x14ac:dyDescent="0.3">
      <c r="A22" s="17"/>
      <c r="B22" s="488"/>
      <c r="C22" s="7"/>
      <c r="D22" s="8"/>
      <c r="E22" s="8"/>
      <c r="F22" s="8"/>
      <c r="G22" s="8"/>
      <c r="H22" s="8"/>
      <c r="I22" s="8"/>
      <c r="J22" s="5">
        <f t="shared" si="0"/>
        <v>0</v>
      </c>
    </row>
    <row r="23" spans="1:10" ht="15.75" thickBot="1" x14ac:dyDescent="0.3">
      <c r="A23" s="17"/>
      <c r="B23" s="488"/>
      <c r="C23" s="7"/>
      <c r="D23" s="8"/>
      <c r="E23" s="8"/>
      <c r="F23" s="8"/>
      <c r="G23" s="8"/>
      <c r="H23" s="8"/>
      <c r="I23" s="8"/>
      <c r="J23" s="5">
        <f t="shared" si="0"/>
        <v>0</v>
      </c>
    </row>
    <row r="24" spans="1:10" ht="15.75" thickBot="1" x14ac:dyDescent="0.3">
      <c r="A24" s="17"/>
      <c r="B24" s="488"/>
      <c r="C24" s="7"/>
      <c r="D24" s="8"/>
      <c r="E24" s="8"/>
      <c r="F24" s="8"/>
      <c r="G24" s="8"/>
      <c r="H24" s="8"/>
      <c r="I24" s="8"/>
      <c r="J24" s="5">
        <f t="shared" si="0"/>
        <v>0</v>
      </c>
    </row>
    <row r="25" spans="1:10" ht="15.75" thickBot="1" x14ac:dyDescent="0.3">
      <c r="A25" s="17"/>
      <c r="B25" s="488"/>
      <c r="C25" s="7"/>
      <c r="D25" s="8"/>
      <c r="E25" s="8"/>
      <c r="F25" s="8"/>
      <c r="G25" s="8"/>
      <c r="H25" s="8"/>
      <c r="I25" s="8"/>
      <c r="J25" s="5">
        <f t="shared" si="0"/>
        <v>0</v>
      </c>
    </row>
    <row r="26" spans="1:10" ht="15.75" thickBot="1" x14ac:dyDescent="0.3">
      <c r="A26" s="6" t="s">
        <v>450</v>
      </c>
      <c r="B26" s="488" t="s">
        <v>796</v>
      </c>
      <c r="C26" s="7">
        <v>46023</v>
      </c>
      <c r="D26" s="8"/>
      <c r="E26" s="8"/>
      <c r="F26" s="8">
        <v>100</v>
      </c>
      <c r="G26" s="8"/>
      <c r="H26" s="8"/>
      <c r="I26" s="8"/>
      <c r="J26" s="5">
        <f t="shared" si="0"/>
        <v>100</v>
      </c>
    </row>
    <row r="27" spans="1:10" ht="15.75" thickBot="1" x14ac:dyDescent="0.3">
      <c r="A27" s="491"/>
      <c r="B27" s="491"/>
      <c r="C27" s="7"/>
      <c r="D27" s="8"/>
      <c r="E27" s="8"/>
      <c r="F27" s="8"/>
      <c r="G27" s="8"/>
      <c r="H27" s="8"/>
      <c r="I27" s="8"/>
      <c r="J27" s="5">
        <f t="shared" si="0"/>
        <v>0</v>
      </c>
    </row>
    <row r="28" spans="1:10" ht="15.75" thickBot="1" x14ac:dyDescent="0.3">
      <c r="A28" s="488"/>
      <c r="B28" s="487"/>
      <c r="C28" s="21"/>
      <c r="D28" s="22"/>
      <c r="E28" s="22"/>
      <c r="F28" s="22"/>
      <c r="G28" s="22"/>
      <c r="H28" s="22"/>
      <c r="I28" s="22"/>
      <c r="J28" s="5">
        <f t="shared" si="0"/>
        <v>0</v>
      </c>
    </row>
    <row r="29" spans="1:10" ht="19.5" thickBot="1" x14ac:dyDescent="0.35">
      <c r="A29" s="23" t="s">
        <v>9</v>
      </c>
      <c r="B29" s="4"/>
      <c r="C29" s="24"/>
      <c r="D29" s="25">
        <f t="shared" ref="D29:J29" si="1">SUM(D4:D28)</f>
        <v>80.099999999999994</v>
      </c>
      <c r="E29" s="25">
        <f t="shared" si="1"/>
        <v>22</v>
      </c>
      <c r="F29" s="25">
        <f t="shared" si="1"/>
        <v>1200</v>
      </c>
      <c r="G29" s="25">
        <f t="shared" si="1"/>
        <v>0</v>
      </c>
      <c r="H29" s="25">
        <f t="shared" si="1"/>
        <v>63.5</v>
      </c>
      <c r="I29" s="25">
        <f t="shared" si="1"/>
        <v>10</v>
      </c>
      <c r="J29" s="26">
        <f t="shared" si="1"/>
        <v>1375.6</v>
      </c>
    </row>
    <row r="30" spans="1:10" ht="19.5" thickBot="1" x14ac:dyDescent="0.35">
      <c r="A30" s="27"/>
      <c r="B30" s="28"/>
      <c r="C30" s="29"/>
      <c r="D30" s="30"/>
      <c r="E30" s="30"/>
      <c r="F30" s="30"/>
      <c r="G30" s="30"/>
      <c r="H30" s="30"/>
      <c r="I30" s="30"/>
      <c r="J30" s="30"/>
    </row>
    <row r="31" spans="1:10" ht="24" thickBot="1" x14ac:dyDescent="0.4">
      <c r="A31" s="31" t="s">
        <v>12</v>
      </c>
      <c r="B31" s="28"/>
      <c r="C31" s="29"/>
      <c r="D31" s="30"/>
      <c r="E31" s="30"/>
      <c r="F31" s="30"/>
      <c r="G31" s="30"/>
      <c r="H31" s="30"/>
      <c r="I31" s="30"/>
      <c r="J31" s="30"/>
    </row>
    <row r="32" spans="1:10" ht="15.75" thickBot="1" x14ac:dyDescent="0.3">
      <c r="A32" s="32" t="s">
        <v>13</v>
      </c>
      <c r="B32" s="4" t="s">
        <v>1</v>
      </c>
      <c r="C32" s="33" t="s">
        <v>14</v>
      </c>
      <c r="D32" s="33" t="s">
        <v>3</v>
      </c>
      <c r="E32" s="33" t="s">
        <v>4</v>
      </c>
      <c r="F32" s="4" t="s">
        <v>5</v>
      </c>
      <c r="G32" s="4" t="s">
        <v>6</v>
      </c>
      <c r="H32" s="4" t="s">
        <v>15</v>
      </c>
      <c r="I32" s="4" t="s">
        <v>8</v>
      </c>
      <c r="J32" s="34" t="s">
        <v>9</v>
      </c>
    </row>
    <row r="33" spans="1:13" ht="15.75" thickBot="1" x14ac:dyDescent="0.3">
      <c r="A33" s="491" t="s">
        <v>789</v>
      </c>
      <c r="B33" s="21" t="s">
        <v>790</v>
      </c>
      <c r="C33" s="21">
        <v>46082</v>
      </c>
      <c r="D33" s="35"/>
      <c r="E33" s="36"/>
      <c r="F33" s="35"/>
      <c r="G33" s="35">
        <v>30</v>
      </c>
      <c r="H33" s="37"/>
      <c r="I33" s="37"/>
      <c r="J33" s="38">
        <f>SUM(D33:I33)</f>
        <v>30</v>
      </c>
    </row>
    <row r="34" spans="1:13" ht="15.75" thickBot="1" x14ac:dyDescent="0.3">
      <c r="A34" s="491"/>
      <c r="B34" s="21"/>
      <c r="C34" s="21"/>
      <c r="D34" s="35"/>
      <c r="E34" s="35"/>
      <c r="F34" s="35"/>
      <c r="G34" s="35"/>
      <c r="H34" s="37"/>
      <c r="I34" s="37"/>
      <c r="J34" s="38">
        <f t="shared" ref="J34:J36" si="2">SUM(D34:I34)</f>
        <v>0</v>
      </c>
    </row>
    <row r="35" spans="1:13" ht="15.75" thickBot="1" x14ac:dyDescent="0.3">
      <c r="A35" s="491"/>
      <c r="B35" s="488"/>
      <c r="C35" s="7"/>
      <c r="D35" s="39"/>
      <c r="E35" s="39"/>
      <c r="F35" s="39"/>
      <c r="G35" s="39"/>
      <c r="H35" s="8"/>
      <c r="I35" s="8"/>
      <c r="J35" s="38">
        <f t="shared" si="2"/>
        <v>0</v>
      </c>
    </row>
    <row r="36" spans="1:13" ht="15.75" thickBot="1" x14ac:dyDescent="0.3">
      <c r="A36" s="4"/>
      <c r="B36" s="40"/>
      <c r="C36" s="7"/>
      <c r="D36" s="39"/>
      <c r="E36" s="39"/>
      <c r="F36" s="39"/>
      <c r="G36" s="39"/>
      <c r="H36" s="8"/>
      <c r="I36" s="8"/>
      <c r="J36" s="38">
        <f t="shared" si="2"/>
        <v>0</v>
      </c>
      <c r="L36" s="41" t="s">
        <v>16</v>
      </c>
      <c r="M36" s="42">
        <f>J37+J45</f>
        <v>30</v>
      </c>
    </row>
    <row r="37" spans="1:13" ht="15.75" thickBot="1" x14ac:dyDescent="0.3">
      <c r="A37" s="4" t="s">
        <v>9</v>
      </c>
      <c r="B37" s="43"/>
      <c r="C37" s="44"/>
      <c r="D37" s="45"/>
      <c r="E37" s="45"/>
      <c r="F37" s="45"/>
      <c r="G37" s="45"/>
      <c r="H37" s="45"/>
      <c r="I37" s="45"/>
      <c r="J37" s="12">
        <f>SUM(J33:J36)</f>
        <v>30</v>
      </c>
    </row>
    <row r="38" spans="1:13" ht="15.75" thickBot="1" x14ac:dyDescent="0.3">
      <c r="A38" s="28"/>
      <c r="B38" s="46"/>
      <c r="C38" s="47"/>
      <c r="D38" s="48"/>
      <c r="E38" s="48"/>
      <c r="F38" s="48"/>
      <c r="G38" s="48"/>
      <c r="H38" s="48"/>
      <c r="I38" s="48"/>
      <c r="J38" s="49"/>
    </row>
    <row r="39" spans="1:13" ht="24" thickBot="1" x14ac:dyDescent="0.4">
      <c r="A39" s="31" t="s">
        <v>12</v>
      </c>
      <c r="B39" s="28"/>
      <c r="C39" s="29"/>
      <c r="D39" s="30"/>
      <c r="E39" s="30"/>
      <c r="F39" s="30"/>
      <c r="G39" s="30"/>
      <c r="H39" s="30"/>
      <c r="I39" s="30"/>
      <c r="J39" s="30"/>
    </row>
    <row r="40" spans="1:13" ht="45.75" thickBot="1" x14ac:dyDescent="0.3">
      <c r="A40" s="50" t="s">
        <v>17</v>
      </c>
      <c r="B40" s="4" t="s">
        <v>18</v>
      </c>
      <c r="C40" s="33" t="s">
        <v>14</v>
      </c>
      <c r="D40" s="33" t="s">
        <v>3</v>
      </c>
      <c r="E40" s="33" t="s">
        <v>4</v>
      </c>
      <c r="F40" s="33" t="s">
        <v>19</v>
      </c>
      <c r="G40" s="33" t="s">
        <v>20</v>
      </c>
      <c r="H40" s="33" t="s">
        <v>15</v>
      </c>
      <c r="I40" s="51" t="s">
        <v>21</v>
      </c>
      <c r="J40" s="34" t="s">
        <v>9</v>
      </c>
    </row>
    <row r="41" spans="1:13" ht="15.75" thickBot="1" x14ac:dyDescent="0.3">
      <c r="A41" s="52"/>
      <c r="B41" s="17"/>
      <c r="C41" s="7"/>
      <c r="D41" s="8"/>
      <c r="E41" s="8"/>
      <c r="F41" s="8"/>
      <c r="G41" s="8"/>
      <c r="H41" s="8"/>
      <c r="I41" s="8"/>
      <c r="J41" s="5">
        <f t="shared" ref="J41:J44" si="3">SUM(D41:I41)</f>
        <v>0</v>
      </c>
    </row>
    <row r="42" spans="1:13" ht="15.75" thickBot="1" x14ac:dyDescent="0.3">
      <c r="A42" s="13"/>
      <c r="B42" s="21"/>
      <c r="C42" s="7"/>
      <c r="D42" s="35"/>
      <c r="E42" s="35"/>
      <c r="F42" s="35"/>
      <c r="G42" s="35"/>
      <c r="H42" s="37"/>
      <c r="I42" s="37"/>
      <c r="J42" s="38">
        <f t="shared" si="3"/>
        <v>0</v>
      </c>
    </row>
    <row r="43" spans="1:13" ht="15.75" thickBot="1" x14ac:dyDescent="0.3">
      <c r="A43" s="491"/>
      <c r="B43" s="488"/>
      <c r="C43" s="7"/>
      <c r="D43" s="39"/>
      <c r="E43" s="39"/>
      <c r="F43" s="39"/>
      <c r="G43" s="39"/>
      <c r="H43" s="8"/>
      <c r="I43" s="8"/>
      <c r="J43" s="38">
        <f t="shared" si="3"/>
        <v>0</v>
      </c>
    </row>
    <row r="44" spans="1:13" ht="15.75" thickBot="1" x14ac:dyDescent="0.3">
      <c r="A44" s="4"/>
      <c r="B44" s="40"/>
      <c r="C44" s="7"/>
      <c r="D44" s="39"/>
      <c r="E44" s="39"/>
      <c r="F44" s="39"/>
      <c r="G44" s="39"/>
      <c r="H44" s="8"/>
      <c r="I44" s="8"/>
      <c r="J44" s="38">
        <f t="shared" si="3"/>
        <v>0</v>
      </c>
      <c r="L44" s="53"/>
      <c r="M44" s="54"/>
    </row>
    <row r="45" spans="1:13" ht="15.75" thickBot="1" x14ac:dyDescent="0.3">
      <c r="A45" s="4" t="s">
        <v>9</v>
      </c>
      <c r="B45" s="43"/>
      <c r="C45" s="44"/>
      <c r="D45" s="45"/>
      <c r="E45" s="45"/>
      <c r="F45" s="45"/>
      <c r="G45" s="45"/>
      <c r="H45" s="45"/>
      <c r="I45" s="45"/>
      <c r="J45" s="12">
        <f>SUM(J41:J44)</f>
        <v>0</v>
      </c>
    </row>
    <row r="46" spans="1:13" x14ac:dyDescent="0.25">
      <c r="A46" s="28"/>
      <c r="B46" s="46"/>
      <c r="C46" s="47"/>
      <c r="D46" s="48"/>
      <c r="E46" s="48"/>
      <c r="F46" s="48"/>
      <c r="G46" s="48"/>
      <c r="H46" s="48"/>
      <c r="I46" s="48"/>
      <c r="J46" s="49"/>
    </row>
    <row r="47" spans="1:13" x14ac:dyDescent="0.25">
      <c r="A47" s="28"/>
      <c r="B47" s="46"/>
      <c r="C47" s="47"/>
      <c r="D47" s="48"/>
      <c r="E47" s="48"/>
      <c r="F47" s="48"/>
      <c r="G47" s="48"/>
      <c r="H47" s="48"/>
      <c r="I47" s="48"/>
      <c r="J47" s="49"/>
    </row>
    <row r="48" spans="1:13" ht="15.75" thickBot="1" x14ac:dyDescent="0.3">
      <c r="A48" s="2"/>
      <c r="B48" s="2"/>
      <c r="C48" s="2"/>
      <c r="J48" s="3"/>
    </row>
    <row r="49" spans="1:10" ht="45.75" thickBot="1" x14ac:dyDescent="0.3">
      <c r="A49" s="33" t="s">
        <v>22</v>
      </c>
      <c r="B49" s="4" t="s">
        <v>18</v>
      </c>
      <c r="C49" s="33" t="s">
        <v>14</v>
      </c>
      <c r="D49" s="33" t="s">
        <v>3</v>
      </c>
      <c r="E49" s="33" t="s">
        <v>4</v>
      </c>
      <c r="F49" s="33" t="s">
        <v>19</v>
      </c>
      <c r="G49" s="33" t="s">
        <v>20</v>
      </c>
      <c r="H49" s="4" t="s">
        <v>21</v>
      </c>
      <c r="I49" s="51" t="s">
        <v>15</v>
      </c>
      <c r="J49" s="34" t="s">
        <v>9</v>
      </c>
    </row>
    <row r="50" spans="1:10" ht="15.75" thickBot="1" x14ac:dyDescent="0.3">
      <c r="A50" s="564" t="s">
        <v>785</v>
      </c>
      <c r="B50" s="566" t="s">
        <v>786</v>
      </c>
      <c r="C50" s="21">
        <v>45962</v>
      </c>
      <c r="D50" s="37">
        <v>46.3</v>
      </c>
      <c r="E50" s="55">
        <v>6</v>
      </c>
      <c r="F50" s="37"/>
      <c r="G50" s="37"/>
      <c r="H50" s="37"/>
      <c r="I50" s="37"/>
      <c r="J50" s="38">
        <f>SUM(D50:I50)</f>
        <v>52.3</v>
      </c>
    </row>
    <row r="51" spans="1:10" ht="15.75" thickBot="1" x14ac:dyDescent="0.3">
      <c r="A51" s="565"/>
      <c r="B51" s="567"/>
      <c r="C51" s="21">
        <v>45992</v>
      </c>
      <c r="D51" s="37">
        <v>47</v>
      </c>
      <c r="E51" s="37">
        <v>0.7</v>
      </c>
      <c r="F51" s="37"/>
      <c r="G51" s="37"/>
      <c r="H51" s="37"/>
      <c r="I51" s="37"/>
      <c r="J51" s="38">
        <f t="shared" ref="J51:J63" si="4">SUM(D51:I51)</f>
        <v>47.7</v>
      </c>
    </row>
    <row r="52" spans="1:10" ht="15.75" thickBot="1" x14ac:dyDescent="0.3">
      <c r="A52" s="488" t="s">
        <v>788</v>
      </c>
      <c r="B52" s="21" t="s">
        <v>787</v>
      </c>
      <c r="C52" s="21">
        <v>46023</v>
      </c>
      <c r="D52" s="37">
        <v>28.4</v>
      </c>
      <c r="E52" s="37">
        <v>33.200000000000003</v>
      </c>
      <c r="F52" s="37"/>
      <c r="G52" s="37"/>
      <c r="H52" s="37"/>
      <c r="I52" s="37"/>
      <c r="J52" s="38">
        <f t="shared" si="4"/>
        <v>61.6</v>
      </c>
    </row>
    <row r="53" spans="1:10" ht="15.75" thickBot="1" x14ac:dyDescent="0.3">
      <c r="A53" s="564" t="s">
        <v>793</v>
      </c>
      <c r="B53" s="566" t="s">
        <v>794</v>
      </c>
      <c r="C53" s="21">
        <v>45962</v>
      </c>
      <c r="D53" s="37">
        <v>9.4</v>
      </c>
      <c r="E53" s="37">
        <v>6</v>
      </c>
      <c r="F53" s="37"/>
      <c r="G53" s="37"/>
      <c r="H53" s="37"/>
      <c r="I53" s="37"/>
      <c r="J53" s="38">
        <f t="shared" si="4"/>
        <v>15.4</v>
      </c>
    </row>
    <row r="54" spans="1:10" ht="15.75" thickBot="1" x14ac:dyDescent="0.3">
      <c r="A54" s="594"/>
      <c r="B54" s="597"/>
      <c r="C54" s="21">
        <v>45992</v>
      </c>
      <c r="D54" s="37">
        <v>8.5</v>
      </c>
      <c r="E54" s="37">
        <v>6</v>
      </c>
      <c r="F54" s="37"/>
      <c r="G54" s="37"/>
      <c r="H54" s="37"/>
      <c r="I54" s="37"/>
      <c r="J54" s="38">
        <f t="shared" si="4"/>
        <v>14.5</v>
      </c>
    </row>
    <row r="55" spans="1:10" ht="15.75" thickBot="1" x14ac:dyDescent="0.3">
      <c r="A55" s="565"/>
      <c r="B55" s="567"/>
      <c r="C55" s="21">
        <v>46023</v>
      </c>
      <c r="D55" s="37">
        <v>8.1</v>
      </c>
      <c r="E55" s="37">
        <v>5</v>
      </c>
      <c r="F55" s="37">
        <v>60</v>
      </c>
      <c r="G55" s="37">
        <v>5</v>
      </c>
      <c r="H55" s="37">
        <v>10</v>
      </c>
      <c r="I55" s="37"/>
      <c r="J55" s="38">
        <f t="shared" si="4"/>
        <v>88.1</v>
      </c>
    </row>
    <row r="56" spans="1:10" ht="15.75" thickBot="1" x14ac:dyDescent="0.3">
      <c r="A56" s="488"/>
      <c r="B56" s="21"/>
      <c r="C56" s="21"/>
      <c r="D56" s="37"/>
      <c r="E56" s="37"/>
      <c r="F56" s="37"/>
      <c r="G56" s="37"/>
      <c r="H56" s="37"/>
      <c r="I56" s="37"/>
      <c r="J56" s="38">
        <f t="shared" si="4"/>
        <v>0</v>
      </c>
    </row>
    <row r="57" spans="1:10" ht="15.75" thickBot="1" x14ac:dyDescent="0.3">
      <c r="A57" s="488"/>
      <c r="B57" s="21"/>
      <c r="C57" s="21"/>
      <c r="D57" s="37"/>
      <c r="E57" s="37"/>
      <c r="F57" s="37"/>
      <c r="G57" s="37"/>
      <c r="H57" s="37"/>
      <c r="I57" s="37"/>
      <c r="J57" s="38">
        <f t="shared" si="4"/>
        <v>0</v>
      </c>
    </row>
    <row r="58" spans="1:10" ht="15.75" thickBot="1" x14ac:dyDescent="0.3">
      <c r="A58" s="488"/>
      <c r="B58" s="21"/>
      <c r="C58" s="21"/>
      <c r="D58" s="37"/>
      <c r="E58" s="37"/>
      <c r="F58" s="37"/>
      <c r="G58" s="37"/>
      <c r="H58" s="37"/>
      <c r="I58" s="37"/>
      <c r="J58" s="38">
        <f t="shared" si="4"/>
        <v>0</v>
      </c>
    </row>
    <row r="59" spans="1:10" ht="15.75" thickBot="1" x14ac:dyDescent="0.3">
      <c r="A59" s="488"/>
      <c r="B59" s="21"/>
      <c r="C59" s="21"/>
      <c r="D59" s="37"/>
      <c r="E59" s="37"/>
      <c r="F59" s="37"/>
      <c r="G59" s="37"/>
      <c r="H59" s="37"/>
      <c r="I59" s="37"/>
      <c r="J59" s="38">
        <f t="shared" si="4"/>
        <v>0</v>
      </c>
    </row>
    <row r="60" spans="1:10" ht="15.75" thickBot="1" x14ac:dyDescent="0.3">
      <c r="A60" s="56"/>
      <c r="B60" s="21"/>
      <c r="C60" s="21"/>
      <c r="D60" s="37"/>
      <c r="E60" s="37"/>
      <c r="F60" s="37"/>
      <c r="G60" s="37"/>
      <c r="H60" s="37"/>
      <c r="I60" s="37"/>
      <c r="J60" s="38">
        <f t="shared" si="4"/>
        <v>0</v>
      </c>
    </row>
    <row r="61" spans="1:10" ht="15.75" thickBot="1" x14ac:dyDescent="0.3">
      <c r="A61" s="40"/>
      <c r="B61" s="21"/>
      <c r="C61" s="21"/>
      <c r="D61" s="37"/>
      <c r="F61" s="37"/>
      <c r="G61" s="37"/>
      <c r="H61" s="37"/>
      <c r="I61" s="37"/>
      <c r="J61" s="38">
        <f t="shared" si="4"/>
        <v>0</v>
      </c>
    </row>
    <row r="62" spans="1:10" ht="15.75" thickBot="1" x14ac:dyDescent="0.3">
      <c r="A62" s="40"/>
      <c r="B62" s="21"/>
      <c r="C62" s="21"/>
      <c r="D62" s="37"/>
      <c r="E62" s="37"/>
      <c r="F62" s="37"/>
      <c r="G62" s="37"/>
      <c r="H62" s="37"/>
      <c r="I62" s="37"/>
      <c r="J62" s="38">
        <f t="shared" si="4"/>
        <v>0</v>
      </c>
    </row>
    <row r="63" spans="1:10" ht="15.75" thickBot="1" x14ac:dyDescent="0.3">
      <c r="A63" s="40"/>
      <c r="B63" s="21"/>
      <c r="C63" s="21"/>
      <c r="D63" s="57"/>
      <c r="E63" s="57"/>
      <c r="F63" s="57"/>
      <c r="G63" s="57"/>
      <c r="H63" s="57"/>
      <c r="I63" s="57"/>
      <c r="J63" s="38">
        <f t="shared" si="4"/>
        <v>0</v>
      </c>
    </row>
    <row r="64" spans="1:10" ht="19.5" thickBot="1" x14ac:dyDescent="0.35">
      <c r="A64" s="23" t="s">
        <v>9</v>
      </c>
      <c r="B64" s="4"/>
      <c r="C64" s="24"/>
      <c r="D64" s="25">
        <f t="shared" ref="D64:J64" si="5">SUM(D50:D63)</f>
        <v>147.69999999999999</v>
      </c>
      <c r="E64" s="25">
        <f t="shared" si="5"/>
        <v>56.900000000000006</v>
      </c>
      <c r="F64" s="25">
        <f t="shared" si="5"/>
        <v>60</v>
      </c>
      <c r="G64" s="25">
        <f t="shared" si="5"/>
        <v>5</v>
      </c>
      <c r="H64" s="25">
        <f t="shared" si="5"/>
        <v>10</v>
      </c>
      <c r="I64" s="25">
        <f t="shared" si="5"/>
        <v>0</v>
      </c>
      <c r="J64" s="25">
        <f t="shared" si="5"/>
        <v>279.60000000000002</v>
      </c>
    </row>
    <row r="65" spans="1:10" ht="15.75" x14ac:dyDescent="0.25">
      <c r="A65" s="58"/>
      <c r="B65" s="58"/>
      <c r="C65" s="59"/>
      <c r="D65" s="60"/>
      <c r="E65" s="60"/>
      <c r="F65" s="60"/>
      <c r="G65" s="60"/>
      <c r="H65" s="60"/>
      <c r="I65" s="60"/>
      <c r="J65" s="60"/>
    </row>
    <row r="66" spans="1:10" ht="16.5" thickBot="1" x14ac:dyDescent="0.3">
      <c r="A66" s="58"/>
      <c r="B66" s="58"/>
      <c r="C66" s="59"/>
      <c r="D66" s="60"/>
      <c r="E66" s="60"/>
      <c r="F66" s="60"/>
      <c r="G66" s="60"/>
      <c r="H66" s="60"/>
      <c r="I66" s="60"/>
      <c r="J66" s="60"/>
    </row>
    <row r="67" spans="1:10" ht="19.5" thickBot="1" x14ac:dyDescent="0.35">
      <c r="A67" s="554" t="s">
        <v>23</v>
      </c>
      <c r="B67" s="555"/>
      <c r="C67" s="61"/>
      <c r="D67" s="62"/>
      <c r="E67" s="62"/>
      <c r="F67" s="62"/>
      <c r="G67" s="62"/>
      <c r="H67" s="62"/>
      <c r="I67" s="62"/>
      <c r="J67" s="26">
        <f>+J29+J64</f>
        <v>1655.1999999999998</v>
      </c>
    </row>
    <row r="68" spans="1:10" x14ac:dyDescent="0.25">
      <c r="A68" s="2"/>
      <c r="B68" s="2"/>
      <c r="C68" s="63"/>
      <c r="D68" s="3"/>
      <c r="E68" s="3"/>
      <c r="F68" s="3"/>
      <c r="G68" s="3"/>
      <c r="H68" s="3"/>
      <c r="I68" s="3"/>
      <c r="J68" s="3"/>
    </row>
    <row r="69" spans="1:10" x14ac:dyDescent="0.25">
      <c r="A69" s="2"/>
      <c r="B69" s="2"/>
      <c r="C69" s="63"/>
      <c r="D69" s="3"/>
      <c r="E69" s="3"/>
      <c r="F69" s="3"/>
      <c r="G69" s="3"/>
      <c r="H69" s="3"/>
      <c r="I69" s="3"/>
      <c r="J69" s="3"/>
    </row>
    <row r="70" spans="1:10" ht="16.5" thickBot="1" x14ac:dyDescent="0.3">
      <c r="A70" s="64" t="s">
        <v>24</v>
      </c>
      <c r="B70" s="2"/>
      <c r="C70" s="63"/>
      <c r="D70" s="3"/>
      <c r="E70" s="3"/>
      <c r="F70" s="3"/>
      <c r="G70" s="3"/>
      <c r="H70" s="3"/>
      <c r="I70" s="3"/>
      <c r="J70" s="3"/>
    </row>
    <row r="71" spans="1:10" ht="19.5" thickBot="1" x14ac:dyDescent="0.35">
      <c r="A71" s="65" t="s">
        <v>25</v>
      </c>
      <c r="B71" s="66"/>
      <c r="C71" s="67"/>
      <c r="D71" s="68"/>
      <c r="E71" s="68"/>
      <c r="F71" s="68"/>
      <c r="G71" s="68"/>
      <c r="H71" s="68"/>
      <c r="I71" s="68"/>
      <c r="J71" s="26"/>
    </row>
    <row r="72" spans="1:10" ht="19.5" thickBot="1" x14ac:dyDescent="0.35">
      <c r="A72" s="65" t="s">
        <v>26</v>
      </c>
      <c r="B72" s="66"/>
      <c r="C72" s="69"/>
      <c r="D72" s="68"/>
      <c r="E72" s="68"/>
      <c r="F72" s="68"/>
      <c r="G72" s="68"/>
      <c r="H72" s="68"/>
      <c r="I72" s="68"/>
      <c r="J72" s="26"/>
    </row>
    <row r="73" spans="1:10" ht="18.75" x14ac:dyDescent="0.3">
      <c r="A73" s="70"/>
      <c r="B73" s="70"/>
      <c r="C73" s="71"/>
      <c r="D73" s="72"/>
      <c r="E73" s="72"/>
      <c r="F73" s="72"/>
      <c r="G73" s="72"/>
      <c r="H73" s="72"/>
      <c r="I73" s="72"/>
      <c r="J73" s="30"/>
    </row>
    <row r="74" spans="1:10" ht="18.75" x14ac:dyDescent="0.3">
      <c r="A74" s="70"/>
      <c r="B74" s="70"/>
      <c r="C74" s="71"/>
      <c r="D74" s="72"/>
      <c r="E74" s="72"/>
      <c r="F74" s="72"/>
      <c r="G74" s="72"/>
      <c r="H74" s="72"/>
      <c r="I74" s="72"/>
      <c r="J74" s="30"/>
    </row>
    <row r="75" spans="1:10" ht="16.5" thickBot="1" x14ac:dyDescent="0.3">
      <c r="A75" s="73" t="s">
        <v>27</v>
      </c>
      <c r="B75" s="74"/>
      <c r="C75" s="63"/>
      <c r="D75" s="3"/>
      <c r="E75" s="3"/>
      <c r="F75" s="3"/>
      <c r="G75" s="3"/>
      <c r="H75" s="3"/>
      <c r="I75" s="3"/>
      <c r="J75" s="3"/>
    </row>
    <row r="76" spans="1:10" ht="19.5" thickBot="1" x14ac:dyDescent="0.35">
      <c r="A76" s="75" t="s">
        <v>28</v>
      </c>
      <c r="B76" s="76"/>
      <c r="C76" s="77"/>
      <c r="D76" s="78"/>
      <c r="E76" s="78"/>
      <c r="F76" s="78"/>
      <c r="G76" s="78"/>
      <c r="H76" s="78"/>
      <c r="I76" s="78"/>
      <c r="J76" s="79">
        <v>426</v>
      </c>
    </row>
    <row r="77" spans="1:10" x14ac:dyDescent="0.25">
      <c r="A77" s="80"/>
      <c r="B77" s="2"/>
      <c r="C77" s="63"/>
      <c r="D77" s="3"/>
      <c r="E77" s="3"/>
      <c r="F77" s="3"/>
      <c r="G77" s="3"/>
      <c r="H77" s="3"/>
      <c r="I77" s="3"/>
      <c r="J77" s="3"/>
    </row>
    <row r="78" spans="1:10" ht="16.5" thickBot="1" x14ac:dyDescent="0.3">
      <c r="A78" s="73"/>
      <c r="B78" s="74"/>
      <c r="C78" s="63"/>
      <c r="D78" s="3"/>
      <c r="E78" s="3"/>
      <c r="F78" s="3"/>
      <c r="G78" s="3"/>
      <c r="H78" s="3"/>
      <c r="I78" s="3"/>
      <c r="J78" s="3"/>
    </row>
    <row r="79" spans="1:10" ht="19.5" thickBot="1" x14ac:dyDescent="0.35">
      <c r="A79" s="75" t="s">
        <v>29</v>
      </c>
      <c r="B79" s="76"/>
      <c r="C79" s="81"/>
      <c r="D79" s="78"/>
      <c r="E79" s="78"/>
      <c r="F79" s="78"/>
      <c r="G79" s="78"/>
      <c r="H79" s="78"/>
      <c r="I79" s="78"/>
      <c r="J79" s="82"/>
    </row>
    <row r="80" spans="1:10" ht="15.75" thickBot="1" x14ac:dyDescent="0.3">
      <c r="A80" s="80"/>
      <c r="B80" s="2"/>
      <c r="C80" s="63"/>
      <c r="D80" s="3"/>
      <c r="E80" s="3"/>
      <c r="F80" s="3"/>
      <c r="G80" s="3"/>
      <c r="H80" s="3"/>
      <c r="I80" s="3"/>
      <c r="J80" s="3"/>
    </row>
    <row r="81" spans="1:10" ht="21.75" thickBot="1" x14ac:dyDescent="0.4">
      <c r="A81" s="556" t="s">
        <v>30</v>
      </c>
      <c r="B81" s="557"/>
      <c r="C81" s="83"/>
      <c r="D81" s="84"/>
      <c r="E81" s="84"/>
      <c r="F81" s="84"/>
      <c r="G81" s="84"/>
      <c r="H81" s="84"/>
      <c r="I81" s="84"/>
      <c r="J81" s="85">
        <f>SUM(J67:J80)</f>
        <v>2081.1999999999998</v>
      </c>
    </row>
    <row r="82" spans="1:10" x14ac:dyDescent="0.25">
      <c r="A82" s="2"/>
      <c r="B82" s="2"/>
      <c r="C82" s="63"/>
      <c r="D82" s="3"/>
      <c r="E82" s="3"/>
      <c r="F82" s="3"/>
      <c r="G82" s="3"/>
      <c r="H82" s="3"/>
      <c r="I82" s="3"/>
      <c r="J82" s="3"/>
    </row>
    <row r="83" spans="1:10" ht="21" x14ac:dyDescent="0.35">
      <c r="A83" s="553" t="s">
        <v>782</v>
      </c>
      <c r="B83" s="553"/>
      <c r="C83" s="553"/>
      <c r="D83" s="553"/>
      <c r="E83" s="553"/>
      <c r="F83" s="553"/>
      <c r="G83" s="553"/>
      <c r="H83" s="553"/>
      <c r="I83" s="553"/>
      <c r="J83" s="553"/>
    </row>
    <row r="84" spans="1:10" ht="21.75" thickBot="1" x14ac:dyDescent="0.4">
      <c r="A84" s="486" t="s">
        <v>31</v>
      </c>
      <c r="B84" s="486"/>
      <c r="C84" s="486"/>
      <c r="D84" s="486"/>
      <c r="E84" s="486"/>
      <c r="F84" s="486"/>
      <c r="G84" s="486"/>
      <c r="H84" s="486"/>
      <c r="I84" s="486"/>
      <c r="J84" s="87"/>
    </row>
    <row r="85" spans="1:10" ht="15.75" thickBot="1" x14ac:dyDescent="0.3">
      <c r="A85" s="88" t="s">
        <v>32</v>
      </c>
      <c r="B85" s="89" t="s">
        <v>33</v>
      </c>
      <c r="C85" s="558" t="s">
        <v>2</v>
      </c>
      <c r="D85" s="559"/>
      <c r="E85" s="559"/>
      <c r="F85" s="559"/>
      <c r="G85" s="559"/>
      <c r="H85" s="559"/>
      <c r="I85" s="560"/>
      <c r="J85" s="90" t="s">
        <v>9</v>
      </c>
    </row>
    <row r="86" spans="1:10" ht="15.75" thickBot="1" x14ac:dyDescent="0.3">
      <c r="A86" s="91" t="s">
        <v>806</v>
      </c>
      <c r="B86" s="92">
        <v>754</v>
      </c>
      <c r="C86" s="550" t="s">
        <v>807</v>
      </c>
      <c r="D86" s="551"/>
      <c r="E86" s="551"/>
      <c r="F86" s="551"/>
      <c r="G86" s="551"/>
      <c r="H86" s="551"/>
      <c r="I86" s="551"/>
      <c r="J86" s="22">
        <v>23</v>
      </c>
    </row>
    <row r="87" spans="1:10" ht="36.75" customHeight="1" thickBot="1" x14ac:dyDescent="0.3">
      <c r="A87" s="40" t="s">
        <v>808</v>
      </c>
      <c r="B87" s="92" t="s">
        <v>809</v>
      </c>
      <c r="C87" s="550" t="s">
        <v>810</v>
      </c>
      <c r="D87" s="551"/>
      <c r="E87" s="551"/>
      <c r="F87" s="551"/>
      <c r="G87" s="551"/>
      <c r="H87" s="552"/>
      <c r="I87" s="552"/>
      <c r="J87" s="22">
        <v>160</v>
      </c>
    </row>
    <row r="88" spans="1:10" ht="30.75" thickBot="1" x14ac:dyDescent="0.3">
      <c r="A88" s="40" t="s">
        <v>320</v>
      </c>
      <c r="B88" s="92" t="s">
        <v>812</v>
      </c>
      <c r="C88" s="561" t="s">
        <v>813</v>
      </c>
      <c r="D88" s="562"/>
      <c r="E88" s="562"/>
      <c r="F88" s="562"/>
      <c r="G88" s="562"/>
      <c r="H88" s="562"/>
      <c r="I88" s="562"/>
      <c r="J88" s="93">
        <v>30</v>
      </c>
    </row>
    <row r="89" spans="1:10" ht="15.75" thickBot="1" x14ac:dyDescent="0.3">
      <c r="A89" s="40" t="s">
        <v>815</v>
      </c>
      <c r="B89" s="92" t="s">
        <v>816</v>
      </c>
      <c r="C89" s="550" t="s">
        <v>817</v>
      </c>
      <c r="D89" s="551"/>
      <c r="E89" s="551"/>
      <c r="F89" s="551"/>
      <c r="G89" s="551"/>
      <c r="H89" s="552"/>
      <c r="I89" s="552"/>
      <c r="J89" s="22">
        <v>325</v>
      </c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22"/>
    </row>
    <row r="91" spans="1:10" ht="15.75" thickBot="1" x14ac:dyDescent="0.3">
      <c r="A91" s="40"/>
      <c r="B91" s="92"/>
      <c r="C91" s="550"/>
      <c r="D91" s="551"/>
      <c r="E91" s="551"/>
      <c r="F91" s="551"/>
      <c r="G91" s="551"/>
      <c r="H91" s="552"/>
      <c r="I91" s="552"/>
      <c r="J91" s="22"/>
    </row>
    <row r="92" spans="1:10" ht="15.75" thickBot="1" x14ac:dyDescent="0.3">
      <c r="A92" s="40"/>
      <c r="B92" s="92"/>
      <c r="C92" s="550"/>
      <c r="D92" s="551"/>
      <c r="E92" s="551"/>
      <c r="F92" s="551"/>
      <c r="G92" s="551"/>
      <c r="H92" s="552"/>
      <c r="I92" s="552"/>
      <c r="J92" s="22"/>
    </row>
    <row r="93" spans="1:10" ht="15.75" thickBot="1" x14ac:dyDescent="0.3">
      <c r="A93" s="40"/>
      <c r="B93" s="92"/>
      <c r="C93" s="550"/>
      <c r="D93" s="551"/>
      <c r="E93" s="551"/>
      <c r="F93" s="551"/>
      <c r="G93" s="551"/>
      <c r="H93" s="552"/>
      <c r="I93" s="552"/>
      <c r="J93" s="22"/>
    </row>
    <row r="94" spans="1:10" ht="15.75" thickBot="1" x14ac:dyDescent="0.3">
      <c r="A94" s="40"/>
      <c r="B94" s="92"/>
      <c r="C94" s="550"/>
      <c r="D94" s="551"/>
      <c r="E94" s="551"/>
      <c r="F94" s="551"/>
      <c r="G94" s="551"/>
      <c r="H94" s="552"/>
      <c r="I94" s="552"/>
      <c r="J94" s="37"/>
    </row>
    <row r="95" spans="1:10" ht="15.75" thickBot="1" x14ac:dyDescent="0.3">
      <c r="A95" s="40"/>
      <c r="B95" s="92"/>
      <c r="C95" s="550"/>
      <c r="D95" s="551"/>
      <c r="E95" s="551"/>
      <c r="F95" s="551"/>
      <c r="G95" s="551"/>
      <c r="H95" s="552"/>
      <c r="I95" s="552"/>
      <c r="J95" s="37"/>
    </row>
    <row r="96" spans="1:10" ht="15.75" thickBot="1" x14ac:dyDescent="0.3">
      <c r="A96" s="40"/>
      <c r="B96" s="92"/>
      <c r="C96" s="550"/>
      <c r="D96" s="551"/>
      <c r="E96" s="551"/>
      <c r="F96" s="551"/>
      <c r="G96" s="551"/>
      <c r="H96" s="552"/>
      <c r="I96" s="552"/>
      <c r="J96" s="37"/>
    </row>
    <row r="97" spans="1:10" ht="15.75" thickBot="1" x14ac:dyDescent="0.3">
      <c r="A97" s="40"/>
      <c r="B97" s="92"/>
      <c r="C97" s="550"/>
      <c r="D97" s="551"/>
      <c r="E97" s="551"/>
      <c r="F97" s="551"/>
      <c r="G97" s="551"/>
      <c r="H97" s="552"/>
      <c r="I97" s="552"/>
      <c r="J97" s="37"/>
    </row>
    <row r="98" spans="1:10" ht="15.75" thickBot="1" x14ac:dyDescent="0.3">
      <c r="A98" s="40"/>
      <c r="B98" s="92"/>
      <c r="C98" s="550"/>
      <c r="D98" s="551"/>
      <c r="E98" s="551"/>
      <c r="F98" s="551"/>
      <c r="G98" s="551"/>
      <c r="H98" s="552"/>
      <c r="I98" s="552"/>
      <c r="J98" s="37"/>
    </row>
    <row r="99" spans="1:10" ht="19.5" thickBot="1" x14ac:dyDescent="0.35">
      <c r="A99" s="94" t="s">
        <v>34</v>
      </c>
      <c r="B99" s="554"/>
      <c r="C99" s="563"/>
      <c r="D99" s="563"/>
      <c r="E99" s="563"/>
      <c r="F99" s="563"/>
      <c r="G99" s="563"/>
      <c r="H99" s="563"/>
      <c r="I99" s="563"/>
      <c r="J99" s="95">
        <f>SUM(J86:J98)</f>
        <v>538</v>
      </c>
    </row>
    <row r="100" spans="1:10" ht="19.5" thickBot="1" x14ac:dyDescent="0.35">
      <c r="A100" s="515"/>
      <c r="B100" s="515"/>
      <c r="C100" s="515"/>
      <c r="D100" s="515"/>
      <c r="E100" s="515"/>
      <c r="F100" s="515"/>
      <c r="G100" s="515"/>
      <c r="H100" s="515"/>
      <c r="I100" s="515"/>
      <c r="J100" s="30"/>
    </row>
    <row r="101" spans="1:10" ht="21.75" thickBot="1" x14ac:dyDescent="0.4">
      <c r="A101" s="343" t="s">
        <v>298</v>
      </c>
      <c r="B101" s="495"/>
      <c r="C101" s="495"/>
      <c r="D101" s="495"/>
      <c r="E101" s="495"/>
      <c r="F101" s="495"/>
      <c r="G101" s="495"/>
      <c r="H101" s="495"/>
      <c r="I101" s="87"/>
      <c r="J101" s="30"/>
    </row>
    <row r="102" spans="1:10" ht="19.5" thickBot="1" x14ac:dyDescent="0.35">
      <c r="A102" s="344" t="s">
        <v>32</v>
      </c>
      <c r="B102" s="89" t="s">
        <v>33</v>
      </c>
      <c r="C102" s="558" t="s">
        <v>2</v>
      </c>
      <c r="D102" s="559"/>
      <c r="E102" s="559"/>
      <c r="F102" s="559"/>
      <c r="G102" s="559"/>
      <c r="H102" s="560"/>
      <c r="I102" s="90" t="s">
        <v>9</v>
      </c>
      <c r="J102" s="30"/>
    </row>
    <row r="103" spans="1:10" ht="19.5" thickBot="1" x14ac:dyDescent="0.35">
      <c r="A103" s="564" t="s">
        <v>299</v>
      </c>
      <c r="B103" s="92">
        <v>934</v>
      </c>
      <c r="C103" s="561" t="s">
        <v>300</v>
      </c>
      <c r="D103" s="562"/>
      <c r="E103" s="562"/>
      <c r="F103" s="562"/>
      <c r="G103" s="562"/>
      <c r="H103" s="562"/>
      <c r="I103" s="37">
        <v>10</v>
      </c>
      <c r="J103" s="30"/>
    </row>
    <row r="104" spans="1:10" ht="19.5" thickBot="1" x14ac:dyDescent="0.35">
      <c r="A104" s="565"/>
      <c r="B104" s="92">
        <v>935</v>
      </c>
      <c r="C104" s="561" t="s">
        <v>300</v>
      </c>
      <c r="D104" s="562"/>
      <c r="E104" s="562"/>
      <c r="F104" s="562"/>
      <c r="G104" s="562"/>
      <c r="H104" s="562"/>
      <c r="I104" s="37">
        <v>15</v>
      </c>
      <c r="J104" s="30"/>
    </row>
    <row r="105" spans="1:10" ht="19.5" thickBot="1" x14ac:dyDescent="0.35">
      <c r="A105" s="40"/>
      <c r="B105" s="92"/>
      <c r="C105" s="561"/>
      <c r="D105" s="562"/>
      <c r="E105" s="562"/>
      <c r="F105" s="562"/>
      <c r="G105" s="562"/>
      <c r="H105" s="598"/>
      <c r="I105" s="37"/>
      <c r="J105" s="30"/>
    </row>
    <row r="106" spans="1:10" ht="19.5" thickBot="1" x14ac:dyDescent="0.35">
      <c r="A106" s="345" t="s">
        <v>34</v>
      </c>
      <c r="B106" s="554"/>
      <c r="C106" s="563"/>
      <c r="D106" s="563"/>
      <c r="E106" s="563"/>
      <c r="F106" s="563"/>
      <c r="G106" s="563"/>
      <c r="H106" s="563"/>
      <c r="I106" s="95">
        <f>SUM(I103:I105)</f>
        <v>25</v>
      </c>
      <c r="J106" s="30"/>
    </row>
    <row r="107" spans="1:10" ht="18.75" x14ac:dyDescent="0.3">
      <c r="A107" s="27"/>
      <c r="B107" s="27"/>
      <c r="C107" s="96"/>
      <c r="D107" s="96"/>
      <c r="E107" s="96"/>
      <c r="F107" s="97"/>
      <c r="G107" s="96"/>
      <c r="H107" s="96"/>
      <c r="I107" s="96"/>
      <c r="J107" s="30"/>
    </row>
    <row r="108" spans="1:10" ht="18.75" x14ac:dyDescent="0.3">
      <c r="A108" s="58" t="s">
        <v>35</v>
      </c>
      <c r="B108" s="27"/>
      <c r="C108" s="2"/>
      <c r="D108" s="3"/>
      <c r="F108" s="3"/>
      <c r="J108" s="3"/>
    </row>
    <row r="109" spans="1:10" x14ac:dyDescent="0.25">
      <c r="A109" s="2" t="s">
        <v>36</v>
      </c>
      <c r="B109" s="63">
        <f>+J81</f>
        <v>2081.1999999999998</v>
      </c>
      <c r="C109" s="98"/>
      <c r="D109" s="3"/>
      <c r="F109" s="3"/>
      <c r="J109" s="3"/>
    </row>
    <row r="110" spans="1:10" ht="15.75" thickBot="1" x14ac:dyDescent="0.3">
      <c r="A110" s="2" t="s">
        <v>34</v>
      </c>
      <c r="B110" s="99">
        <f>+J99</f>
        <v>538</v>
      </c>
      <c r="C110" s="100"/>
      <c r="D110" s="3"/>
      <c r="F110" s="3"/>
      <c r="G110" s="101"/>
      <c r="H110" s="101"/>
      <c r="I110" s="102"/>
      <c r="J110" s="102"/>
    </row>
    <row r="111" spans="1:10" ht="17.25" thickTop="1" thickBot="1" x14ac:dyDescent="0.3">
      <c r="A111" s="58" t="s">
        <v>37</v>
      </c>
      <c r="B111" s="103">
        <f>++B109-B110</f>
        <v>1543.1999999999998</v>
      </c>
      <c r="C111" s="104"/>
      <c r="D111" s="105"/>
      <c r="E111" s="106"/>
      <c r="F111" s="105"/>
      <c r="G111" s="107"/>
      <c r="H111" s="107"/>
      <c r="I111" s="3"/>
    </row>
    <row r="112" spans="1:10" ht="15.75" thickTop="1" x14ac:dyDescent="0.25"/>
  </sheetData>
  <mergeCells count="33">
    <mergeCell ref="A18:A19"/>
    <mergeCell ref="C97:I97"/>
    <mergeCell ref="C98:I98"/>
    <mergeCell ref="C87:I87"/>
    <mergeCell ref="C95:I95"/>
    <mergeCell ref="A1:J1"/>
    <mergeCell ref="A67:B67"/>
    <mergeCell ref="A81:B81"/>
    <mergeCell ref="A83:J83"/>
    <mergeCell ref="C85:I85"/>
    <mergeCell ref="B5:B7"/>
    <mergeCell ref="A5:A7"/>
    <mergeCell ref="B50:B51"/>
    <mergeCell ref="A50:A51"/>
    <mergeCell ref="B53:B55"/>
    <mergeCell ref="A53:A55"/>
    <mergeCell ref="B18:B19"/>
    <mergeCell ref="C105:H105"/>
    <mergeCell ref="B106:H106"/>
    <mergeCell ref="C86:I86"/>
    <mergeCell ref="C102:H102"/>
    <mergeCell ref="A103:A104"/>
    <mergeCell ref="C103:H103"/>
    <mergeCell ref="C104:H104"/>
    <mergeCell ref="C88:I88"/>
    <mergeCell ref="C89:I89"/>
    <mergeCell ref="C90:I90"/>
    <mergeCell ref="C91:I91"/>
    <mergeCell ref="C92:I92"/>
    <mergeCell ref="B99:I99"/>
    <mergeCell ref="C93:I93"/>
    <mergeCell ref="C94:I94"/>
    <mergeCell ref="C96:I96"/>
  </mergeCells>
  <phoneticPr fontId="13" type="noConversion"/>
  <pageMargins left="0.17" right="0.17" top="0.61" bottom="0.17" header="0.17" footer="0.17"/>
  <pageSetup paperSize="9" scale="2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A6A5-E9AD-4634-9B07-0D692C315218}">
  <sheetPr>
    <pageSetUpPr fitToPage="1"/>
  </sheetPr>
  <dimension ref="A1:N99"/>
  <sheetViews>
    <sheetView workbookViewId="0">
      <selection activeCell="K69" sqref="K69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1" max="11" width="14" bestFit="1" customWidth="1"/>
  </cols>
  <sheetData>
    <row r="1" spans="1:11" ht="21" x14ac:dyDescent="0.35">
      <c r="A1" s="553" t="s">
        <v>818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</row>
    <row r="2" spans="1:11" ht="15.75" thickBot="1" x14ac:dyDescent="0.3">
      <c r="A2" s="1"/>
      <c r="B2" s="2"/>
      <c r="C2" s="2"/>
      <c r="K2" s="3"/>
    </row>
    <row r="3" spans="1:11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11"/>
      <c r="K3" s="5" t="s">
        <v>9</v>
      </c>
    </row>
    <row r="4" spans="1:11" ht="15.75" thickBot="1" x14ac:dyDescent="0.3">
      <c r="A4" s="6" t="s">
        <v>10</v>
      </c>
      <c r="B4" s="6" t="s">
        <v>827</v>
      </c>
      <c r="C4" s="7">
        <v>46054</v>
      </c>
      <c r="D4" s="8"/>
      <c r="E4" s="8"/>
      <c r="F4" s="8"/>
      <c r="G4" s="8"/>
      <c r="H4" s="8"/>
      <c r="I4" s="8">
        <v>10</v>
      </c>
      <c r="J4" s="512"/>
      <c r="K4" s="5">
        <f>SUM(D4:I4)</f>
        <v>10</v>
      </c>
    </row>
    <row r="5" spans="1:11" ht="15.75" thickBot="1" x14ac:dyDescent="0.3">
      <c r="A5" s="6" t="s">
        <v>7</v>
      </c>
      <c r="B5" s="6" t="s">
        <v>841</v>
      </c>
      <c r="C5" s="7">
        <v>46054</v>
      </c>
      <c r="D5" s="8"/>
      <c r="E5" s="8"/>
      <c r="F5" s="8"/>
      <c r="G5" s="8"/>
      <c r="H5" s="8">
        <v>62.7</v>
      </c>
      <c r="I5" s="8"/>
      <c r="J5" s="512"/>
      <c r="K5" s="5">
        <f t="shared" ref="K5:K21" si="0">SUM(D5:I5)</f>
        <v>62.7</v>
      </c>
    </row>
    <row r="6" spans="1:11" ht="15.75" thickBot="1" x14ac:dyDescent="0.3">
      <c r="A6" s="6"/>
      <c r="B6" s="6"/>
      <c r="C6" s="7"/>
      <c r="D6" s="8"/>
      <c r="E6" s="8"/>
      <c r="F6" s="8"/>
      <c r="G6" s="8"/>
      <c r="H6" s="8"/>
      <c r="I6" s="8"/>
      <c r="J6" s="512"/>
      <c r="K6" s="5">
        <f t="shared" si="0"/>
        <v>0</v>
      </c>
    </row>
    <row r="7" spans="1:11" ht="15.75" thickBot="1" x14ac:dyDescent="0.3">
      <c r="A7" s="6"/>
      <c r="B7" s="6"/>
      <c r="C7" s="7"/>
      <c r="D7" s="8"/>
      <c r="E7" s="8"/>
      <c r="F7" s="8"/>
      <c r="G7" s="8"/>
      <c r="H7" s="8"/>
      <c r="I7" s="8"/>
      <c r="J7" s="512"/>
      <c r="K7" s="5">
        <f t="shared" si="0"/>
        <v>0</v>
      </c>
    </row>
    <row r="8" spans="1:11" ht="15.75" thickBot="1" x14ac:dyDescent="0.3">
      <c r="A8" s="6"/>
      <c r="B8" s="6"/>
      <c r="C8" s="7"/>
      <c r="D8" s="8"/>
      <c r="E8" s="8"/>
      <c r="F8" s="8"/>
      <c r="G8" s="8"/>
      <c r="H8" s="8"/>
      <c r="I8" s="8"/>
      <c r="J8" s="512"/>
      <c r="K8" s="5">
        <f t="shared" si="0"/>
        <v>0</v>
      </c>
    </row>
    <row r="9" spans="1:11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12"/>
      <c r="K9" s="5">
        <f t="shared" si="0"/>
        <v>0</v>
      </c>
    </row>
    <row r="10" spans="1:11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12"/>
      <c r="K10" s="5">
        <f t="shared" si="0"/>
        <v>0</v>
      </c>
    </row>
    <row r="11" spans="1:11" ht="15.75" thickBot="1" x14ac:dyDescent="0.3">
      <c r="A11" s="501"/>
      <c r="B11" s="6"/>
      <c r="C11" s="7"/>
      <c r="D11" s="8"/>
      <c r="E11" s="8"/>
      <c r="F11" s="8"/>
      <c r="G11" s="8"/>
      <c r="H11" s="8"/>
      <c r="I11" s="8"/>
      <c r="J11" s="512"/>
      <c r="K11" s="5">
        <f t="shared" si="0"/>
        <v>0</v>
      </c>
    </row>
    <row r="12" spans="1:11" ht="15.75" thickBot="1" x14ac:dyDescent="0.3">
      <c r="A12" s="501"/>
      <c r="B12" s="498"/>
      <c r="C12" s="7"/>
      <c r="D12" s="8"/>
      <c r="E12" s="8"/>
      <c r="F12" s="8"/>
      <c r="G12" s="8"/>
      <c r="H12" s="8"/>
      <c r="I12" s="11"/>
      <c r="J12" s="17"/>
      <c r="K12" s="12">
        <f t="shared" si="0"/>
        <v>0</v>
      </c>
    </row>
    <row r="13" spans="1:11" ht="15.75" thickBot="1" x14ac:dyDescent="0.3">
      <c r="A13" s="6"/>
      <c r="B13" s="6"/>
      <c r="C13" s="7"/>
      <c r="D13" s="8"/>
      <c r="E13" s="8"/>
      <c r="F13" s="8"/>
      <c r="G13" s="8"/>
      <c r="H13" s="8"/>
      <c r="I13" s="8"/>
      <c r="J13" s="512"/>
      <c r="K13" s="5">
        <f t="shared" si="0"/>
        <v>0</v>
      </c>
    </row>
    <row r="14" spans="1:11" ht="15.75" thickBot="1" x14ac:dyDescent="0.3">
      <c r="A14" s="13"/>
      <c r="B14" s="499"/>
      <c r="C14" s="7"/>
      <c r="D14" s="8"/>
      <c r="E14" s="8"/>
      <c r="F14" s="8"/>
      <c r="G14" s="8"/>
      <c r="H14" s="8"/>
      <c r="I14" s="8"/>
      <c r="J14" s="512"/>
      <c r="K14" s="5">
        <f t="shared" si="0"/>
        <v>0</v>
      </c>
    </row>
    <row r="15" spans="1:11" ht="15.75" thickBot="1" x14ac:dyDescent="0.3">
      <c r="A15" s="15"/>
      <c r="B15" s="13"/>
      <c r="C15" s="7"/>
      <c r="D15" s="8"/>
      <c r="E15" s="8"/>
      <c r="F15" s="8"/>
      <c r="G15" s="8"/>
      <c r="H15" s="8"/>
      <c r="I15" s="8"/>
      <c r="J15" s="512"/>
      <c r="K15" s="5">
        <f t="shared" si="0"/>
        <v>0</v>
      </c>
    </row>
    <row r="16" spans="1:11" ht="15.75" thickBot="1" x14ac:dyDescent="0.3">
      <c r="A16" s="496"/>
      <c r="B16" s="496"/>
      <c r="C16" s="7"/>
      <c r="D16" s="8"/>
      <c r="E16" s="8"/>
      <c r="F16" s="8"/>
      <c r="G16" s="8"/>
      <c r="H16" s="8"/>
      <c r="I16" s="8"/>
      <c r="J16" s="512"/>
      <c r="K16" s="5">
        <f t="shared" si="0"/>
        <v>0</v>
      </c>
    </row>
    <row r="17" spans="1:14" ht="15.75" thickBot="1" x14ac:dyDescent="0.3">
      <c r="A17" s="17"/>
      <c r="B17" s="496"/>
      <c r="C17" s="7"/>
      <c r="D17" s="8"/>
      <c r="E17" s="8"/>
      <c r="F17" s="8"/>
      <c r="G17" s="8"/>
      <c r="H17" s="8"/>
      <c r="I17" s="8"/>
      <c r="J17" s="512"/>
      <c r="K17" s="5">
        <f t="shared" si="0"/>
        <v>0</v>
      </c>
    </row>
    <row r="18" spans="1:14" ht="15.75" thickBot="1" x14ac:dyDescent="0.3">
      <c r="A18" s="17"/>
      <c r="B18" s="496"/>
      <c r="C18" s="7"/>
      <c r="D18" s="8"/>
      <c r="E18" s="8"/>
      <c r="F18" s="8"/>
      <c r="G18" s="8"/>
      <c r="H18" s="8"/>
      <c r="I18" s="8"/>
      <c r="J18" s="512"/>
      <c r="K18" s="5">
        <f t="shared" si="0"/>
        <v>0</v>
      </c>
    </row>
    <row r="19" spans="1:14" ht="15.75" thickBot="1" x14ac:dyDescent="0.3">
      <c r="A19" s="18"/>
      <c r="B19" s="496"/>
      <c r="C19" s="7"/>
      <c r="D19" s="8"/>
      <c r="E19" s="8"/>
      <c r="F19" s="8"/>
      <c r="G19" s="8"/>
      <c r="H19" s="8"/>
      <c r="I19" s="8"/>
      <c r="J19" s="512"/>
      <c r="K19" s="5">
        <f t="shared" si="0"/>
        <v>0</v>
      </c>
    </row>
    <row r="20" spans="1:14" ht="15.75" thickBot="1" x14ac:dyDescent="0.3">
      <c r="A20" s="500"/>
      <c r="B20" s="500"/>
      <c r="C20" s="7"/>
      <c r="D20" s="8"/>
      <c r="E20" s="8"/>
      <c r="F20" s="8"/>
      <c r="G20" s="8"/>
      <c r="H20" s="8"/>
      <c r="I20" s="8"/>
      <c r="J20" s="512"/>
      <c r="K20" s="5">
        <f t="shared" si="0"/>
        <v>0</v>
      </c>
    </row>
    <row r="21" spans="1:14" ht="15.75" thickBot="1" x14ac:dyDescent="0.3">
      <c r="A21" s="496"/>
      <c r="B21" s="497"/>
      <c r="C21" s="21"/>
      <c r="D21" s="22"/>
      <c r="E21" s="22"/>
      <c r="F21" s="22"/>
      <c r="G21" s="22"/>
      <c r="H21" s="22"/>
      <c r="I21" s="22"/>
      <c r="J21" s="513"/>
      <c r="K21" s="5">
        <f t="shared" si="0"/>
        <v>0</v>
      </c>
    </row>
    <row r="22" spans="1:14" ht="19.5" thickBot="1" x14ac:dyDescent="0.35">
      <c r="A22" s="23" t="s">
        <v>9</v>
      </c>
      <c r="B22" s="4"/>
      <c r="C22" s="24"/>
      <c r="D22" s="25">
        <f t="shared" ref="D22:K22" si="1">SUM(D4:D21)</f>
        <v>0</v>
      </c>
      <c r="E22" s="25">
        <f t="shared" si="1"/>
        <v>0</v>
      </c>
      <c r="F22" s="25">
        <f t="shared" si="1"/>
        <v>0</v>
      </c>
      <c r="G22" s="25">
        <f t="shared" si="1"/>
        <v>0</v>
      </c>
      <c r="H22" s="25">
        <f t="shared" si="1"/>
        <v>62.7</v>
      </c>
      <c r="I22" s="25">
        <f t="shared" si="1"/>
        <v>10</v>
      </c>
      <c r="J22" s="26"/>
      <c r="K22" s="26">
        <f t="shared" si="1"/>
        <v>72.7</v>
      </c>
    </row>
    <row r="23" spans="1:14" ht="19.5" thickBot="1" x14ac:dyDescent="0.35">
      <c r="A23" s="27"/>
      <c r="B23" s="28"/>
      <c r="C23" s="29"/>
      <c r="D23" s="30"/>
      <c r="E23" s="30"/>
      <c r="F23" s="30"/>
      <c r="G23" s="30"/>
      <c r="H23" s="30"/>
      <c r="I23" s="30"/>
      <c r="J23" s="30"/>
      <c r="K23" s="30"/>
    </row>
    <row r="24" spans="1:14" ht="24" thickBot="1" x14ac:dyDescent="0.4">
      <c r="A24" s="31" t="s">
        <v>12</v>
      </c>
      <c r="B24" s="28"/>
      <c r="C24" s="29"/>
      <c r="D24" s="30"/>
      <c r="E24" s="30"/>
      <c r="F24" s="30"/>
      <c r="G24" s="30"/>
      <c r="H24" s="30"/>
      <c r="I24" s="30"/>
      <c r="J24" s="30"/>
      <c r="K24" s="30"/>
    </row>
    <row r="25" spans="1:14" ht="15.75" thickBot="1" x14ac:dyDescent="0.3">
      <c r="A25" s="32" t="s">
        <v>13</v>
      </c>
      <c r="B25" s="4" t="s">
        <v>1</v>
      </c>
      <c r="C25" s="33" t="s">
        <v>14</v>
      </c>
      <c r="D25" s="33" t="s">
        <v>3</v>
      </c>
      <c r="E25" s="33" t="s">
        <v>4</v>
      </c>
      <c r="F25" s="4" t="s">
        <v>5</v>
      </c>
      <c r="G25" s="4" t="s">
        <v>6</v>
      </c>
      <c r="H25" s="4" t="s">
        <v>15</v>
      </c>
      <c r="I25" s="4" t="s">
        <v>8</v>
      </c>
      <c r="J25" s="4"/>
      <c r="K25" s="34" t="s">
        <v>9</v>
      </c>
    </row>
    <row r="26" spans="1:14" ht="15.75" thickBot="1" x14ac:dyDescent="0.3">
      <c r="A26" s="500"/>
      <c r="B26" s="21"/>
      <c r="C26" s="21"/>
      <c r="D26" s="35"/>
      <c r="E26" s="36"/>
      <c r="F26" s="35"/>
      <c r="G26" s="35"/>
      <c r="H26" s="37"/>
      <c r="I26" s="37"/>
      <c r="J26" s="37"/>
      <c r="K26" s="38">
        <f>SUM(D26:I26)</f>
        <v>0</v>
      </c>
    </row>
    <row r="27" spans="1:14" ht="15.75" thickBot="1" x14ac:dyDescent="0.3">
      <c r="A27" s="500"/>
      <c r="B27" s="21"/>
      <c r="C27" s="21"/>
      <c r="D27" s="35"/>
      <c r="E27" s="35"/>
      <c r="F27" s="35"/>
      <c r="G27" s="35"/>
      <c r="H27" s="37"/>
      <c r="I27" s="37"/>
      <c r="J27" s="37"/>
      <c r="K27" s="38">
        <f t="shared" ref="K27:K29" si="2">SUM(D27:I27)</f>
        <v>0</v>
      </c>
    </row>
    <row r="28" spans="1:14" ht="15.75" thickBot="1" x14ac:dyDescent="0.3">
      <c r="A28" s="500"/>
      <c r="B28" s="496"/>
      <c r="C28" s="7"/>
      <c r="D28" s="39"/>
      <c r="E28" s="39"/>
      <c r="F28" s="39"/>
      <c r="G28" s="39"/>
      <c r="H28" s="8"/>
      <c r="I28" s="8"/>
      <c r="J28" s="8"/>
      <c r="K28" s="38">
        <f t="shared" si="2"/>
        <v>0</v>
      </c>
    </row>
    <row r="29" spans="1:14" ht="15.75" thickBot="1" x14ac:dyDescent="0.3">
      <c r="A29" s="4"/>
      <c r="B29" s="40"/>
      <c r="C29" s="7"/>
      <c r="D29" s="39"/>
      <c r="E29" s="39"/>
      <c r="F29" s="39"/>
      <c r="G29" s="39"/>
      <c r="H29" s="8"/>
      <c r="I29" s="8"/>
      <c r="J29" s="8"/>
      <c r="K29" s="38">
        <f t="shared" si="2"/>
        <v>0</v>
      </c>
      <c r="M29" s="41" t="s">
        <v>16</v>
      </c>
      <c r="N29" s="42">
        <f>K30+K38</f>
        <v>0</v>
      </c>
    </row>
    <row r="30" spans="1:14" ht="15.75" thickBot="1" x14ac:dyDescent="0.3">
      <c r="A30" s="4" t="s">
        <v>9</v>
      </c>
      <c r="B30" s="43"/>
      <c r="C30" s="44"/>
      <c r="D30" s="45"/>
      <c r="E30" s="45"/>
      <c r="F30" s="45"/>
      <c r="G30" s="45"/>
      <c r="H30" s="45"/>
      <c r="I30" s="45"/>
      <c r="J30" s="45"/>
      <c r="K30" s="12">
        <f>SUM(K26:K29)</f>
        <v>0</v>
      </c>
    </row>
    <row r="31" spans="1:14" ht="15.75" thickBot="1" x14ac:dyDescent="0.3">
      <c r="A31" s="28"/>
      <c r="B31" s="46"/>
      <c r="C31" s="47"/>
      <c r="D31" s="48"/>
      <c r="E31" s="48"/>
      <c r="F31" s="48"/>
      <c r="G31" s="48"/>
      <c r="H31" s="48"/>
      <c r="I31" s="48"/>
      <c r="J31" s="48"/>
      <c r="K31" s="49"/>
    </row>
    <row r="32" spans="1:14" ht="24" thickBot="1" x14ac:dyDescent="0.4">
      <c r="A32" s="31" t="s">
        <v>12</v>
      </c>
      <c r="B32" s="28"/>
      <c r="C32" s="29"/>
      <c r="D32" s="30"/>
      <c r="E32" s="30"/>
      <c r="F32" s="30"/>
      <c r="G32" s="30"/>
      <c r="H32" s="30"/>
      <c r="I32" s="30"/>
      <c r="J32" s="30"/>
      <c r="K32" s="30"/>
    </row>
    <row r="33" spans="1:14" ht="45.75" thickBot="1" x14ac:dyDescent="0.3">
      <c r="A33" s="50" t="s">
        <v>17</v>
      </c>
      <c r="B33" s="4" t="s">
        <v>18</v>
      </c>
      <c r="C33" s="33" t="s">
        <v>14</v>
      </c>
      <c r="D33" s="33" t="s">
        <v>3</v>
      </c>
      <c r="E33" s="33" t="s">
        <v>4</v>
      </c>
      <c r="F33" s="33" t="s">
        <v>19</v>
      </c>
      <c r="G33" s="33" t="s">
        <v>20</v>
      </c>
      <c r="H33" s="33" t="s">
        <v>15</v>
      </c>
      <c r="I33" s="51" t="s">
        <v>21</v>
      </c>
      <c r="J33" s="4"/>
      <c r="K33" s="34" t="s">
        <v>9</v>
      </c>
    </row>
    <row r="34" spans="1:14" ht="15.75" thickBot="1" x14ac:dyDescent="0.3">
      <c r="A34" s="52"/>
      <c r="B34" s="17"/>
      <c r="C34" s="7"/>
      <c r="D34" s="8"/>
      <c r="E34" s="8"/>
      <c r="F34" s="8"/>
      <c r="G34" s="8"/>
      <c r="H34" s="8"/>
      <c r="I34" s="8"/>
      <c r="J34" s="512"/>
      <c r="K34" s="5">
        <f t="shared" ref="K34:K37" si="3">SUM(D34:I34)</f>
        <v>0</v>
      </c>
    </row>
    <row r="35" spans="1:14" ht="15.75" thickBot="1" x14ac:dyDescent="0.3">
      <c r="A35" s="13"/>
      <c r="B35" s="21"/>
      <c r="C35" s="7"/>
      <c r="D35" s="35"/>
      <c r="E35" s="35"/>
      <c r="F35" s="35"/>
      <c r="G35" s="35"/>
      <c r="H35" s="37"/>
      <c r="I35" s="37"/>
      <c r="J35" s="37"/>
      <c r="K35" s="38">
        <f t="shared" si="3"/>
        <v>0</v>
      </c>
    </row>
    <row r="36" spans="1:14" ht="15.75" thickBot="1" x14ac:dyDescent="0.3">
      <c r="A36" s="500"/>
      <c r="B36" s="496"/>
      <c r="C36" s="7"/>
      <c r="D36" s="39"/>
      <c r="E36" s="39"/>
      <c r="F36" s="39"/>
      <c r="G36" s="39"/>
      <c r="H36" s="8"/>
      <c r="I36" s="8"/>
      <c r="J36" s="8"/>
      <c r="K36" s="38">
        <f t="shared" si="3"/>
        <v>0</v>
      </c>
    </row>
    <row r="37" spans="1:14" ht="15.75" thickBot="1" x14ac:dyDescent="0.3">
      <c r="A37" s="4"/>
      <c r="B37" s="40"/>
      <c r="C37" s="7"/>
      <c r="D37" s="39"/>
      <c r="E37" s="39"/>
      <c r="F37" s="39"/>
      <c r="G37" s="39"/>
      <c r="H37" s="8"/>
      <c r="I37" s="8"/>
      <c r="J37" s="8"/>
      <c r="K37" s="38">
        <f t="shared" si="3"/>
        <v>0</v>
      </c>
      <c r="M37" s="53"/>
      <c r="N37" s="54"/>
    </row>
    <row r="38" spans="1:14" ht="15.75" thickBot="1" x14ac:dyDescent="0.3">
      <c r="A38" s="4" t="s">
        <v>9</v>
      </c>
      <c r="B38" s="43"/>
      <c r="C38" s="44"/>
      <c r="D38" s="45"/>
      <c r="E38" s="45"/>
      <c r="F38" s="45"/>
      <c r="G38" s="45"/>
      <c r="H38" s="45"/>
      <c r="I38" s="45"/>
      <c r="J38" s="45"/>
      <c r="K38" s="12">
        <f>SUM(K34:K37)</f>
        <v>0</v>
      </c>
    </row>
    <row r="39" spans="1:14" x14ac:dyDescent="0.25">
      <c r="A39" s="28"/>
      <c r="B39" s="46"/>
      <c r="C39" s="47"/>
      <c r="D39" s="48"/>
      <c r="E39" s="48"/>
      <c r="F39" s="48"/>
      <c r="G39" s="48"/>
      <c r="H39" s="48"/>
      <c r="I39" s="48"/>
      <c r="J39" s="48"/>
      <c r="K39" s="49"/>
    </row>
    <row r="40" spans="1:14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8"/>
      <c r="K40" s="49"/>
    </row>
    <row r="41" spans="1:14" ht="15.75" thickBot="1" x14ac:dyDescent="0.3">
      <c r="A41" s="2"/>
      <c r="B41" s="2"/>
      <c r="C41" s="2"/>
      <c r="K41" s="3"/>
    </row>
    <row r="42" spans="1:14" ht="45.75" thickBot="1" x14ac:dyDescent="0.3">
      <c r="A42" s="33" t="s">
        <v>22</v>
      </c>
      <c r="B42" s="4" t="s">
        <v>18</v>
      </c>
      <c r="C42" s="33" t="s">
        <v>14</v>
      </c>
      <c r="D42" s="33" t="s">
        <v>3</v>
      </c>
      <c r="E42" s="33" t="s">
        <v>4</v>
      </c>
      <c r="F42" s="33" t="s">
        <v>19</v>
      </c>
      <c r="G42" s="33" t="s">
        <v>20</v>
      </c>
      <c r="H42" s="4" t="s">
        <v>21</v>
      </c>
      <c r="I42" s="51" t="s">
        <v>15</v>
      </c>
      <c r="J42" s="4" t="s">
        <v>180</v>
      </c>
      <c r="K42" s="34" t="s">
        <v>9</v>
      </c>
    </row>
    <row r="43" spans="1:14" ht="15.75" thickBot="1" x14ac:dyDescent="0.3">
      <c r="A43" s="564" t="s">
        <v>559</v>
      </c>
      <c r="B43" s="566" t="s">
        <v>820</v>
      </c>
      <c r="C43" s="21">
        <v>46023</v>
      </c>
      <c r="D43" s="37"/>
      <c r="E43" s="55"/>
      <c r="F43" s="37">
        <v>60</v>
      </c>
      <c r="G43" s="37">
        <v>5</v>
      </c>
      <c r="H43" s="37">
        <v>10</v>
      </c>
      <c r="I43" s="37"/>
      <c r="J43" s="37"/>
      <c r="K43" s="38">
        <f>SUM(D43:J43)</f>
        <v>75</v>
      </c>
    </row>
    <row r="44" spans="1:14" ht="15.75" thickBot="1" x14ac:dyDescent="0.3">
      <c r="A44" s="594"/>
      <c r="B44" s="597"/>
      <c r="C44" s="21">
        <v>46054</v>
      </c>
      <c r="D44" s="37"/>
      <c r="E44" s="37"/>
      <c r="F44" s="37">
        <v>56</v>
      </c>
      <c r="G44" s="37">
        <v>5</v>
      </c>
      <c r="H44" s="37"/>
      <c r="I44" s="37"/>
      <c r="J44" s="37"/>
      <c r="K44" s="38">
        <f t="shared" ref="K44:K56" si="4">SUM(D44:J44)</f>
        <v>61</v>
      </c>
    </row>
    <row r="45" spans="1:14" ht="15.75" thickBot="1" x14ac:dyDescent="0.3">
      <c r="A45" s="565"/>
      <c r="B45" s="567"/>
      <c r="C45" s="21">
        <v>46082</v>
      </c>
      <c r="D45" s="37"/>
      <c r="E45" s="37"/>
      <c r="F45" s="37">
        <v>60</v>
      </c>
      <c r="G45" s="37">
        <v>5</v>
      </c>
      <c r="H45" s="37"/>
      <c r="I45" s="37"/>
      <c r="J45" s="37"/>
      <c r="K45" s="38">
        <f t="shared" si="4"/>
        <v>65</v>
      </c>
    </row>
    <row r="46" spans="1:14" ht="15.75" thickBot="1" x14ac:dyDescent="0.3">
      <c r="A46" s="40" t="s">
        <v>821</v>
      </c>
      <c r="B46" s="21" t="s">
        <v>822</v>
      </c>
      <c r="C46" s="21">
        <v>46023</v>
      </c>
      <c r="D46" s="37">
        <v>75.5</v>
      </c>
      <c r="E46" s="37">
        <v>45</v>
      </c>
      <c r="F46" s="37"/>
      <c r="G46" s="37"/>
      <c r="H46" s="37"/>
      <c r="I46" s="37"/>
      <c r="J46" s="37"/>
      <c r="K46" s="38">
        <f t="shared" si="4"/>
        <v>120.5</v>
      </c>
    </row>
    <row r="47" spans="1:14" ht="15.75" thickBot="1" x14ac:dyDescent="0.3">
      <c r="A47" s="564" t="s">
        <v>648</v>
      </c>
      <c r="B47" s="566" t="s">
        <v>823</v>
      </c>
      <c r="C47" s="21">
        <v>45992</v>
      </c>
      <c r="D47" s="37">
        <v>24.2</v>
      </c>
      <c r="E47" s="37">
        <v>6</v>
      </c>
      <c r="F47" s="37"/>
      <c r="G47" s="37"/>
      <c r="H47" s="37"/>
      <c r="I47" s="37"/>
      <c r="J47" s="37"/>
      <c r="K47" s="38">
        <f t="shared" si="4"/>
        <v>30.2</v>
      </c>
    </row>
    <row r="48" spans="1:14" ht="15.75" thickBot="1" x14ac:dyDescent="0.3">
      <c r="A48" s="565"/>
      <c r="B48" s="567"/>
      <c r="C48" s="21">
        <v>46023</v>
      </c>
      <c r="D48" s="37">
        <v>23.5</v>
      </c>
      <c r="E48" s="37">
        <v>5</v>
      </c>
      <c r="F48" s="37"/>
      <c r="G48" s="37"/>
      <c r="H48" s="37"/>
      <c r="I48" s="37"/>
      <c r="J48" s="37"/>
      <c r="K48" s="38">
        <f t="shared" si="4"/>
        <v>28.5</v>
      </c>
    </row>
    <row r="49" spans="1:11" ht="15.75" thickBot="1" x14ac:dyDescent="0.3">
      <c r="A49" s="564" t="s">
        <v>828</v>
      </c>
      <c r="B49" s="566" t="s">
        <v>829</v>
      </c>
      <c r="C49" s="21">
        <v>45870</v>
      </c>
      <c r="D49" s="37"/>
      <c r="E49" s="37"/>
      <c r="F49" s="37"/>
      <c r="G49" s="37"/>
      <c r="H49" s="37"/>
      <c r="I49" s="37"/>
      <c r="J49" s="37">
        <v>15</v>
      </c>
      <c r="K49" s="38">
        <f t="shared" si="4"/>
        <v>15</v>
      </c>
    </row>
    <row r="50" spans="1:11" ht="15.75" thickBot="1" x14ac:dyDescent="0.3">
      <c r="A50" s="565"/>
      <c r="B50" s="567"/>
      <c r="C50" s="21">
        <v>45962</v>
      </c>
      <c r="D50" s="37">
        <v>22.3</v>
      </c>
      <c r="E50" s="37">
        <v>6</v>
      </c>
      <c r="F50" s="37">
        <v>40</v>
      </c>
      <c r="G50" s="37">
        <v>5</v>
      </c>
      <c r="H50" s="37"/>
      <c r="I50" s="37">
        <v>31.7</v>
      </c>
      <c r="J50" s="37"/>
      <c r="K50" s="38">
        <f t="shared" si="4"/>
        <v>105</v>
      </c>
    </row>
    <row r="51" spans="1:11" ht="15.75" thickBot="1" x14ac:dyDescent="0.3">
      <c r="A51" s="564" t="s">
        <v>788</v>
      </c>
      <c r="B51" s="21" t="s">
        <v>830</v>
      </c>
      <c r="C51" s="21">
        <v>46023</v>
      </c>
      <c r="D51" s="37"/>
      <c r="E51" s="37"/>
      <c r="F51" s="37"/>
      <c r="G51" s="37"/>
      <c r="H51" s="37">
        <v>10</v>
      </c>
      <c r="I51" s="37"/>
      <c r="J51" s="37"/>
      <c r="K51" s="38">
        <f t="shared" si="4"/>
        <v>10</v>
      </c>
    </row>
    <row r="52" spans="1:11" ht="15.75" thickBot="1" x14ac:dyDescent="0.3">
      <c r="A52" s="565"/>
      <c r="B52" s="21" t="s">
        <v>831</v>
      </c>
      <c r="C52" s="21">
        <v>46054</v>
      </c>
      <c r="D52" s="37"/>
      <c r="E52" s="37"/>
      <c r="F52" s="37">
        <v>56</v>
      </c>
      <c r="G52" s="37">
        <v>5</v>
      </c>
      <c r="H52" s="37"/>
      <c r="I52" s="37"/>
      <c r="J52" s="37"/>
      <c r="K52" s="38">
        <f t="shared" si="4"/>
        <v>61</v>
      </c>
    </row>
    <row r="53" spans="1:11" ht="15.75" thickBot="1" x14ac:dyDescent="0.3">
      <c r="A53" s="56"/>
      <c r="B53" s="21"/>
      <c r="C53" s="21"/>
      <c r="D53" s="37"/>
      <c r="E53" s="37"/>
      <c r="F53" s="37"/>
      <c r="G53" s="37"/>
      <c r="H53" s="37"/>
      <c r="I53" s="37"/>
      <c r="J53" s="37"/>
      <c r="K53" s="38">
        <f t="shared" si="4"/>
        <v>0</v>
      </c>
    </row>
    <row r="54" spans="1:11" ht="15.75" thickBot="1" x14ac:dyDescent="0.3">
      <c r="A54" s="40"/>
      <c r="B54" s="21"/>
      <c r="C54" s="21"/>
      <c r="D54" s="37"/>
      <c r="F54" s="37"/>
      <c r="G54" s="37"/>
      <c r="H54" s="37"/>
      <c r="I54" s="37"/>
      <c r="J54" s="37"/>
      <c r="K54" s="38">
        <f t="shared" si="4"/>
        <v>0</v>
      </c>
    </row>
    <row r="55" spans="1:11" ht="15.75" thickBot="1" x14ac:dyDescent="0.3">
      <c r="A55" s="40"/>
      <c r="B55" s="21"/>
      <c r="C55" s="21"/>
      <c r="D55" s="37"/>
      <c r="E55" s="37"/>
      <c r="F55" s="37"/>
      <c r="G55" s="37"/>
      <c r="H55" s="37"/>
      <c r="I55" s="37"/>
      <c r="J55" s="37"/>
      <c r="K55" s="38">
        <f t="shared" si="4"/>
        <v>0</v>
      </c>
    </row>
    <row r="56" spans="1:11" ht="15.75" thickBot="1" x14ac:dyDescent="0.3">
      <c r="A56" s="40"/>
      <c r="B56" s="21"/>
      <c r="C56" s="21"/>
      <c r="D56" s="57"/>
      <c r="E56" s="57"/>
      <c r="F56" s="57"/>
      <c r="G56" s="57"/>
      <c r="H56" s="57"/>
      <c r="I56" s="57"/>
      <c r="J56" s="57"/>
      <c r="K56" s="38">
        <f t="shared" si="4"/>
        <v>0</v>
      </c>
    </row>
    <row r="57" spans="1:11" ht="19.5" thickBot="1" x14ac:dyDescent="0.35">
      <c r="A57" s="23" t="s">
        <v>9</v>
      </c>
      <c r="B57" s="4"/>
      <c r="C57" s="24"/>
      <c r="D57" s="25">
        <f t="shared" ref="D57:K57" si="5">SUM(D43:D56)</f>
        <v>145.5</v>
      </c>
      <c r="E57" s="25">
        <f t="shared" si="5"/>
        <v>62</v>
      </c>
      <c r="F57" s="25">
        <f t="shared" si="5"/>
        <v>272</v>
      </c>
      <c r="G57" s="25">
        <f t="shared" si="5"/>
        <v>25</v>
      </c>
      <c r="H57" s="25">
        <f t="shared" si="5"/>
        <v>20</v>
      </c>
      <c r="I57" s="25">
        <f t="shared" si="5"/>
        <v>31.7</v>
      </c>
      <c r="J57" s="25">
        <f t="shared" si="5"/>
        <v>15</v>
      </c>
      <c r="K57" s="25">
        <f t="shared" si="5"/>
        <v>571.20000000000005</v>
      </c>
    </row>
    <row r="58" spans="1:11" ht="15.75" x14ac:dyDescent="0.25">
      <c r="A58" s="58"/>
      <c r="B58" s="58"/>
      <c r="C58" s="59"/>
      <c r="D58" s="60"/>
      <c r="E58" s="60"/>
      <c r="F58" s="60"/>
      <c r="G58" s="60"/>
      <c r="H58" s="60"/>
      <c r="I58" s="60"/>
      <c r="J58" s="60"/>
      <c r="K58" s="60"/>
    </row>
    <row r="59" spans="1:11" ht="16.5" thickBot="1" x14ac:dyDescent="0.3">
      <c r="A59" s="58"/>
      <c r="B59" s="58"/>
      <c r="C59" s="59"/>
      <c r="D59" s="60"/>
      <c r="E59" s="60"/>
      <c r="F59" s="60"/>
      <c r="G59" s="60"/>
      <c r="H59" s="60"/>
      <c r="I59" s="60"/>
      <c r="J59" s="60"/>
      <c r="K59" s="60"/>
    </row>
    <row r="60" spans="1:11" ht="19.5" thickBot="1" x14ac:dyDescent="0.35">
      <c r="A60" s="554" t="s">
        <v>23</v>
      </c>
      <c r="B60" s="555"/>
      <c r="C60" s="61"/>
      <c r="D60" s="62"/>
      <c r="E60" s="62"/>
      <c r="F60" s="62"/>
      <c r="G60" s="62"/>
      <c r="H60" s="62"/>
      <c r="I60" s="62"/>
      <c r="J60" s="62"/>
      <c r="K60" s="26">
        <f>+K22+K57</f>
        <v>643.90000000000009</v>
      </c>
    </row>
    <row r="61" spans="1:11" x14ac:dyDescent="0.25">
      <c r="A61" s="2"/>
      <c r="B61" s="2"/>
      <c r="C61" s="63"/>
      <c r="D61" s="3"/>
      <c r="E61" s="3"/>
      <c r="F61" s="3"/>
      <c r="G61" s="3"/>
      <c r="H61" s="3"/>
      <c r="I61" s="3"/>
      <c r="J61" s="3"/>
      <c r="K61" s="3"/>
    </row>
    <row r="62" spans="1:11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  <c r="K62" s="3"/>
    </row>
    <row r="63" spans="1:11" ht="16.5" thickBot="1" x14ac:dyDescent="0.3">
      <c r="A63" s="64" t="s">
        <v>24</v>
      </c>
      <c r="B63" s="2"/>
      <c r="C63" s="63"/>
      <c r="D63" s="3"/>
      <c r="E63" s="3"/>
      <c r="F63" s="3"/>
      <c r="G63" s="3"/>
      <c r="H63" s="3"/>
      <c r="I63" s="3"/>
      <c r="J63" s="3"/>
      <c r="K63" s="3"/>
    </row>
    <row r="64" spans="1:11" ht="19.5" thickBot="1" x14ac:dyDescent="0.35">
      <c r="A64" s="65" t="s">
        <v>25</v>
      </c>
      <c r="B64" s="66"/>
      <c r="C64" s="67"/>
      <c r="D64" s="68"/>
      <c r="E64" s="68"/>
      <c r="F64" s="68"/>
      <c r="G64" s="68"/>
      <c r="H64" s="68"/>
      <c r="I64" s="68"/>
      <c r="J64" s="68"/>
      <c r="K64" s="26"/>
    </row>
    <row r="65" spans="1:11" ht="19.5" thickBot="1" x14ac:dyDescent="0.35">
      <c r="A65" s="65" t="s">
        <v>26</v>
      </c>
      <c r="B65" s="66"/>
      <c r="C65" s="69"/>
      <c r="D65" s="68"/>
      <c r="E65" s="68"/>
      <c r="F65" s="68"/>
      <c r="G65" s="68"/>
      <c r="H65" s="68"/>
      <c r="I65" s="68"/>
      <c r="J65" s="68"/>
      <c r="K65" s="26"/>
    </row>
    <row r="66" spans="1:11" ht="18.75" x14ac:dyDescent="0.3">
      <c r="A66" s="70"/>
      <c r="B66" s="70"/>
      <c r="C66" s="71"/>
      <c r="D66" s="72"/>
      <c r="E66" s="72"/>
      <c r="F66" s="72"/>
      <c r="G66" s="72"/>
      <c r="H66" s="72"/>
      <c r="I66" s="72"/>
      <c r="J66" s="72"/>
      <c r="K66" s="30"/>
    </row>
    <row r="67" spans="1:11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72"/>
      <c r="K67" s="30"/>
    </row>
    <row r="68" spans="1:11" ht="16.5" thickBot="1" x14ac:dyDescent="0.3">
      <c r="A68" s="73" t="s">
        <v>27</v>
      </c>
      <c r="B68" s="74"/>
      <c r="C68" s="63"/>
      <c r="D68" s="3"/>
      <c r="E68" s="3"/>
      <c r="F68" s="3"/>
      <c r="G68" s="3"/>
      <c r="H68" s="3"/>
      <c r="I68" s="3"/>
      <c r="J68" s="3"/>
      <c r="K68" s="3"/>
    </row>
    <row r="69" spans="1:11" ht="19.5" thickBot="1" x14ac:dyDescent="0.35">
      <c r="A69" s="75" t="s">
        <v>28</v>
      </c>
      <c r="B69" s="76"/>
      <c r="C69" s="77"/>
      <c r="D69" s="78"/>
      <c r="E69" s="78"/>
      <c r="F69" s="78"/>
      <c r="G69" s="78"/>
      <c r="H69" s="78"/>
      <c r="I69" s="78"/>
      <c r="J69" s="78"/>
      <c r="K69" s="79">
        <v>413</v>
      </c>
    </row>
    <row r="70" spans="1:11" x14ac:dyDescent="0.25">
      <c r="A70" s="80"/>
      <c r="B70" s="2"/>
      <c r="C70" s="63"/>
      <c r="D70" s="3"/>
      <c r="E70" s="3"/>
      <c r="F70" s="3"/>
      <c r="G70" s="3"/>
      <c r="H70" s="3"/>
      <c r="I70" s="3"/>
      <c r="J70" s="3"/>
      <c r="K70" s="3"/>
    </row>
    <row r="71" spans="1:11" ht="16.5" thickBot="1" x14ac:dyDescent="0.3">
      <c r="A71" s="73"/>
      <c r="B71" s="74"/>
      <c r="C71" s="63"/>
      <c r="D71" s="3"/>
      <c r="E71" s="3"/>
      <c r="F71" s="3"/>
      <c r="G71" s="3"/>
      <c r="H71" s="3"/>
      <c r="I71" s="3"/>
      <c r="J71" s="3"/>
      <c r="K71" s="3"/>
    </row>
    <row r="72" spans="1:11" ht="19.5" thickBot="1" x14ac:dyDescent="0.35">
      <c r="A72" s="75" t="s">
        <v>29</v>
      </c>
      <c r="B72" s="76"/>
      <c r="C72" s="81"/>
      <c r="D72" s="78"/>
      <c r="E72" s="78"/>
      <c r="F72" s="78"/>
      <c r="G72" s="78"/>
      <c r="H72" s="78"/>
      <c r="I72" s="78"/>
      <c r="J72" s="78"/>
      <c r="K72" s="82"/>
    </row>
    <row r="73" spans="1:11" ht="15.75" thickBot="1" x14ac:dyDescent="0.3">
      <c r="A73" s="80"/>
      <c r="B73" s="2"/>
      <c r="C73" s="63"/>
      <c r="D73" s="3"/>
      <c r="E73" s="3"/>
      <c r="F73" s="3"/>
      <c r="G73" s="3"/>
      <c r="H73" s="3"/>
      <c r="I73" s="3"/>
      <c r="J73" s="3"/>
      <c r="K73" s="3"/>
    </row>
    <row r="74" spans="1:11" ht="21.75" thickBot="1" x14ac:dyDescent="0.4">
      <c r="A74" s="556" t="s">
        <v>30</v>
      </c>
      <c r="B74" s="557"/>
      <c r="C74" s="83"/>
      <c r="D74" s="84"/>
      <c r="E74" s="84"/>
      <c r="F74" s="84"/>
      <c r="G74" s="84"/>
      <c r="H74" s="84"/>
      <c r="I74" s="84"/>
      <c r="J74" s="84"/>
      <c r="K74" s="85">
        <f>SUM(K60:K73)</f>
        <v>1056.9000000000001</v>
      </c>
    </row>
    <row r="75" spans="1:11" x14ac:dyDescent="0.25">
      <c r="A75" s="2"/>
      <c r="B75" s="2"/>
      <c r="C75" s="63"/>
      <c r="D75" s="3"/>
      <c r="E75" s="3"/>
      <c r="F75" s="3"/>
      <c r="G75" s="3"/>
      <c r="H75" s="3"/>
      <c r="I75" s="3"/>
      <c r="J75" s="3"/>
      <c r="K75" s="3"/>
    </row>
    <row r="76" spans="1:11" ht="21" x14ac:dyDescent="0.35">
      <c r="A76" s="553" t="s">
        <v>819</v>
      </c>
      <c r="B76" s="553"/>
      <c r="C76" s="553"/>
      <c r="D76" s="553"/>
      <c r="E76" s="553"/>
      <c r="F76" s="553"/>
      <c r="G76" s="553"/>
      <c r="H76" s="553"/>
      <c r="I76" s="553"/>
      <c r="J76" s="553"/>
      <c r="K76" s="553"/>
    </row>
    <row r="77" spans="1:11" ht="21.75" thickBot="1" x14ac:dyDescent="0.4">
      <c r="A77" s="495" t="s">
        <v>31</v>
      </c>
      <c r="B77" s="495"/>
      <c r="C77" s="495"/>
      <c r="D77" s="495"/>
      <c r="E77" s="495"/>
      <c r="F77" s="495"/>
      <c r="G77" s="495"/>
      <c r="H77" s="495"/>
      <c r="I77" s="495"/>
      <c r="J77" s="495"/>
      <c r="K77" s="87"/>
    </row>
    <row r="78" spans="1:11" ht="15.75" thickBot="1" x14ac:dyDescent="0.3">
      <c r="A78" s="88" t="s">
        <v>32</v>
      </c>
      <c r="B78" s="89" t="s">
        <v>33</v>
      </c>
      <c r="C78" s="558" t="s">
        <v>2</v>
      </c>
      <c r="D78" s="559"/>
      <c r="E78" s="559"/>
      <c r="F78" s="559"/>
      <c r="G78" s="559"/>
      <c r="H78" s="559"/>
      <c r="I78" s="559"/>
      <c r="J78" s="560"/>
      <c r="K78" s="90" t="s">
        <v>9</v>
      </c>
    </row>
    <row r="79" spans="1:11" ht="15.75" customHeight="1" thickBot="1" x14ac:dyDescent="0.3">
      <c r="A79" s="91" t="s">
        <v>824</v>
      </c>
      <c r="B79" s="92">
        <v>8992</v>
      </c>
      <c r="C79" s="561" t="s">
        <v>825</v>
      </c>
      <c r="D79" s="562"/>
      <c r="E79" s="562"/>
      <c r="F79" s="562"/>
      <c r="G79" s="562"/>
      <c r="H79" s="562"/>
      <c r="I79" s="562"/>
      <c r="J79" s="598"/>
      <c r="K79" s="22">
        <v>55</v>
      </c>
    </row>
    <row r="80" spans="1:11" ht="15.75" customHeight="1" thickBot="1" x14ac:dyDescent="0.3">
      <c r="A80" s="40" t="s">
        <v>824</v>
      </c>
      <c r="B80" s="92">
        <v>9970</v>
      </c>
      <c r="C80" s="561" t="s">
        <v>826</v>
      </c>
      <c r="D80" s="562"/>
      <c r="E80" s="562"/>
      <c r="F80" s="562"/>
      <c r="G80" s="562"/>
      <c r="H80" s="562"/>
      <c r="I80" s="562"/>
      <c r="J80" s="598"/>
      <c r="K80" s="22">
        <v>11.4</v>
      </c>
    </row>
    <row r="81" spans="1:11" ht="15.75" thickBot="1" x14ac:dyDescent="0.3">
      <c r="A81" s="40" t="s">
        <v>348</v>
      </c>
      <c r="B81" s="92" t="s">
        <v>832</v>
      </c>
      <c r="C81" s="561" t="s">
        <v>833</v>
      </c>
      <c r="D81" s="562"/>
      <c r="E81" s="562"/>
      <c r="F81" s="562"/>
      <c r="G81" s="562"/>
      <c r="H81" s="562"/>
      <c r="I81" s="562"/>
      <c r="J81" s="598"/>
      <c r="K81" s="93">
        <v>105</v>
      </c>
    </row>
    <row r="82" spans="1:11" ht="15.75" thickBot="1" x14ac:dyDescent="0.3">
      <c r="A82" s="40" t="s">
        <v>124</v>
      </c>
      <c r="B82" s="92" t="s">
        <v>834</v>
      </c>
      <c r="C82" s="561" t="s">
        <v>835</v>
      </c>
      <c r="D82" s="562"/>
      <c r="E82" s="562"/>
      <c r="F82" s="562"/>
      <c r="G82" s="562"/>
      <c r="H82" s="562"/>
      <c r="I82" s="562"/>
      <c r="J82" s="598"/>
      <c r="K82" s="22">
        <v>100</v>
      </c>
    </row>
    <row r="83" spans="1:11" ht="30.75" thickBot="1" x14ac:dyDescent="0.3">
      <c r="A83" s="40" t="s">
        <v>836</v>
      </c>
      <c r="B83" s="92" t="s">
        <v>837</v>
      </c>
      <c r="C83" s="561" t="s">
        <v>838</v>
      </c>
      <c r="D83" s="562"/>
      <c r="E83" s="562"/>
      <c r="F83" s="562"/>
      <c r="G83" s="562"/>
      <c r="H83" s="562"/>
      <c r="I83" s="562"/>
      <c r="J83" s="598"/>
      <c r="K83" s="22">
        <v>5.5</v>
      </c>
    </row>
    <row r="84" spans="1:11" ht="15.75" thickBot="1" x14ac:dyDescent="0.3">
      <c r="A84" s="564" t="s">
        <v>129</v>
      </c>
      <c r="B84" s="92">
        <v>996</v>
      </c>
      <c r="C84" s="561" t="s">
        <v>839</v>
      </c>
      <c r="D84" s="562"/>
      <c r="E84" s="562"/>
      <c r="F84" s="562"/>
      <c r="G84" s="562"/>
      <c r="H84" s="562"/>
      <c r="I84" s="562"/>
      <c r="J84" s="598"/>
      <c r="K84" s="22">
        <v>3</v>
      </c>
    </row>
    <row r="85" spans="1:11" ht="15.75" thickBot="1" x14ac:dyDescent="0.3">
      <c r="A85" s="565"/>
      <c r="B85" s="92">
        <v>997</v>
      </c>
      <c r="C85" s="561" t="s">
        <v>840</v>
      </c>
      <c r="D85" s="562"/>
      <c r="E85" s="562"/>
      <c r="F85" s="562"/>
      <c r="G85" s="562"/>
      <c r="H85" s="562"/>
      <c r="I85" s="562"/>
      <c r="J85" s="598"/>
      <c r="K85" s="22">
        <v>2</v>
      </c>
    </row>
    <row r="86" spans="1:11" ht="15.75" thickBot="1" x14ac:dyDescent="0.3">
      <c r="A86" s="40" t="s">
        <v>166</v>
      </c>
      <c r="B86" s="92" t="s">
        <v>842</v>
      </c>
      <c r="C86" s="561" t="s">
        <v>843</v>
      </c>
      <c r="D86" s="562"/>
      <c r="E86" s="562"/>
      <c r="F86" s="562"/>
      <c r="G86" s="562"/>
      <c r="H86" s="562"/>
      <c r="I86" s="562"/>
      <c r="J86" s="598"/>
      <c r="K86" s="22">
        <v>33.299999999999997</v>
      </c>
    </row>
    <row r="87" spans="1:11" ht="15.75" thickBot="1" x14ac:dyDescent="0.3">
      <c r="A87" s="40" t="s">
        <v>137</v>
      </c>
      <c r="B87" s="92" t="s">
        <v>844</v>
      </c>
      <c r="C87" s="561" t="s">
        <v>845</v>
      </c>
      <c r="D87" s="562"/>
      <c r="E87" s="562"/>
      <c r="F87" s="562"/>
      <c r="G87" s="562"/>
      <c r="H87" s="562"/>
      <c r="I87" s="562"/>
      <c r="J87" s="598"/>
      <c r="K87" s="37">
        <v>200</v>
      </c>
    </row>
    <row r="88" spans="1:11" ht="15.75" thickBot="1" x14ac:dyDescent="0.3">
      <c r="A88" s="40"/>
      <c r="B88" s="92"/>
      <c r="C88" s="608"/>
      <c r="D88" s="609"/>
      <c r="E88" s="609"/>
      <c r="F88" s="609"/>
      <c r="G88" s="609"/>
      <c r="H88" s="609"/>
      <c r="I88" s="609"/>
      <c r="J88" s="610"/>
      <c r="K88" s="37"/>
    </row>
    <row r="89" spans="1:11" ht="15.75" thickBot="1" x14ac:dyDescent="0.3">
      <c r="A89" s="40"/>
      <c r="B89" s="92"/>
      <c r="C89" s="608"/>
      <c r="D89" s="609"/>
      <c r="E89" s="609"/>
      <c r="F89" s="609"/>
      <c r="G89" s="609"/>
      <c r="H89" s="609"/>
      <c r="I89" s="609"/>
      <c r="J89" s="610"/>
      <c r="K89" s="37"/>
    </row>
    <row r="90" spans="1:11" ht="15.75" thickBot="1" x14ac:dyDescent="0.3">
      <c r="A90" s="40"/>
      <c r="B90" s="92"/>
      <c r="C90" s="608"/>
      <c r="D90" s="609"/>
      <c r="E90" s="609"/>
      <c r="F90" s="609"/>
      <c r="G90" s="609"/>
      <c r="H90" s="609"/>
      <c r="I90" s="609"/>
      <c r="J90" s="610"/>
      <c r="K90" s="37"/>
    </row>
    <row r="91" spans="1:11" ht="15.75" thickBot="1" x14ac:dyDescent="0.3">
      <c r="A91" s="40"/>
      <c r="B91" s="92"/>
      <c r="C91" s="608"/>
      <c r="D91" s="609"/>
      <c r="E91" s="609"/>
      <c r="F91" s="609"/>
      <c r="G91" s="609"/>
      <c r="H91" s="609"/>
      <c r="I91" s="609"/>
      <c r="J91" s="610"/>
      <c r="K91" s="37"/>
    </row>
    <row r="92" spans="1:11" ht="19.5" thickBot="1" x14ac:dyDescent="0.35">
      <c r="A92" s="94" t="s">
        <v>34</v>
      </c>
      <c r="B92" s="554"/>
      <c r="C92" s="563"/>
      <c r="D92" s="563"/>
      <c r="E92" s="563"/>
      <c r="F92" s="563"/>
      <c r="G92" s="563"/>
      <c r="H92" s="563"/>
      <c r="I92" s="563"/>
      <c r="J92" s="555"/>
      <c r="K92" s="95">
        <f>SUM(K79:K91)</f>
        <v>515.20000000000005</v>
      </c>
    </row>
    <row r="93" spans="1:11" ht="20.25" customHeight="1" x14ac:dyDescent="0.3">
      <c r="A93" s="27"/>
      <c r="B93" s="27"/>
      <c r="C93" s="96"/>
      <c r="D93" s="96"/>
      <c r="E93" s="96"/>
      <c r="F93" s="97"/>
      <c r="G93" s="96"/>
      <c r="H93" s="96"/>
      <c r="I93" s="96"/>
      <c r="J93" s="96"/>
      <c r="K93" s="30"/>
    </row>
    <row r="94" spans="1:11" ht="18.75" x14ac:dyDescent="0.3">
      <c r="A94" s="27"/>
      <c r="B94" s="27"/>
      <c r="C94" s="96"/>
      <c r="D94" s="96"/>
      <c r="E94" s="96"/>
      <c r="F94" s="97"/>
      <c r="G94" s="96"/>
      <c r="H94" s="96"/>
      <c r="I94" s="96"/>
      <c r="J94" s="96"/>
      <c r="K94" s="30"/>
    </row>
    <row r="95" spans="1:11" ht="18.75" x14ac:dyDescent="0.3">
      <c r="A95" s="58" t="s">
        <v>35</v>
      </c>
      <c r="B95" s="27"/>
      <c r="C95" s="2"/>
      <c r="D95" s="3"/>
      <c r="F95" s="3"/>
      <c r="K95" s="3"/>
    </row>
    <row r="96" spans="1:11" x14ac:dyDescent="0.25">
      <c r="A96" s="2" t="s">
        <v>36</v>
      </c>
      <c r="B96" s="63">
        <f>+K74</f>
        <v>1056.9000000000001</v>
      </c>
      <c r="C96" s="98"/>
      <c r="D96" s="3"/>
      <c r="F96" s="3"/>
      <c r="K96" s="3"/>
    </row>
    <row r="97" spans="1:11" ht="15.75" thickBot="1" x14ac:dyDescent="0.3">
      <c r="A97" s="2" t="s">
        <v>34</v>
      </c>
      <c r="B97" s="99">
        <f>+K92</f>
        <v>515.20000000000005</v>
      </c>
      <c r="C97" s="100"/>
      <c r="D97" s="3"/>
      <c r="F97" s="3"/>
      <c r="G97" s="101"/>
      <c r="H97" s="101"/>
      <c r="I97" s="102"/>
      <c r="J97" s="102"/>
      <c r="K97" s="102"/>
    </row>
    <row r="98" spans="1:11" ht="17.25" thickTop="1" thickBot="1" x14ac:dyDescent="0.3">
      <c r="A98" s="58" t="s">
        <v>37</v>
      </c>
      <c r="B98" s="103">
        <f>++B96-B97</f>
        <v>541.70000000000005</v>
      </c>
      <c r="C98" s="104"/>
      <c r="D98" s="105"/>
      <c r="E98" s="106"/>
      <c r="F98" s="105"/>
      <c r="G98" s="107"/>
      <c r="H98" s="107"/>
      <c r="I98" s="3"/>
      <c r="J98" s="3"/>
    </row>
    <row r="99" spans="1:11" ht="15.75" thickTop="1" x14ac:dyDescent="0.25"/>
  </sheetData>
  <mergeCells count="27">
    <mergeCell ref="A1:K1"/>
    <mergeCell ref="A60:B60"/>
    <mergeCell ref="A74:B74"/>
    <mergeCell ref="A76:K76"/>
    <mergeCell ref="A51:A52"/>
    <mergeCell ref="B43:B45"/>
    <mergeCell ref="A43:A45"/>
    <mergeCell ref="B47:B48"/>
    <mergeCell ref="A47:A48"/>
    <mergeCell ref="B49:B50"/>
    <mergeCell ref="A49:A50"/>
    <mergeCell ref="B92:J92"/>
    <mergeCell ref="C78:J78"/>
    <mergeCell ref="A84:A85"/>
    <mergeCell ref="C85:J85"/>
    <mergeCell ref="C86:J86"/>
    <mergeCell ref="C87:J87"/>
    <mergeCell ref="C88:J88"/>
    <mergeCell ref="C89:J89"/>
    <mergeCell ref="C90:J90"/>
    <mergeCell ref="C79:J79"/>
    <mergeCell ref="C80:J80"/>
    <mergeCell ref="C91:J91"/>
    <mergeCell ref="C81:J81"/>
    <mergeCell ref="C82:J82"/>
    <mergeCell ref="C83:J83"/>
    <mergeCell ref="C84:J84"/>
  </mergeCells>
  <phoneticPr fontId="13" type="noConversion"/>
  <pageMargins left="0.17" right="0.17" top="1.61" bottom="0.17" header="0.17" footer="0.17"/>
  <pageSetup paperSize="9" scale="2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0F07-FD89-4947-9960-D4F3B0EC3BEE}">
  <sheetPr>
    <pageSetUpPr fitToPage="1"/>
  </sheetPr>
  <dimension ref="A1:O102"/>
  <sheetViews>
    <sheetView topLeftCell="A41" workbookViewId="0">
      <selection activeCell="K52" sqref="K52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4" max="4" width="13" bestFit="1" customWidth="1"/>
    <col min="6" max="6" width="13" bestFit="1" customWidth="1"/>
    <col min="9" max="10" width="15.85546875" customWidth="1"/>
    <col min="11" max="11" width="15.5703125" bestFit="1" customWidth="1"/>
  </cols>
  <sheetData>
    <row r="1" spans="1:11" ht="21" x14ac:dyDescent="0.35">
      <c r="A1" s="553" t="s">
        <v>846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</row>
    <row r="2" spans="1:11" ht="15.75" thickBot="1" x14ac:dyDescent="0.3">
      <c r="A2" s="1"/>
      <c r="B2" s="2"/>
      <c r="C2" s="2"/>
      <c r="K2" s="3"/>
    </row>
    <row r="3" spans="1:11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541" t="s">
        <v>8</v>
      </c>
      <c r="J3" s="509"/>
      <c r="K3" s="5" t="s">
        <v>9</v>
      </c>
    </row>
    <row r="4" spans="1:11" ht="15.75" thickBot="1" x14ac:dyDescent="0.3">
      <c r="A4" s="6" t="s">
        <v>10</v>
      </c>
      <c r="B4" s="6" t="s">
        <v>856</v>
      </c>
      <c r="C4" s="7">
        <v>46054</v>
      </c>
      <c r="D4" s="8"/>
      <c r="E4" s="8"/>
      <c r="F4" s="8"/>
      <c r="G4" s="8"/>
      <c r="H4" s="8"/>
      <c r="I4" s="542">
        <v>10</v>
      </c>
      <c r="J4" s="545"/>
      <c r="K4" s="5">
        <f>SUM(D4:J4)</f>
        <v>10</v>
      </c>
    </row>
    <row r="5" spans="1:11" ht="15.75" thickBot="1" x14ac:dyDescent="0.3">
      <c r="A5" s="6" t="s">
        <v>305</v>
      </c>
      <c r="B5" s="6" t="s">
        <v>848</v>
      </c>
      <c r="C5" s="7">
        <v>46054</v>
      </c>
      <c r="D5" s="8"/>
      <c r="E5" s="8"/>
      <c r="F5" s="8">
        <v>1000</v>
      </c>
      <c r="G5" s="8"/>
      <c r="H5" s="8"/>
      <c r="I5" s="542"/>
      <c r="J5" s="545"/>
      <c r="K5" s="5">
        <f t="shared" ref="K5:K19" si="0">SUM(D5:J5)</f>
        <v>1000</v>
      </c>
    </row>
    <row r="6" spans="1:11" ht="15.75" thickBot="1" x14ac:dyDescent="0.3">
      <c r="A6" s="6" t="s">
        <v>854</v>
      </c>
      <c r="B6" s="6" t="s">
        <v>855</v>
      </c>
      <c r="C6" s="7">
        <v>46023</v>
      </c>
      <c r="D6" s="8"/>
      <c r="E6" s="8"/>
      <c r="F6" s="8">
        <v>300</v>
      </c>
      <c r="G6" s="8"/>
      <c r="H6" s="8"/>
      <c r="I6" s="542"/>
      <c r="J6" s="545"/>
      <c r="K6" s="5">
        <f t="shared" si="0"/>
        <v>300</v>
      </c>
    </row>
    <row r="7" spans="1:11" ht="30.75" thickBot="1" x14ac:dyDescent="0.3">
      <c r="A7" s="538" t="s">
        <v>863</v>
      </c>
      <c r="B7" s="6" t="s">
        <v>864</v>
      </c>
      <c r="C7" s="7">
        <v>46054</v>
      </c>
      <c r="D7" s="8"/>
      <c r="E7" s="8"/>
      <c r="F7" s="8">
        <v>400</v>
      </c>
      <c r="G7" s="8"/>
      <c r="H7" s="8"/>
      <c r="I7" s="542"/>
      <c r="J7" s="545"/>
      <c r="K7" s="5">
        <f t="shared" si="0"/>
        <v>400</v>
      </c>
    </row>
    <row r="8" spans="1:11" ht="15.75" thickBot="1" x14ac:dyDescent="0.3">
      <c r="A8" s="6" t="s">
        <v>884</v>
      </c>
      <c r="B8" s="6" t="s">
        <v>885</v>
      </c>
      <c r="C8" s="7">
        <v>46054</v>
      </c>
      <c r="D8" s="8"/>
      <c r="E8" s="8"/>
      <c r="F8" s="8">
        <v>550</v>
      </c>
      <c r="G8" s="8"/>
      <c r="H8" s="8"/>
      <c r="I8" s="542"/>
      <c r="J8" s="545"/>
      <c r="K8" s="5">
        <f t="shared" si="0"/>
        <v>550</v>
      </c>
    </row>
    <row r="9" spans="1:11" ht="15.75" thickBot="1" x14ac:dyDescent="0.3">
      <c r="A9" s="6" t="s">
        <v>7</v>
      </c>
      <c r="B9" s="6" t="s">
        <v>887</v>
      </c>
      <c r="C9" s="7">
        <v>46054</v>
      </c>
      <c r="D9" s="8"/>
      <c r="E9" s="8"/>
      <c r="F9" s="8"/>
      <c r="G9" s="8"/>
      <c r="H9" s="8">
        <v>62</v>
      </c>
      <c r="I9" s="542"/>
      <c r="J9" s="545"/>
      <c r="K9" s="5">
        <f t="shared" si="0"/>
        <v>62</v>
      </c>
    </row>
    <row r="10" spans="1:11" ht="15.75" thickBot="1" x14ac:dyDescent="0.3">
      <c r="A10" s="510"/>
      <c r="B10" s="6"/>
      <c r="C10" s="7"/>
      <c r="D10" s="8"/>
      <c r="E10" s="8"/>
      <c r="F10" s="8"/>
      <c r="G10" s="8"/>
      <c r="H10" s="8"/>
      <c r="I10" s="542"/>
      <c r="J10" s="8"/>
      <c r="K10" s="5">
        <f t="shared" si="0"/>
        <v>0</v>
      </c>
    </row>
    <row r="11" spans="1:11" ht="15.75" thickBot="1" x14ac:dyDescent="0.3">
      <c r="A11" s="510"/>
      <c r="B11" s="507"/>
      <c r="C11" s="7"/>
      <c r="D11" s="8"/>
      <c r="E11" s="8"/>
      <c r="F11" s="8"/>
      <c r="G11" s="8"/>
      <c r="H11" s="8"/>
      <c r="I11" s="11"/>
      <c r="J11" s="546"/>
      <c r="K11" s="5">
        <f t="shared" si="0"/>
        <v>0</v>
      </c>
    </row>
    <row r="12" spans="1:11" ht="15.75" thickBot="1" x14ac:dyDescent="0.3">
      <c r="A12" s="52"/>
      <c r="B12" s="6"/>
      <c r="C12" s="7"/>
      <c r="D12" s="8"/>
      <c r="E12" s="8"/>
      <c r="F12" s="8"/>
      <c r="G12" s="8"/>
      <c r="H12" s="8"/>
      <c r="I12" s="542"/>
      <c r="J12" s="545"/>
      <c r="K12" s="5">
        <f t="shared" si="0"/>
        <v>0</v>
      </c>
    </row>
    <row r="13" spans="1:11" ht="15.75" thickBot="1" x14ac:dyDescent="0.3">
      <c r="A13" s="508" t="s">
        <v>288</v>
      </c>
      <c r="B13" s="508" t="s">
        <v>868</v>
      </c>
      <c r="C13" s="7">
        <v>46023</v>
      </c>
      <c r="D13" s="8">
        <v>100</v>
      </c>
      <c r="E13" s="8"/>
      <c r="F13" s="8"/>
      <c r="G13" s="8"/>
      <c r="H13" s="8"/>
      <c r="I13" s="542"/>
      <c r="J13" s="545"/>
      <c r="K13" s="5">
        <f t="shared" si="0"/>
        <v>100</v>
      </c>
    </row>
    <row r="14" spans="1:11" ht="15.75" thickBot="1" x14ac:dyDescent="0.3">
      <c r="A14" s="505"/>
      <c r="B14" s="505"/>
      <c r="C14" s="7"/>
      <c r="D14" s="8"/>
      <c r="E14" s="8"/>
      <c r="F14" s="8"/>
      <c r="G14" s="8"/>
      <c r="H14" s="8"/>
      <c r="I14" s="542"/>
      <c r="J14" s="545"/>
      <c r="K14" s="5">
        <f t="shared" si="0"/>
        <v>0</v>
      </c>
    </row>
    <row r="15" spans="1:11" ht="15.75" thickBot="1" x14ac:dyDescent="0.3">
      <c r="A15" s="17"/>
      <c r="B15" s="505"/>
      <c r="C15" s="7"/>
      <c r="D15" s="8"/>
      <c r="E15" s="8"/>
      <c r="F15" s="8"/>
      <c r="G15" s="8"/>
      <c r="H15" s="8"/>
      <c r="I15" s="542"/>
      <c r="J15" s="545"/>
      <c r="K15" s="5">
        <f t="shared" si="0"/>
        <v>0</v>
      </c>
    </row>
    <row r="16" spans="1:11" ht="15.75" thickBot="1" x14ac:dyDescent="0.3">
      <c r="A16" s="17"/>
      <c r="B16" s="505"/>
      <c r="C16" s="7"/>
      <c r="D16" s="8"/>
      <c r="E16" s="8"/>
      <c r="F16" s="8"/>
      <c r="G16" s="8"/>
      <c r="H16" s="8"/>
      <c r="I16" s="542"/>
      <c r="J16" s="545"/>
      <c r="K16" s="5">
        <f t="shared" si="0"/>
        <v>0</v>
      </c>
    </row>
    <row r="17" spans="1:14" ht="15.75" thickBot="1" x14ac:dyDescent="0.3">
      <c r="A17" s="18"/>
      <c r="B17" s="505"/>
      <c r="C17" s="7"/>
      <c r="D17" s="8"/>
      <c r="E17" s="8"/>
      <c r="F17" s="8"/>
      <c r="G17" s="8"/>
      <c r="H17" s="8"/>
      <c r="I17" s="542"/>
      <c r="J17" s="545"/>
      <c r="K17" s="5">
        <f t="shared" si="0"/>
        <v>0</v>
      </c>
    </row>
    <row r="18" spans="1:14" ht="15.75" thickBot="1" x14ac:dyDescent="0.3">
      <c r="A18" s="509"/>
      <c r="B18" s="509"/>
      <c r="C18" s="7"/>
      <c r="D18" s="8"/>
      <c r="E18" s="8"/>
      <c r="F18" s="8"/>
      <c r="G18" s="8"/>
      <c r="H18" s="8"/>
      <c r="I18" s="542"/>
      <c r="J18" s="545"/>
      <c r="K18" s="5">
        <f t="shared" si="0"/>
        <v>0</v>
      </c>
    </row>
    <row r="19" spans="1:14" ht="15.75" thickBot="1" x14ac:dyDescent="0.3">
      <c r="A19" s="505"/>
      <c r="B19" s="503"/>
      <c r="C19" s="21"/>
      <c r="D19" s="22"/>
      <c r="E19" s="22"/>
      <c r="F19" s="22"/>
      <c r="G19" s="22"/>
      <c r="H19" s="22"/>
      <c r="I19" s="543"/>
      <c r="J19" s="547"/>
      <c r="K19" s="5">
        <f t="shared" si="0"/>
        <v>0</v>
      </c>
    </row>
    <row r="20" spans="1:14" ht="19.5" thickBot="1" x14ac:dyDescent="0.35">
      <c r="A20" s="23" t="s">
        <v>9</v>
      </c>
      <c r="B20" s="4"/>
      <c r="C20" s="24"/>
      <c r="D20" s="25">
        <f t="shared" ref="D20:I20" si="1">SUM(D4:D19)</f>
        <v>100</v>
      </c>
      <c r="E20" s="25">
        <f t="shared" si="1"/>
        <v>0</v>
      </c>
      <c r="F20" s="25">
        <f t="shared" si="1"/>
        <v>2250</v>
      </c>
      <c r="G20" s="25">
        <f t="shared" si="1"/>
        <v>0</v>
      </c>
      <c r="H20" s="25">
        <f t="shared" si="1"/>
        <v>62</v>
      </c>
      <c r="I20" s="544">
        <f t="shared" si="1"/>
        <v>10</v>
      </c>
      <c r="J20" s="26"/>
      <c r="K20" s="82">
        <f>SUM(K4:K19)</f>
        <v>2422</v>
      </c>
    </row>
    <row r="21" spans="1:14" ht="19.5" thickBot="1" x14ac:dyDescent="0.35">
      <c r="A21" s="27"/>
      <c r="B21" s="28"/>
      <c r="C21" s="29"/>
      <c r="D21" s="30"/>
      <c r="E21" s="30"/>
      <c r="F21" s="30"/>
      <c r="G21" s="30"/>
      <c r="H21" s="30"/>
      <c r="I21" s="30"/>
      <c r="J21" s="30"/>
      <c r="K21" s="30"/>
    </row>
    <row r="22" spans="1:14" ht="24" thickBot="1" x14ac:dyDescent="0.4">
      <c r="A22" s="31" t="s">
        <v>12</v>
      </c>
      <c r="B22" s="28"/>
      <c r="C22" s="29"/>
      <c r="D22" s="30"/>
      <c r="E22" s="30"/>
      <c r="F22" s="30"/>
      <c r="G22" s="30"/>
      <c r="H22" s="30"/>
      <c r="I22" s="30"/>
      <c r="J22" s="30"/>
      <c r="K22" s="30"/>
    </row>
    <row r="23" spans="1:14" ht="15.75" thickBot="1" x14ac:dyDescent="0.3">
      <c r="A23" s="32" t="s">
        <v>13</v>
      </c>
      <c r="B23" s="4" t="s">
        <v>1</v>
      </c>
      <c r="C23" s="33" t="s">
        <v>14</v>
      </c>
      <c r="D23" s="33" t="s">
        <v>3</v>
      </c>
      <c r="E23" s="33" t="s">
        <v>4</v>
      </c>
      <c r="F23" s="4" t="s">
        <v>5</v>
      </c>
      <c r="G23" s="4" t="s">
        <v>6</v>
      </c>
      <c r="H23" s="4" t="s">
        <v>15</v>
      </c>
      <c r="I23" s="4" t="s">
        <v>8</v>
      </c>
      <c r="J23" s="4"/>
      <c r="K23" s="34" t="s">
        <v>9</v>
      </c>
    </row>
    <row r="24" spans="1:14" ht="30.75" customHeight="1" thickBot="1" x14ac:dyDescent="0.3">
      <c r="A24" s="611" t="s">
        <v>863</v>
      </c>
      <c r="B24" s="6" t="s">
        <v>865</v>
      </c>
      <c r="C24" s="7">
        <v>46054</v>
      </c>
      <c r="D24" s="539"/>
      <c r="E24" s="540"/>
      <c r="F24" s="35">
        <v>100</v>
      </c>
      <c r="G24" s="35"/>
      <c r="H24" s="37"/>
      <c r="I24" s="37"/>
      <c r="J24" s="37"/>
      <c r="K24" s="38">
        <f>SUM(D24:I24)</f>
        <v>100</v>
      </c>
    </row>
    <row r="25" spans="1:14" ht="15.75" thickBot="1" x14ac:dyDescent="0.3">
      <c r="A25" s="612"/>
      <c r="B25" s="6" t="s">
        <v>866</v>
      </c>
      <c r="C25" s="7">
        <v>46023</v>
      </c>
      <c r="D25" s="8">
        <v>38.200000000000003</v>
      </c>
      <c r="E25" s="8">
        <v>3</v>
      </c>
      <c r="F25" s="35"/>
      <c r="G25" s="35"/>
      <c r="H25" s="37"/>
      <c r="I25" s="37"/>
      <c r="J25" s="37"/>
      <c r="K25" s="38">
        <f t="shared" ref="K25:K27" si="2">SUM(D25:I25)</f>
        <v>41.2</v>
      </c>
    </row>
    <row r="26" spans="1:14" ht="15.75" thickBot="1" x14ac:dyDescent="0.3">
      <c r="A26" s="508" t="s">
        <v>288</v>
      </c>
      <c r="B26" s="508" t="s">
        <v>869</v>
      </c>
      <c r="C26" s="7">
        <v>46023</v>
      </c>
      <c r="D26" s="8">
        <v>127.6</v>
      </c>
      <c r="E26" s="8">
        <v>3</v>
      </c>
      <c r="F26" s="39"/>
      <c r="G26" s="39"/>
      <c r="H26" s="8"/>
      <c r="I26" s="8"/>
      <c r="J26" s="8"/>
      <c r="K26" s="38">
        <f t="shared" si="2"/>
        <v>130.6</v>
      </c>
    </row>
    <row r="27" spans="1:14" ht="15.75" thickBot="1" x14ac:dyDescent="0.3">
      <c r="A27" s="4"/>
      <c r="B27" s="40"/>
      <c r="C27" s="7"/>
      <c r="D27" s="39"/>
      <c r="E27" s="39"/>
      <c r="F27" s="39"/>
      <c r="G27" s="39"/>
      <c r="H27" s="8"/>
      <c r="I27" s="8"/>
      <c r="J27" s="8"/>
      <c r="K27" s="38">
        <f t="shared" si="2"/>
        <v>0</v>
      </c>
      <c r="M27" s="41" t="s">
        <v>16</v>
      </c>
      <c r="N27" s="42">
        <f>K28+K36</f>
        <v>332.79999999999995</v>
      </c>
    </row>
    <row r="28" spans="1:14" ht="15.75" thickBot="1" x14ac:dyDescent="0.3">
      <c r="A28" s="4" t="s">
        <v>9</v>
      </c>
      <c r="B28" s="516"/>
      <c r="C28" s="44"/>
      <c r="D28" s="45"/>
      <c r="E28" s="45"/>
      <c r="F28" s="45"/>
      <c r="G28" s="45"/>
      <c r="H28" s="45"/>
      <c r="I28" s="45"/>
      <c r="J28" s="45"/>
      <c r="K28" s="12">
        <f>SUM(K24:K27)</f>
        <v>271.79999999999995</v>
      </c>
    </row>
    <row r="29" spans="1:14" ht="15.75" thickBot="1" x14ac:dyDescent="0.3">
      <c r="A29" s="28"/>
      <c r="B29" s="46"/>
      <c r="C29" s="47"/>
      <c r="D29" s="48"/>
      <c r="E29" s="48"/>
      <c r="F29" s="48"/>
      <c r="G29" s="48"/>
      <c r="H29" s="48"/>
      <c r="I29" s="48"/>
      <c r="J29" s="48"/>
      <c r="K29" s="49"/>
    </row>
    <row r="30" spans="1:14" ht="24" thickBot="1" x14ac:dyDescent="0.4">
      <c r="A30" s="31" t="s">
        <v>12</v>
      </c>
      <c r="B30" s="28"/>
      <c r="C30" s="29"/>
      <c r="D30" s="30"/>
      <c r="E30" s="30"/>
      <c r="F30" s="30"/>
      <c r="G30" s="30"/>
      <c r="H30" s="30"/>
      <c r="I30" s="30"/>
      <c r="J30" s="30"/>
      <c r="K30" s="30"/>
    </row>
    <row r="31" spans="1:14" ht="30.75" thickBot="1" x14ac:dyDescent="0.3">
      <c r="A31" s="50" t="s">
        <v>17</v>
      </c>
      <c r="B31" s="4" t="s">
        <v>18</v>
      </c>
      <c r="C31" s="33" t="s">
        <v>14</v>
      </c>
      <c r="D31" s="33" t="s">
        <v>3</v>
      </c>
      <c r="E31" s="33" t="s">
        <v>4</v>
      </c>
      <c r="F31" s="33" t="s">
        <v>19</v>
      </c>
      <c r="G31" s="33" t="s">
        <v>20</v>
      </c>
      <c r="H31" s="33" t="s">
        <v>15</v>
      </c>
      <c r="I31" s="51" t="s">
        <v>21</v>
      </c>
      <c r="J31" s="4"/>
      <c r="K31" s="34" t="s">
        <v>9</v>
      </c>
    </row>
    <row r="32" spans="1:14" ht="15.75" thickBot="1" x14ac:dyDescent="0.3">
      <c r="A32" s="6" t="s">
        <v>455</v>
      </c>
      <c r="B32" s="17" t="s">
        <v>883</v>
      </c>
      <c r="C32" s="7">
        <v>46054</v>
      </c>
      <c r="D32" s="8"/>
      <c r="E32" s="8"/>
      <c r="F32" s="8">
        <v>56</v>
      </c>
      <c r="G32" s="8">
        <v>5</v>
      </c>
      <c r="H32" s="8"/>
      <c r="I32" s="8"/>
      <c r="J32" s="512"/>
      <c r="K32" s="5">
        <f t="shared" ref="K32:K35" si="3">SUM(D32:I32)</f>
        <v>61</v>
      </c>
    </row>
    <row r="33" spans="1:14" ht="15.75" thickBot="1" x14ac:dyDescent="0.3">
      <c r="A33" s="13"/>
      <c r="B33" s="21"/>
      <c r="C33" s="7"/>
      <c r="D33" s="35"/>
      <c r="E33" s="35"/>
      <c r="F33" s="35"/>
      <c r="G33" s="35"/>
      <c r="H33" s="37"/>
      <c r="I33" s="37"/>
      <c r="J33" s="37"/>
      <c r="K33" s="38">
        <f t="shared" si="3"/>
        <v>0</v>
      </c>
    </row>
    <row r="34" spans="1:14" ht="15.75" thickBot="1" x14ac:dyDescent="0.3">
      <c r="A34" s="509"/>
      <c r="B34" s="505"/>
      <c r="C34" s="7"/>
      <c r="D34" s="39"/>
      <c r="E34" s="39"/>
      <c r="F34" s="39"/>
      <c r="G34" s="39"/>
      <c r="H34" s="8"/>
      <c r="I34" s="8"/>
      <c r="J34" s="8"/>
      <c r="K34" s="38">
        <f t="shared" si="3"/>
        <v>0</v>
      </c>
    </row>
    <row r="35" spans="1:14" ht="15.75" thickBot="1" x14ac:dyDescent="0.3">
      <c r="A35" s="4"/>
      <c r="B35" s="40"/>
      <c r="C35" s="7"/>
      <c r="D35" s="39"/>
      <c r="E35" s="39"/>
      <c r="F35" s="39"/>
      <c r="G35" s="39"/>
      <c r="H35" s="8"/>
      <c r="I35" s="8"/>
      <c r="J35" s="8"/>
      <c r="K35" s="38">
        <f t="shared" si="3"/>
        <v>0</v>
      </c>
      <c r="M35" s="53"/>
      <c r="N35" s="54"/>
    </row>
    <row r="36" spans="1:14" ht="15.75" thickBot="1" x14ac:dyDescent="0.3">
      <c r="A36" s="4" t="s">
        <v>9</v>
      </c>
      <c r="B36" s="516"/>
      <c r="C36" s="44"/>
      <c r="D36" s="45"/>
      <c r="E36" s="45"/>
      <c r="F36" s="45"/>
      <c r="G36" s="45"/>
      <c r="H36" s="45"/>
      <c r="I36" s="45"/>
      <c r="J36" s="45"/>
      <c r="K36" s="12">
        <f>SUM(K32:K35)</f>
        <v>61</v>
      </c>
    </row>
    <row r="37" spans="1:14" x14ac:dyDescent="0.25">
      <c r="A37" s="28"/>
      <c r="B37" s="46"/>
      <c r="C37" s="47"/>
      <c r="D37" s="48"/>
      <c r="E37" s="48"/>
      <c r="F37" s="48"/>
      <c r="G37" s="48"/>
      <c r="H37" s="48"/>
      <c r="I37" s="48"/>
      <c r="J37" s="48"/>
      <c r="K37" s="49"/>
    </row>
    <row r="38" spans="1:14" x14ac:dyDescent="0.25">
      <c r="A38" s="28"/>
      <c r="B38" s="46"/>
      <c r="C38" s="47"/>
      <c r="D38" s="48"/>
      <c r="E38" s="48"/>
      <c r="F38" s="48"/>
      <c r="G38" s="48"/>
      <c r="H38" s="48"/>
      <c r="I38" s="48"/>
      <c r="J38" s="48"/>
      <c r="K38" s="49"/>
    </row>
    <row r="39" spans="1:14" ht="15.75" thickBot="1" x14ac:dyDescent="0.3">
      <c r="A39" s="2"/>
      <c r="B39" s="2"/>
      <c r="C39" s="2"/>
      <c r="K39" s="3"/>
    </row>
    <row r="40" spans="1:14" ht="45.75" thickBot="1" x14ac:dyDescent="0.3">
      <c r="A40" s="33" t="s">
        <v>22</v>
      </c>
      <c r="B40" s="4" t="s">
        <v>18</v>
      </c>
      <c r="C40" s="33" t="s">
        <v>14</v>
      </c>
      <c r="D40" s="33" t="s">
        <v>3</v>
      </c>
      <c r="E40" s="33" t="s">
        <v>4</v>
      </c>
      <c r="F40" s="33" t="s">
        <v>19</v>
      </c>
      <c r="G40" s="33" t="s">
        <v>20</v>
      </c>
      <c r="H40" s="4" t="s">
        <v>21</v>
      </c>
      <c r="I40" s="51" t="s">
        <v>853</v>
      </c>
      <c r="J40" s="4" t="s">
        <v>15</v>
      </c>
      <c r="K40" s="34" t="s">
        <v>9</v>
      </c>
    </row>
    <row r="41" spans="1:14" ht="15.75" thickBot="1" x14ac:dyDescent="0.3">
      <c r="A41" s="564" t="s">
        <v>851</v>
      </c>
      <c r="B41" s="566" t="s">
        <v>852</v>
      </c>
      <c r="C41" s="21">
        <v>45992</v>
      </c>
      <c r="D41" s="37">
        <v>100.7</v>
      </c>
      <c r="E41" s="55">
        <v>20.9</v>
      </c>
      <c r="F41" s="37"/>
      <c r="G41" s="37"/>
      <c r="H41" s="37"/>
      <c r="I41" s="37"/>
      <c r="J41" s="37"/>
      <c r="K41" s="38">
        <f>SUM(D41:J41)</f>
        <v>121.6</v>
      </c>
    </row>
    <row r="42" spans="1:14" ht="15.75" thickBot="1" x14ac:dyDescent="0.3">
      <c r="A42" s="565"/>
      <c r="B42" s="567"/>
      <c r="C42" s="21">
        <v>46023</v>
      </c>
      <c r="D42" s="37">
        <v>96.6</v>
      </c>
      <c r="E42" s="37">
        <v>22.9</v>
      </c>
      <c r="F42" s="37"/>
      <c r="G42" s="37"/>
      <c r="H42" s="37"/>
      <c r="I42" s="37">
        <v>28.3</v>
      </c>
      <c r="J42" s="37"/>
      <c r="K42" s="38">
        <f t="shared" ref="K42:K58" si="4">SUM(D42:J42)</f>
        <v>147.80000000000001</v>
      </c>
    </row>
    <row r="43" spans="1:14" ht="15.75" thickBot="1" x14ac:dyDescent="0.3">
      <c r="A43" s="564" t="s">
        <v>367</v>
      </c>
      <c r="B43" s="566" t="s">
        <v>867</v>
      </c>
      <c r="C43" s="21">
        <v>46023</v>
      </c>
      <c r="D43" s="37"/>
      <c r="E43" s="37"/>
      <c r="F43" s="37">
        <v>60</v>
      </c>
      <c r="G43" s="37">
        <v>5</v>
      </c>
      <c r="H43" s="37"/>
      <c r="I43" s="37"/>
      <c r="J43" s="37"/>
      <c r="K43" s="38">
        <f t="shared" si="4"/>
        <v>65</v>
      </c>
    </row>
    <row r="44" spans="1:14" ht="15.75" thickBot="1" x14ac:dyDescent="0.3">
      <c r="A44" s="565"/>
      <c r="B44" s="567"/>
      <c r="C44" s="21">
        <v>46054</v>
      </c>
      <c r="D44" s="37"/>
      <c r="E44" s="37"/>
      <c r="F44" s="37">
        <v>56</v>
      </c>
      <c r="G44" s="37">
        <v>5</v>
      </c>
      <c r="H44" s="37"/>
      <c r="I44" s="37"/>
      <c r="J44" s="37"/>
      <c r="K44" s="38">
        <f t="shared" si="4"/>
        <v>61</v>
      </c>
    </row>
    <row r="45" spans="1:14" ht="15.75" thickBot="1" x14ac:dyDescent="0.3">
      <c r="A45" s="40" t="s">
        <v>870</v>
      </c>
      <c r="B45" s="21" t="s">
        <v>871</v>
      </c>
      <c r="C45" s="21">
        <v>46023</v>
      </c>
      <c r="D45" s="37">
        <v>76.5</v>
      </c>
      <c r="E45" s="37">
        <v>5</v>
      </c>
      <c r="F45" s="37">
        <v>60</v>
      </c>
      <c r="G45" s="37">
        <v>5</v>
      </c>
      <c r="H45" s="37">
        <v>10</v>
      </c>
      <c r="I45" s="37"/>
      <c r="J45" s="37"/>
      <c r="K45" s="38">
        <f t="shared" si="4"/>
        <v>156.5</v>
      </c>
    </row>
    <row r="46" spans="1:14" ht="15.75" thickBot="1" x14ac:dyDescent="0.3">
      <c r="A46" s="505" t="s">
        <v>872</v>
      </c>
      <c r="B46" s="21" t="s">
        <v>873</v>
      </c>
      <c r="C46" s="21">
        <v>46023</v>
      </c>
      <c r="D46" s="37">
        <v>76.5</v>
      </c>
      <c r="E46" s="37">
        <v>5</v>
      </c>
      <c r="F46" s="37">
        <v>60</v>
      </c>
      <c r="G46" s="37">
        <v>5</v>
      </c>
      <c r="H46" s="37"/>
      <c r="I46" s="37"/>
      <c r="J46" s="37"/>
      <c r="K46" s="38">
        <f t="shared" si="4"/>
        <v>146.5</v>
      </c>
    </row>
    <row r="47" spans="1:14" ht="15.75" thickBot="1" x14ac:dyDescent="0.3">
      <c r="A47" s="505" t="s">
        <v>874</v>
      </c>
      <c r="B47" s="21" t="s">
        <v>875</v>
      </c>
      <c r="C47" s="21">
        <v>46023</v>
      </c>
      <c r="D47" s="37"/>
      <c r="E47" s="37"/>
      <c r="F47" s="37">
        <v>44.3</v>
      </c>
      <c r="G47" s="37">
        <v>5</v>
      </c>
      <c r="H47" s="37"/>
      <c r="I47" s="37"/>
      <c r="J47" s="37"/>
      <c r="K47" s="38">
        <f t="shared" si="4"/>
        <v>49.3</v>
      </c>
    </row>
    <row r="48" spans="1:14" ht="15.75" thickBot="1" x14ac:dyDescent="0.3">
      <c r="A48" s="505" t="s">
        <v>876</v>
      </c>
      <c r="B48" s="21" t="s">
        <v>877</v>
      </c>
      <c r="C48" s="21">
        <v>46023</v>
      </c>
      <c r="D48" s="37">
        <v>38.299999999999997</v>
      </c>
      <c r="E48" s="37">
        <v>5</v>
      </c>
      <c r="F48" s="37"/>
      <c r="G48" s="37"/>
      <c r="H48" s="37"/>
      <c r="I48" s="37"/>
      <c r="J48" s="37"/>
      <c r="K48" s="38">
        <f t="shared" si="4"/>
        <v>43.3</v>
      </c>
    </row>
    <row r="49" spans="1:11" ht="15.75" thickBot="1" x14ac:dyDescent="0.3">
      <c r="A49" s="613" t="s">
        <v>878</v>
      </c>
      <c r="B49" s="566" t="s">
        <v>879</v>
      </c>
      <c r="C49" s="21">
        <v>45992</v>
      </c>
      <c r="D49" s="37">
        <v>11.4</v>
      </c>
      <c r="E49" s="37">
        <v>25.5</v>
      </c>
      <c r="F49" s="37"/>
      <c r="G49" s="37"/>
      <c r="H49" s="37"/>
      <c r="I49" s="37"/>
      <c r="J49" s="37"/>
      <c r="K49" s="38">
        <f t="shared" si="4"/>
        <v>36.9</v>
      </c>
    </row>
    <row r="50" spans="1:11" ht="15.75" thickBot="1" x14ac:dyDescent="0.3">
      <c r="A50" s="614"/>
      <c r="B50" s="567"/>
      <c r="C50" s="21">
        <v>46023</v>
      </c>
      <c r="D50" s="37">
        <v>11.2</v>
      </c>
      <c r="E50" s="37">
        <v>23.1</v>
      </c>
      <c r="F50" s="37"/>
      <c r="G50" s="37"/>
      <c r="H50" s="37"/>
      <c r="I50" s="37"/>
      <c r="J50" s="37"/>
      <c r="K50" s="38">
        <f t="shared" si="4"/>
        <v>34.299999999999997</v>
      </c>
    </row>
    <row r="51" spans="1:11" ht="15.75" thickBot="1" x14ac:dyDescent="0.3">
      <c r="A51" s="564" t="s">
        <v>880</v>
      </c>
      <c r="B51" s="566" t="s">
        <v>881</v>
      </c>
      <c r="C51" s="21">
        <v>45992</v>
      </c>
      <c r="D51" s="37"/>
      <c r="E51" s="37"/>
      <c r="F51" s="37"/>
      <c r="G51" s="37"/>
      <c r="H51" s="37"/>
      <c r="I51" s="37"/>
      <c r="J51" s="37">
        <v>200</v>
      </c>
      <c r="K51" s="38">
        <f t="shared" si="4"/>
        <v>200</v>
      </c>
    </row>
    <row r="52" spans="1:11" ht="15.75" thickBot="1" x14ac:dyDescent="0.3">
      <c r="A52" s="565"/>
      <c r="B52" s="567"/>
      <c r="C52" s="21">
        <v>46023</v>
      </c>
      <c r="D52" s="37"/>
      <c r="F52" s="37"/>
      <c r="G52" s="37"/>
      <c r="H52" s="37"/>
      <c r="I52" s="37"/>
      <c r="J52" s="37">
        <v>200</v>
      </c>
      <c r="K52" s="38">
        <f t="shared" si="4"/>
        <v>200</v>
      </c>
    </row>
    <row r="53" spans="1:11" ht="15.75" thickBot="1" x14ac:dyDescent="0.3">
      <c r="A53" s="564" t="s">
        <v>139</v>
      </c>
      <c r="B53" s="566" t="s">
        <v>882</v>
      </c>
      <c r="C53" s="21">
        <v>45992</v>
      </c>
      <c r="D53" s="37">
        <v>660.3</v>
      </c>
      <c r="E53" s="166">
        <v>57.1</v>
      </c>
      <c r="F53" s="37"/>
      <c r="G53" s="37"/>
      <c r="H53" s="37"/>
      <c r="I53" s="37"/>
      <c r="J53" s="37">
        <v>200</v>
      </c>
      <c r="K53" s="38">
        <f t="shared" si="4"/>
        <v>917.4</v>
      </c>
    </row>
    <row r="54" spans="1:11" ht="15.75" thickBot="1" x14ac:dyDescent="0.3">
      <c r="A54" s="565"/>
      <c r="B54" s="567"/>
      <c r="C54" s="21">
        <v>46023</v>
      </c>
      <c r="D54" s="37">
        <v>727.2</v>
      </c>
      <c r="E54" s="484">
        <v>69.3</v>
      </c>
      <c r="F54" s="37"/>
      <c r="G54" s="37"/>
      <c r="H54" s="37"/>
      <c r="I54" s="37"/>
      <c r="J54" s="37">
        <v>200</v>
      </c>
      <c r="K54" s="38">
        <f t="shared" si="4"/>
        <v>996.5</v>
      </c>
    </row>
    <row r="55" spans="1:11" ht="15.75" thickBot="1" x14ac:dyDescent="0.3">
      <c r="A55" s="506"/>
      <c r="B55" s="504"/>
      <c r="C55" s="21"/>
      <c r="D55" s="37"/>
      <c r="E55" s="166"/>
      <c r="F55" s="37"/>
      <c r="G55" s="37"/>
      <c r="H55" s="37"/>
      <c r="I55" s="37"/>
      <c r="J55" s="37"/>
      <c r="K55" s="38">
        <f t="shared" si="4"/>
        <v>0</v>
      </c>
    </row>
    <row r="56" spans="1:11" ht="15.75" thickBot="1" x14ac:dyDescent="0.3">
      <c r="A56" s="506"/>
      <c r="B56" s="504"/>
      <c r="C56" s="21"/>
      <c r="D56" s="37"/>
      <c r="F56" s="37"/>
      <c r="G56" s="37"/>
      <c r="H56" s="37"/>
      <c r="I56" s="37"/>
      <c r="J56" s="37"/>
      <c r="K56" s="38">
        <f t="shared" si="4"/>
        <v>0</v>
      </c>
    </row>
    <row r="57" spans="1:11" ht="15.75" thickBot="1" x14ac:dyDescent="0.3">
      <c r="A57" s="40"/>
      <c r="B57" s="21"/>
      <c r="C57" s="21"/>
      <c r="D57" s="37"/>
      <c r="E57" s="37"/>
      <c r="F57" s="37"/>
      <c r="G57" s="37"/>
      <c r="H57" s="37"/>
      <c r="I57" s="37"/>
      <c r="J57" s="37"/>
      <c r="K57" s="38">
        <f t="shared" si="4"/>
        <v>0</v>
      </c>
    </row>
    <row r="58" spans="1:11" ht="15.75" thickBot="1" x14ac:dyDescent="0.3">
      <c r="A58" s="40"/>
      <c r="B58" s="21"/>
      <c r="C58" s="21"/>
      <c r="D58" s="57"/>
      <c r="E58" s="57"/>
      <c r="F58" s="57"/>
      <c r="G58" s="57"/>
      <c r="H58" s="57"/>
      <c r="I58" s="57"/>
      <c r="J58" s="57"/>
      <c r="K58" s="38">
        <f t="shared" si="4"/>
        <v>0</v>
      </c>
    </row>
    <row r="59" spans="1:11" ht="19.5" thickBot="1" x14ac:dyDescent="0.35">
      <c r="A59" s="23" t="s">
        <v>9</v>
      </c>
      <c r="B59" s="4"/>
      <c r="C59" s="24"/>
      <c r="D59" s="25">
        <f t="shared" ref="D59:K59" si="5">SUM(D41:D58)</f>
        <v>1798.7</v>
      </c>
      <c r="E59" s="25">
        <f t="shared" si="5"/>
        <v>233.8</v>
      </c>
      <c r="F59" s="25">
        <f t="shared" si="5"/>
        <v>280.3</v>
      </c>
      <c r="G59" s="25">
        <f t="shared" si="5"/>
        <v>25</v>
      </c>
      <c r="H59" s="25">
        <f t="shared" si="5"/>
        <v>10</v>
      </c>
      <c r="I59" s="25">
        <f t="shared" si="5"/>
        <v>28.3</v>
      </c>
      <c r="J59" s="25">
        <f t="shared" si="5"/>
        <v>800</v>
      </c>
      <c r="K59" s="25">
        <f t="shared" si="5"/>
        <v>3176.1</v>
      </c>
    </row>
    <row r="60" spans="1:11" ht="15.75" x14ac:dyDescent="0.25">
      <c r="A60" s="58"/>
      <c r="B60" s="58"/>
      <c r="C60" s="59"/>
      <c r="D60" s="60"/>
      <c r="E60" s="60"/>
      <c r="F60" s="60"/>
      <c r="G60" s="60"/>
      <c r="H60" s="60"/>
      <c r="I60" s="60"/>
      <c r="J60" s="60"/>
      <c r="K60" s="60"/>
    </row>
    <row r="61" spans="1:11" ht="16.5" thickBot="1" x14ac:dyDescent="0.3">
      <c r="A61" s="58"/>
      <c r="B61" s="58"/>
      <c r="C61" s="59"/>
      <c r="D61" s="60"/>
      <c r="E61" s="60"/>
      <c r="F61" s="60"/>
      <c r="G61" s="60"/>
      <c r="H61" s="60"/>
      <c r="I61" s="60"/>
      <c r="J61" s="60"/>
      <c r="K61" s="60"/>
    </row>
    <row r="62" spans="1:11" ht="19.5" thickBot="1" x14ac:dyDescent="0.35">
      <c r="A62" s="554" t="s">
        <v>23</v>
      </c>
      <c r="B62" s="555"/>
      <c r="C62" s="61"/>
      <c r="D62" s="62"/>
      <c r="E62" s="62"/>
      <c r="F62" s="62"/>
      <c r="G62" s="62"/>
      <c r="H62" s="62"/>
      <c r="I62" s="62"/>
      <c r="J62" s="62"/>
      <c r="K62" s="26">
        <f>+K20+K59</f>
        <v>5598.1</v>
      </c>
    </row>
    <row r="63" spans="1:11" x14ac:dyDescent="0.25">
      <c r="A63" s="2"/>
      <c r="B63" s="2"/>
      <c r="C63" s="63"/>
      <c r="D63" s="3"/>
      <c r="E63" s="3"/>
      <c r="F63" s="3"/>
      <c r="G63" s="3"/>
      <c r="H63" s="3"/>
      <c r="I63" s="3"/>
      <c r="J63" s="3"/>
      <c r="K63" s="3"/>
    </row>
    <row r="64" spans="1:11" x14ac:dyDescent="0.25">
      <c r="A64" s="2"/>
      <c r="B64" s="2"/>
      <c r="C64" s="63"/>
      <c r="D64" s="3"/>
      <c r="E64" s="3"/>
      <c r="F64" s="3"/>
      <c r="G64" s="3"/>
      <c r="H64" s="3"/>
      <c r="I64" s="3"/>
      <c r="J64" s="3"/>
      <c r="K64" s="3"/>
    </row>
    <row r="65" spans="1:15" ht="16.5" thickBot="1" x14ac:dyDescent="0.3">
      <c r="A65" s="64" t="s">
        <v>24</v>
      </c>
      <c r="B65" s="2"/>
      <c r="C65" s="63"/>
      <c r="D65" s="3"/>
      <c r="E65" s="3"/>
      <c r="F65" s="3"/>
      <c r="G65" s="3"/>
      <c r="H65" s="3"/>
      <c r="I65" s="3"/>
      <c r="J65" s="3"/>
      <c r="K65" s="3"/>
    </row>
    <row r="66" spans="1:15" ht="19.5" thickBot="1" x14ac:dyDescent="0.35">
      <c r="A66" s="65" t="s">
        <v>25</v>
      </c>
      <c r="B66" s="66"/>
      <c r="C66" s="67"/>
      <c r="D66" s="68"/>
      <c r="E66" s="68"/>
      <c r="F66" s="68"/>
      <c r="G66" s="68"/>
      <c r="H66" s="68"/>
      <c r="I66" s="68"/>
      <c r="J66" s="68"/>
      <c r="K66" s="26">
        <v>2069</v>
      </c>
    </row>
    <row r="67" spans="1:15" ht="19.5" thickBot="1" x14ac:dyDescent="0.35">
      <c r="A67" s="65" t="s">
        <v>26</v>
      </c>
      <c r="B67" s="66"/>
      <c r="C67" s="69"/>
      <c r="D67" s="68"/>
      <c r="E67" s="68"/>
      <c r="F67" s="68"/>
      <c r="G67" s="68"/>
      <c r="H67" s="68"/>
      <c r="I67" s="68"/>
      <c r="J67" s="68"/>
      <c r="K67" s="26">
        <v>2650</v>
      </c>
      <c r="L67" s="106">
        <f>K66+K67</f>
        <v>4719</v>
      </c>
    </row>
    <row r="68" spans="1:15" ht="18.75" x14ac:dyDescent="0.3">
      <c r="A68" s="70"/>
      <c r="B68" s="70"/>
      <c r="C68" s="71"/>
      <c r="D68" s="72"/>
      <c r="E68" s="72"/>
      <c r="F68" s="72"/>
      <c r="G68" s="72"/>
      <c r="H68" s="72"/>
      <c r="I68" s="72"/>
      <c r="J68" s="72"/>
      <c r="K68" s="30"/>
      <c r="L68">
        <v>100</v>
      </c>
    </row>
    <row r="69" spans="1:15" ht="18.75" x14ac:dyDescent="0.3">
      <c r="A69" s="70"/>
      <c r="B69" s="70"/>
      <c r="C69" s="71"/>
      <c r="D69" s="72"/>
      <c r="E69" s="72"/>
      <c r="F69" s="72"/>
      <c r="G69" s="72"/>
      <c r="H69" s="72"/>
      <c r="I69" s="72"/>
      <c r="J69" s="72"/>
      <c r="K69" s="30"/>
      <c r="L69" s="106">
        <f>L67+L68</f>
        <v>4819</v>
      </c>
      <c r="M69">
        <v>100</v>
      </c>
      <c r="N69">
        <v>23</v>
      </c>
      <c r="O69">
        <f>N69*M69</f>
        <v>2300</v>
      </c>
    </row>
    <row r="70" spans="1:15" ht="16.5" thickBot="1" x14ac:dyDescent="0.3">
      <c r="A70" s="73" t="s">
        <v>27</v>
      </c>
      <c r="B70" s="74"/>
      <c r="C70" s="63"/>
      <c r="D70" s="3"/>
      <c r="E70" s="3"/>
      <c r="F70" s="3"/>
      <c r="G70" s="3"/>
      <c r="H70" s="3"/>
      <c r="I70" s="3"/>
      <c r="J70" s="3"/>
      <c r="K70" s="3"/>
      <c r="M70">
        <v>50</v>
      </c>
      <c r="N70">
        <v>33</v>
      </c>
      <c r="O70">
        <f t="shared" ref="O70:O75" si="6">N70*M70</f>
        <v>1650</v>
      </c>
    </row>
    <row r="71" spans="1:15" ht="19.5" thickBot="1" x14ac:dyDescent="0.35">
      <c r="A71" s="75" t="s">
        <v>28</v>
      </c>
      <c r="B71" s="76"/>
      <c r="C71" s="77"/>
      <c r="D71" s="78"/>
      <c r="E71" s="78"/>
      <c r="F71" s="78"/>
      <c r="G71" s="78"/>
      <c r="H71" s="78"/>
      <c r="I71" s="78"/>
      <c r="J71" s="78"/>
      <c r="K71" s="79">
        <v>452</v>
      </c>
      <c r="M71">
        <v>20</v>
      </c>
      <c r="N71">
        <v>38</v>
      </c>
      <c r="O71">
        <f t="shared" si="6"/>
        <v>760</v>
      </c>
    </row>
    <row r="72" spans="1:15" x14ac:dyDescent="0.25">
      <c r="A72" s="80"/>
      <c r="B72" s="2"/>
      <c r="C72" s="63"/>
      <c r="D72" s="3"/>
      <c r="E72" s="3"/>
      <c r="F72" s="3"/>
      <c r="G72" s="3"/>
      <c r="H72" s="3"/>
      <c r="I72" s="3"/>
      <c r="J72" s="3"/>
      <c r="K72" s="3"/>
      <c r="M72">
        <v>10</v>
      </c>
      <c r="N72">
        <v>10</v>
      </c>
      <c r="O72">
        <f t="shared" si="6"/>
        <v>100</v>
      </c>
    </row>
    <row r="73" spans="1:15" ht="16.5" thickBot="1" x14ac:dyDescent="0.3">
      <c r="A73" s="73"/>
      <c r="B73" s="74"/>
      <c r="C73" s="63"/>
      <c r="D73" s="3"/>
      <c r="E73" s="3"/>
      <c r="F73" s="3"/>
      <c r="G73" s="3"/>
      <c r="H73" s="3"/>
      <c r="I73" s="3"/>
      <c r="J73" s="3"/>
      <c r="K73" s="3"/>
      <c r="M73">
        <v>5</v>
      </c>
      <c r="N73">
        <v>1</v>
      </c>
      <c r="O73">
        <f t="shared" si="6"/>
        <v>5</v>
      </c>
    </row>
    <row r="74" spans="1:15" ht="19.5" thickBot="1" x14ac:dyDescent="0.35">
      <c r="A74" s="75" t="s">
        <v>29</v>
      </c>
      <c r="B74" s="76"/>
      <c r="C74" s="81"/>
      <c r="D74" s="78"/>
      <c r="E74" s="78"/>
      <c r="F74" s="78"/>
      <c r="G74" s="78"/>
      <c r="H74" s="78"/>
      <c r="I74" s="78"/>
      <c r="J74" s="78"/>
      <c r="K74" s="82"/>
      <c r="M74">
        <v>1</v>
      </c>
      <c r="N74">
        <v>3</v>
      </c>
      <c r="O74">
        <f t="shared" si="6"/>
        <v>3</v>
      </c>
    </row>
    <row r="75" spans="1:15" ht="15.75" thickBot="1" x14ac:dyDescent="0.3">
      <c r="A75" s="80"/>
      <c r="B75" s="2"/>
      <c r="C75" s="63"/>
      <c r="D75" s="3"/>
      <c r="E75" s="3"/>
      <c r="F75" s="3"/>
      <c r="G75" s="3"/>
      <c r="H75" s="3"/>
      <c r="I75" s="3"/>
      <c r="J75" s="3"/>
      <c r="K75" s="3"/>
      <c r="M75">
        <v>0.5</v>
      </c>
      <c r="N75">
        <v>2</v>
      </c>
      <c r="O75">
        <f t="shared" si="6"/>
        <v>1</v>
      </c>
    </row>
    <row r="76" spans="1:15" ht="21.75" thickBot="1" x14ac:dyDescent="0.4">
      <c r="A76" s="556" t="s">
        <v>30</v>
      </c>
      <c r="B76" s="557"/>
      <c r="C76" s="83"/>
      <c r="D76" s="84"/>
      <c r="E76" s="84"/>
      <c r="F76" s="84"/>
      <c r="G76" s="84"/>
      <c r="H76" s="84"/>
      <c r="I76" s="84"/>
      <c r="J76" s="84"/>
      <c r="K76" s="85">
        <f>SUM(K62:K75)</f>
        <v>10769.1</v>
      </c>
      <c r="O76">
        <f>SUM(O69:O75)</f>
        <v>4819</v>
      </c>
    </row>
    <row r="77" spans="1:15" x14ac:dyDescent="0.25">
      <c r="A77" s="2"/>
      <c r="B77" s="2"/>
      <c r="C77" s="63"/>
      <c r="D77" s="3"/>
      <c r="E77" s="3"/>
      <c r="F77" s="3"/>
      <c r="G77" s="3"/>
      <c r="H77" s="3"/>
      <c r="I77" s="3"/>
      <c r="J77" s="3"/>
      <c r="K77" s="3"/>
    </row>
    <row r="78" spans="1:15" ht="21" x14ac:dyDescent="0.35">
      <c r="A78" s="553" t="s">
        <v>847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</row>
    <row r="79" spans="1:15" ht="21.75" thickBot="1" x14ac:dyDescent="0.4">
      <c r="A79" s="502" t="s">
        <v>31</v>
      </c>
      <c r="B79" s="502"/>
      <c r="C79" s="502"/>
      <c r="D79" s="502"/>
      <c r="E79" s="502"/>
      <c r="F79" s="502"/>
      <c r="G79" s="502"/>
      <c r="H79" s="502"/>
      <c r="I79" s="502"/>
      <c r="J79" s="502"/>
      <c r="K79" s="87"/>
    </row>
    <row r="80" spans="1:15" ht="15.75" thickBot="1" x14ac:dyDescent="0.3">
      <c r="A80" s="88" t="s">
        <v>32</v>
      </c>
      <c r="B80" s="89" t="s">
        <v>33</v>
      </c>
      <c r="C80" s="558" t="s">
        <v>2</v>
      </c>
      <c r="D80" s="559"/>
      <c r="E80" s="559"/>
      <c r="F80" s="559"/>
      <c r="G80" s="559"/>
      <c r="H80" s="559"/>
      <c r="I80" s="559"/>
      <c r="J80" s="560"/>
      <c r="K80" s="90" t="s">
        <v>9</v>
      </c>
    </row>
    <row r="81" spans="1:11" ht="15.75" customHeight="1" thickBot="1" x14ac:dyDescent="0.3">
      <c r="A81" s="615" t="s">
        <v>849</v>
      </c>
      <c r="B81" s="92">
        <v>14627</v>
      </c>
      <c r="C81" s="561" t="s">
        <v>850</v>
      </c>
      <c r="D81" s="562"/>
      <c r="E81" s="562"/>
      <c r="F81" s="562"/>
      <c r="G81" s="562"/>
      <c r="H81" s="562"/>
      <c r="I81" s="562"/>
      <c r="J81" s="598"/>
      <c r="K81" s="22">
        <v>2.5</v>
      </c>
    </row>
    <row r="82" spans="1:11" ht="15.75" customHeight="1" thickBot="1" x14ac:dyDescent="0.3">
      <c r="A82" s="616"/>
      <c r="B82" s="92">
        <v>14627</v>
      </c>
      <c r="C82" s="561" t="s">
        <v>886</v>
      </c>
      <c r="D82" s="562"/>
      <c r="E82" s="562"/>
      <c r="F82" s="562"/>
      <c r="G82" s="562"/>
      <c r="H82" s="562"/>
      <c r="I82" s="562"/>
      <c r="J82" s="598"/>
      <c r="K82" s="22">
        <v>11.5</v>
      </c>
    </row>
    <row r="83" spans="1:11" ht="30.75" customHeight="1" thickBot="1" x14ac:dyDescent="0.3">
      <c r="A83" s="40" t="s">
        <v>857</v>
      </c>
      <c r="B83" s="92" t="s">
        <v>858</v>
      </c>
      <c r="C83" s="561" t="s">
        <v>862</v>
      </c>
      <c r="D83" s="562"/>
      <c r="E83" s="562"/>
      <c r="F83" s="562"/>
      <c r="G83" s="562"/>
      <c r="H83" s="562"/>
      <c r="I83" s="562"/>
      <c r="J83" s="598"/>
      <c r="K83" s="22">
        <v>700</v>
      </c>
    </row>
    <row r="84" spans="1:11" ht="15.75" customHeight="1" thickBot="1" x14ac:dyDescent="0.3">
      <c r="A84" s="40" t="s">
        <v>859</v>
      </c>
      <c r="B84" s="92" t="s">
        <v>860</v>
      </c>
      <c r="C84" s="561" t="s">
        <v>861</v>
      </c>
      <c r="D84" s="562"/>
      <c r="E84" s="562"/>
      <c r="F84" s="562"/>
      <c r="G84" s="562"/>
      <c r="H84" s="562"/>
      <c r="I84" s="562"/>
      <c r="J84" s="598"/>
      <c r="K84" s="93">
        <v>1840</v>
      </c>
    </row>
    <row r="85" spans="1:11" ht="15.75" thickBot="1" x14ac:dyDescent="0.3">
      <c r="A85" s="40"/>
      <c r="B85" s="92"/>
      <c r="C85" s="561"/>
      <c r="D85" s="562"/>
      <c r="E85" s="562"/>
      <c r="F85" s="562"/>
      <c r="G85" s="562"/>
      <c r="H85" s="562"/>
      <c r="I85" s="562"/>
      <c r="J85" s="598"/>
      <c r="K85" s="22" t="s">
        <v>434</v>
      </c>
    </row>
    <row r="86" spans="1:11" ht="15.75" thickBot="1" x14ac:dyDescent="0.3">
      <c r="A86" s="40"/>
      <c r="B86" s="92"/>
      <c r="C86" s="561"/>
      <c r="D86" s="562"/>
      <c r="E86" s="562"/>
      <c r="F86" s="562"/>
      <c r="G86" s="562"/>
      <c r="H86" s="562"/>
      <c r="I86" s="562"/>
      <c r="J86" s="598"/>
      <c r="K86" s="22"/>
    </row>
    <row r="87" spans="1:11" ht="15.75" thickBot="1" x14ac:dyDescent="0.3">
      <c r="A87" s="40"/>
      <c r="B87" s="92"/>
      <c r="C87" s="561"/>
      <c r="D87" s="562"/>
      <c r="E87" s="562"/>
      <c r="F87" s="562"/>
      <c r="G87" s="562"/>
      <c r="H87" s="562"/>
      <c r="I87" s="562"/>
      <c r="J87" s="598"/>
      <c r="K87" s="22"/>
    </row>
    <row r="88" spans="1:11" ht="15.75" thickBot="1" x14ac:dyDescent="0.3">
      <c r="A88" s="40"/>
      <c r="B88" s="92"/>
      <c r="C88" s="561"/>
      <c r="D88" s="562"/>
      <c r="E88" s="562"/>
      <c r="F88" s="562"/>
      <c r="G88" s="562"/>
      <c r="H88" s="562"/>
      <c r="I88" s="562"/>
      <c r="J88" s="598"/>
      <c r="K88" s="22"/>
    </row>
    <row r="89" spans="1:11" ht="15.75" thickBot="1" x14ac:dyDescent="0.3">
      <c r="A89" s="40"/>
      <c r="B89" s="92"/>
      <c r="C89" s="561"/>
      <c r="D89" s="562"/>
      <c r="E89" s="562"/>
      <c r="F89" s="562"/>
      <c r="G89" s="562"/>
      <c r="H89" s="562"/>
      <c r="I89" s="562"/>
      <c r="J89" s="598"/>
      <c r="K89" s="22"/>
    </row>
    <row r="90" spans="1:11" ht="15.75" thickBot="1" x14ac:dyDescent="0.3">
      <c r="A90" s="40"/>
      <c r="B90" s="92"/>
      <c r="C90" s="561"/>
      <c r="D90" s="562"/>
      <c r="E90" s="562"/>
      <c r="F90" s="562"/>
      <c r="G90" s="562"/>
      <c r="H90" s="562"/>
      <c r="I90" s="562"/>
      <c r="J90" s="598"/>
      <c r="K90" s="37"/>
    </row>
    <row r="91" spans="1:11" ht="15.75" thickBot="1" x14ac:dyDescent="0.3">
      <c r="A91" s="40"/>
      <c r="B91" s="92"/>
      <c r="C91" s="561"/>
      <c r="D91" s="562"/>
      <c r="E91" s="562"/>
      <c r="F91" s="562"/>
      <c r="G91" s="562"/>
      <c r="H91" s="562"/>
      <c r="I91" s="562"/>
      <c r="J91" s="598"/>
      <c r="K91" s="37"/>
    </row>
    <row r="92" spans="1:11" ht="15.75" thickBot="1" x14ac:dyDescent="0.3">
      <c r="A92" s="40"/>
      <c r="B92" s="92"/>
      <c r="C92" s="561"/>
      <c r="D92" s="562"/>
      <c r="E92" s="562"/>
      <c r="F92" s="562"/>
      <c r="G92" s="562"/>
      <c r="H92" s="562"/>
      <c r="I92" s="562"/>
      <c r="J92" s="598"/>
      <c r="K92" s="37"/>
    </row>
    <row r="93" spans="1:11" ht="15.75" thickBot="1" x14ac:dyDescent="0.3">
      <c r="A93" s="40"/>
      <c r="B93" s="92"/>
      <c r="C93" s="561"/>
      <c r="D93" s="562"/>
      <c r="E93" s="562"/>
      <c r="F93" s="562"/>
      <c r="G93" s="562"/>
      <c r="H93" s="562"/>
      <c r="I93" s="562"/>
      <c r="J93" s="598"/>
      <c r="K93" s="37"/>
    </row>
    <row r="94" spans="1:11" ht="15.75" thickBot="1" x14ac:dyDescent="0.3">
      <c r="A94" s="40"/>
      <c r="B94" s="92"/>
      <c r="C94" s="561"/>
      <c r="D94" s="562"/>
      <c r="E94" s="562"/>
      <c r="F94" s="562"/>
      <c r="G94" s="562"/>
      <c r="H94" s="562"/>
      <c r="I94" s="562"/>
      <c r="J94" s="598"/>
      <c r="K94" s="37"/>
    </row>
    <row r="95" spans="1:11" ht="19.5" thickBot="1" x14ac:dyDescent="0.35">
      <c r="A95" s="94" t="s">
        <v>34</v>
      </c>
      <c r="B95" s="554"/>
      <c r="C95" s="563"/>
      <c r="D95" s="563"/>
      <c r="E95" s="563"/>
      <c r="F95" s="563"/>
      <c r="G95" s="563"/>
      <c r="H95" s="563"/>
      <c r="I95" s="563"/>
      <c r="J95" s="555"/>
      <c r="K95" s="95">
        <f>SUM(K81:K94)</f>
        <v>2554</v>
      </c>
    </row>
    <row r="96" spans="1:11" ht="18.75" x14ac:dyDescent="0.3">
      <c r="A96" s="27"/>
      <c r="B96" s="27"/>
      <c r="C96" s="96"/>
      <c r="D96" s="96"/>
      <c r="E96" s="96"/>
      <c r="F96" s="97"/>
      <c r="G96" s="96"/>
      <c r="H96" s="96"/>
      <c r="I96" s="96"/>
      <c r="J96" s="96"/>
      <c r="K96" s="30"/>
    </row>
    <row r="97" spans="1:11" ht="18.75" x14ac:dyDescent="0.3">
      <c r="A97" s="27"/>
      <c r="B97" s="27"/>
      <c r="C97" s="96"/>
      <c r="D97" s="96"/>
      <c r="E97" s="96"/>
      <c r="F97" s="97"/>
      <c r="G97" s="96"/>
      <c r="H97" s="96"/>
      <c r="I97" s="96"/>
      <c r="J97" s="96"/>
      <c r="K97" s="30"/>
    </row>
    <row r="98" spans="1:11" ht="18.75" x14ac:dyDescent="0.3">
      <c r="A98" s="58" t="s">
        <v>35</v>
      </c>
      <c r="B98" s="27"/>
      <c r="C98" s="2"/>
      <c r="D98" s="3"/>
      <c r="F98" s="3"/>
      <c r="K98" s="3"/>
    </row>
    <row r="99" spans="1:11" x14ac:dyDescent="0.25">
      <c r="A99" s="2" t="s">
        <v>36</v>
      </c>
      <c r="B99" s="63">
        <f>+K76</f>
        <v>10769.1</v>
      </c>
      <c r="C99" s="98"/>
      <c r="D99" s="3"/>
      <c r="F99" s="3"/>
      <c r="K99" s="3"/>
    </row>
    <row r="100" spans="1:11" ht="15.75" thickBot="1" x14ac:dyDescent="0.3">
      <c r="A100" s="2" t="s">
        <v>34</v>
      </c>
      <c r="B100" s="99">
        <f>+K95</f>
        <v>2554</v>
      </c>
      <c r="C100" s="100"/>
      <c r="D100" s="3"/>
      <c r="F100" s="3"/>
      <c r="G100" s="101"/>
      <c r="H100" s="101"/>
      <c r="I100" s="102"/>
      <c r="J100" s="102"/>
      <c r="K100" s="102"/>
    </row>
    <row r="101" spans="1:11" ht="17.25" thickTop="1" thickBot="1" x14ac:dyDescent="0.3">
      <c r="A101" s="58" t="s">
        <v>37</v>
      </c>
      <c r="B101" s="103">
        <f>++B99-B100</f>
        <v>8215.1</v>
      </c>
      <c r="C101" s="104"/>
      <c r="D101" s="105"/>
      <c r="E101" s="106"/>
      <c r="F101" s="105"/>
      <c r="G101" s="107"/>
      <c r="H101" s="107"/>
      <c r="I101" s="3"/>
      <c r="J101" s="3"/>
    </row>
    <row r="102" spans="1:11" ht="15.75" thickTop="1" x14ac:dyDescent="0.25"/>
  </sheetData>
  <mergeCells count="32">
    <mergeCell ref="B95:J95"/>
    <mergeCell ref="B53:B54"/>
    <mergeCell ref="A53:A54"/>
    <mergeCell ref="C82:J82"/>
    <mergeCell ref="A81:A82"/>
    <mergeCell ref="C87:J87"/>
    <mergeCell ref="C88:J88"/>
    <mergeCell ref="C89:J89"/>
    <mergeCell ref="C90:J90"/>
    <mergeCell ref="C91:J91"/>
    <mergeCell ref="C92:J92"/>
    <mergeCell ref="C80:J80"/>
    <mergeCell ref="C81:J81"/>
    <mergeCell ref="C93:J93"/>
    <mergeCell ref="C94:J94"/>
    <mergeCell ref="C83:J83"/>
    <mergeCell ref="C84:J84"/>
    <mergeCell ref="C85:J85"/>
    <mergeCell ref="C86:J86"/>
    <mergeCell ref="A1:K1"/>
    <mergeCell ref="A62:B62"/>
    <mergeCell ref="A76:B76"/>
    <mergeCell ref="A78:K78"/>
    <mergeCell ref="A24:A25"/>
    <mergeCell ref="A51:A52"/>
    <mergeCell ref="B51:B52"/>
    <mergeCell ref="B41:B42"/>
    <mergeCell ref="A41:A42"/>
    <mergeCell ref="B43:B44"/>
    <mergeCell ref="A43:A44"/>
    <mergeCell ref="B49:B50"/>
    <mergeCell ref="A49:A50"/>
  </mergeCells>
  <phoneticPr fontId="13" type="noConversion"/>
  <pageMargins left="0.17" right="0.17" top="1.55" bottom="0.17" header="0.17" footer="0.17"/>
  <pageSetup paperSize="9" scale="27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6387-B9C3-4228-B09B-8B05C045852A}">
  <sheetPr>
    <pageSetUpPr fitToPage="1"/>
  </sheetPr>
  <dimension ref="A1:M98"/>
  <sheetViews>
    <sheetView tabSelected="1" topLeftCell="A53" workbookViewId="0">
      <selection activeCell="J69" sqref="J69"/>
    </sheetView>
  </sheetViews>
  <sheetFormatPr baseColWidth="10" defaultRowHeight="15" x14ac:dyDescent="0.25"/>
  <cols>
    <col min="1" max="1" width="32.140625" bestFit="1" customWidth="1"/>
    <col min="2" max="2" width="15.42578125" bestFit="1" customWidth="1"/>
    <col min="10" max="10" width="14.42578125" bestFit="1" customWidth="1"/>
  </cols>
  <sheetData>
    <row r="1" spans="1:10" ht="21" x14ac:dyDescent="0.35">
      <c r="A1" s="553" t="s">
        <v>888</v>
      </c>
      <c r="B1" s="553"/>
      <c r="C1" s="553"/>
      <c r="D1" s="553"/>
      <c r="E1" s="553"/>
      <c r="F1" s="553"/>
      <c r="G1" s="553"/>
      <c r="H1" s="553"/>
      <c r="I1" s="553"/>
      <c r="J1" s="553"/>
    </row>
    <row r="2" spans="1:10" ht="15.75" thickBot="1" x14ac:dyDescent="0.3">
      <c r="A2" s="1"/>
      <c r="B2" s="2"/>
      <c r="C2" s="2"/>
      <c r="J2" s="3"/>
    </row>
    <row r="3" spans="1:10" ht="15.75" thickBo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5" t="s">
        <v>9</v>
      </c>
    </row>
    <row r="4" spans="1:10" ht="15.75" thickBot="1" x14ac:dyDescent="0.3">
      <c r="A4" s="6" t="s">
        <v>10</v>
      </c>
      <c r="B4" s="6" t="s">
        <v>900</v>
      </c>
      <c r="C4" s="7">
        <v>46054</v>
      </c>
      <c r="D4" s="8"/>
      <c r="E4" s="8"/>
      <c r="F4" s="8"/>
      <c r="G4" s="8"/>
      <c r="H4" s="8"/>
      <c r="I4" s="8">
        <v>10</v>
      </c>
      <c r="J4" s="5">
        <f>SUM(D4:I4)</f>
        <v>10</v>
      </c>
    </row>
    <row r="5" spans="1:10" ht="15.75" thickBot="1" x14ac:dyDescent="0.3">
      <c r="A5" s="6" t="s">
        <v>891</v>
      </c>
      <c r="B5" s="6" t="s">
        <v>892</v>
      </c>
      <c r="C5" s="7">
        <v>46054</v>
      </c>
      <c r="D5" s="8"/>
      <c r="E5" s="8"/>
      <c r="F5" s="8"/>
      <c r="G5" s="8">
        <v>30</v>
      </c>
      <c r="H5" s="8"/>
      <c r="I5" s="8"/>
      <c r="J5" s="5">
        <f t="shared" ref="J5:J21" si="0">SUM(D5:I5)</f>
        <v>30</v>
      </c>
    </row>
    <row r="6" spans="1:10" ht="15.75" thickBot="1" x14ac:dyDescent="0.3">
      <c r="A6" s="6"/>
      <c r="B6" s="6"/>
      <c r="C6" s="7"/>
      <c r="D6" s="8"/>
      <c r="E6" s="8"/>
      <c r="F6" s="8"/>
      <c r="G6" s="8"/>
      <c r="H6" s="8"/>
      <c r="I6" s="8"/>
      <c r="J6" s="5">
        <f t="shared" si="0"/>
        <v>0</v>
      </c>
    </row>
    <row r="7" spans="1:10" ht="15.75" thickBot="1" x14ac:dyDescent="0.3">
      <c r="A7" s="591" t="s">
        <v>799</v>
      </c>
      <c r="B7" s="591" t="s">
        <v>895</v>
      </c>
      <c r="C7" s="7">
        <v>46023</v>
      </c>
      <c r="D7" s="8"/>
      <c r="E7" s="8"/>
      <c r="F7" s="8">
        <v>200</v>
      </c>
      <c r="G7" s="8"/>
      <c r="H7" s="8"/>
      <c r="I7" s="8"/>
      <c r="J7" s="5">
        <f t="shared" si="0"/>
        <v>200</v>
      </c>
    </row>
    <row r="8" spans="1:10" ht="15.75" thickBot="1" x14ac:dyDescent="0.3">
      <c r="A8" s="592"/>
      <c r="B8" s="592"/>
      <c r="C8" s="7">
        <v>46054</v>
      </c>
      <c r="D8" s="8"/>
      <c r="E8" s="8"/>
      <c r="F8" s="8">
        <v>300</v>
      </c>
      <c r="G8" s="8"/>
      <c r="H8" s="8"/>
      <c r="I8" s="8"/>
      <c r="J8" s="5">
        <f t="shared" si="0"/>
        <v>300</v>
      </c>
    </row>
    <row r="9" spans="1:10" ht="15.75" thickBot="1" x14ac:dyDescent="0.3">
      <c r="A9" s="6"/>
      <c r="B9" s="6"/>
      <c r="C9" s="7"/>
      <c r="D9" s="8"/>
      <c r="E9" s="8"/>
      <c r="F9" s="8"/>
      <c r="G9" s="8"/>
      <c r="H9" s="8"/>
      <c r="I9" s="8"/>
      <c r="J9" s="5">
        <f t="shared" si="0"/>
        <v>0</v>
      </c>
    </row>
    <row r="10" spans="1:10" ht="15.75" thickBot="1" x14ac:dyDescent="0.3">
      <c r="A10" s="6"/>
      <c r="B10" s="6"/>
      <c r="C10" s="7"/>
      <c r="D10" s="8"/>
      <c r="E10" s="8"/>
      <c r="F10" s="8"/>
      <c r="G10" s="8"/>
      <c r="H10" s="8"/>
      <c r="I10" s="8"/>
      <c r="J10" s="5">
        <f t="shared" si="0"/>
        <v>0</v>
      </c>
    </row>
    <row r="11" spans="1:10" ht="15.75" thickBot="1" x14ac:dyDescent="0.3">
      <c r="A11" s="523"/>
      <c r="B11" s="6"/>
      <c r="C11" s="7"/>
      <c r="D11" s="8"/>
      <c r="E11" s="8"/>
      <c r="F11" s="8"/>
      <c r="G11" s="8"/>
      <c r="H11" s="8"/>
      <c r="I11" s="8"/>
      <c r="J11" s="5">
        <f t="shared" si="0"/>
        <v>0</v>
      </c>
    </row>
    <row r="12" spans="1:10" ht="15.75" thickBot="1" x14ac:dyDescent="0.3">
      <c r="A12" s="523"/>
      <c r="B12" s="520"/>
      <c r="C12" s="7"/>
      <c r="D12" s="8"/>
      <c r="E12" s="8"/>
      <c r="F12" s="8"/>
      <c r="G12" s="8"/>
      <c r="H12" s="8"/>
      <c r="I12" s="11"/>
      <c r="J12" s="12">
        <f t="shared" si="0"/>
        <v>0</v>
      </c>
    </row>
    <row r="13" spans="1:10" ht="15.75" thickBot="1" x14ac:dyDescent="0.3">
      <c r="A13" s="6"/>
      <c r="B13" s="6"/>
      <c r="C13" s="7"/>
      <c r="D13" s="8"/>
      <c r="E13" s="8"/>
      <c r="F13" s="8"/>
      <c r="G13" s="8"/>
      <c r="H13" s="8"/>
      <c r="I13" s="8"/>
      <c r="J13" s="5">
        <f t="shared" si="0"/>
        <v>0</v>
      </c>
    </row>
    <row r="14" spans="1:10" ht="15.75" thickBot="1" x14ac:dyDescent="0.3">
      <c r="A14" s="13"/>
      <c r="B14" s="521"/>
      <c r="C14" s="7"/>
      <c r="D14" s="8"/>
      <c r="E14" s="8"/>
      <c r="F14" s="8"/>
      <c r="G14" s="8"/>
      <c r="H14" s="8"/>
      <c r="I14" s="8"/>
      <c r="J14" s="5">
        <f t="shared" si="0"/>
        <v>0</v>
      </c>
    </row>
    <row r="15" spans="1:10" ht="15.75" thickBot="1" x14ac:dyDescent="0.3">
      <c r="A15" s="15"/>
      <c r="B15" s="13"/>
      <c r="C15" s="7"/>
      <c r="D15" s="8"/>
      <c r="E15" s="8"/>
      <c r="F15" s="8"/>
      <c r="G15" s="8"/>
      <c r="H15" s="8"/>
      <c r="I15" s="8"/>
      <c r="J15" s="5">
        <f t="shared" si="0"/>
        <v>0</v>
      </c>
    </row>
    <row r="16" spans="1:10" ht="15.75" thickBot="1" x14ac:dyDescent="0.3">
      <c r="A16" s="518"/>
      <c r="B16" s="518"/>
      <c r="C16" s="7"/>
      <c r="D16" s="8"/>
      <c r="E16" s="8"/>
      <c r="F16" s="8"/>
      <c r="G16" s="8"/>
      <c r="H16" s="8"/>
      <c r="I16" s="8"/>
      <c r="J16" s="5">
        <f t="shared" si="0"/>
        <v>0</v>
      </c>
    </row>
    <row r="17" spans="1:13" ht="15.75" thickBot="1" x14ac:dyDescent="0.3">
      <c r="A17" s="17"/>
      <c r="B17" s="518"/>
      <c r="C17" s="7"/>
      <c r="D17" s="8"/>
      <c r="E17" s="8"/>
      <c r="F17" s="8"/>
      <c r="G17" s="8"/>
      <c r="H17" s="8"/>
      <c r="I17" s="8"/>
      <c r="J17" s="5">
        <f t="shared" si="0"/>
        <v>0</v>
      </c>
    </row>
    <row r="18" spans="1:13" ht="15.75" thickBot="1" x14ac:dyDescent="0.3">
      <c r="A18" s="17"/>
      <c r="B18" s="518"/>
      <c r="C18" s="7"/>
      <c r="D18" s="8"/>
      <c r="E18" s="8"/>
      <c r="F18" s="8"/>
      <c r="G18" s="8"/>
      <c r="H18" s="8"/>
      <c r="I18" s="8"/>
      <c r="J18" s="5">
        <f t="shared" si="0"/>
        <v>0</v>
      </c>
    </row>
    <row r="19" spans="1:13" ht="15.75" thickBot="1" x14ac:dyDescent="0.3">
      <c r="A19" s="18"/>
      <c r="B19" s="518"/>
      <c r="C19" s="7"/>
      <c r="D19" s="8"/>
      <c r="E19" s="8"/>
      <c r="F19" s="8"/>
      <c r="G19" s="8"/>
      <c r="H19" s="8"/>
      <c r="I19" s="8"/>
      <c r="J19" s="5">
        <f t="shared" si="0"/>
        <v>0</v>
      </c>
    </row>
    <row r="20" spans="1:13" ht="15.75" thickBot="1" x14ac:dyDescent="0.3">
      <c r="A20" s="522"/>
      <c r="B20" s="522"/>
      <c r="C20" s="7"/>
      <c r="D20" s="8"/>
      <c r="E20" s="8"/>
      <c r="F20" s="8"/>
      <c r="G20" s="8"/>
      <c r="H20" s="8"/>
      <c r="I20" s="8"/>
      <c r="J20" s="5">
        <f t="shared" si="0"/>
        <v>0</v>
      </c>
    </row>
    <row r="21" spans="1:13" ht="15.75" thickBot="1" x14ac:dyDescent="0.3">
      <c r="A21" s="518"/>
      <c r="B21" s="519"/>
      <c r="C21" s="21"/>
      <c r="D21" s="22"/>
      <c r="E21" s="22"/>
      <c r="F21" s="22"/>
      <c r="G21" s="22"/>
      <c r="H21" s="22"/>
      <c r="I21" s="22"/>
      <c r="J21" s="5">
        <f t="shared" si="0"/>
        <v>0</v>
      </c>
    </row>
    <row r="22" spans="1:13" ht="19.5" thickBot="1" x14ac:dyDescent="0.35">
      <c r="A22" s="23" t="s">
        <v>9</v>
      </c>
      <c r="B22" s="4"/>
      <c r="C22" s="24"/>
      <c r="D22" s="25">
        <f t="shared" ref="D22:J22" si="1">SUM(D4:D21)</f>
        <v>0</v>
      </c>
      <c r="E22" s="25">
        <f t="shared" si="1"/>
        <v>0</v>
      </c>
      <c r="F22" s="25">
        <f t="shared" si="1"/>
        <v>500</v>
      </c>
      <c r="G22" s="25">
        <f t="shared" si="1"/>
        <v>30</v>
      </c>
      <c r="H22" s="25">
        <f t="shared" si="1"/>
        <v>0</v>
      </c>
      <c r="I22" s="25">
        <f t="shared" si="1"/>
        <v>10</v>
      </c>
      <c r="J22" s="26">
        <f t="shared" si="1"/>
        <v>540</v>
      </c>
    </row>
    <row r="23" spans="1:13" ht="19.5" thickBot="1" x14ac:dyDescent="0.35">
      <c r="A23" s="27"/>
      <c r="B23" s="28"/>
      <c r="C23" s="29"/>
      <c r="D23" s="30"/>
      <c r="E23" s="30"/>
      <c r="F23" s="30"/>
      <c r="G23" s="30"/>
      <c r="H23" s="30"/>
      <c r="I23" s="30"/>
      <c r="J23" s="30"/>
    </row>
    <row r="24" spans="1:13" ht="24" thickBot="1" x14ac:dyDescent="0.4">
      <c r="A24" s="31" t="s">
        <v>12</v>
      </c>
      <c r="B24" s="28"/>
      <c r="C24" s="29"/>
      <c r="D24" s="30"/>
      <c r="E24" s="30"/>
      <c r="F24" s="30"/>
      <c r="G24" s="30"/>
      <c r="H24" s="30"/>
      <c r="I24" s="30"/>
      <c r="J24" s="30"/>
    </row>
    <row r="25" spans="1:13" ht="15.75" thickBot="1" x14ac:dyDescent="0.3">
      <c r="A25" s="32" t="s">
        <v>13</v>
      </c>
      <c r="B25" s="4" t="s">
        <v>1</v>
      </c>
      <c r="C25" s="33" t="s">
        <v>14</v>
      </c>
      <c r="D25" s="33" t="s">
        <v>3</v>
      </c>
      <c r="E25" s="33" t="s">
        <v>4</v>
      </c>
      <c r="F25" s="4" t="s">
        <v>5</v>
      </c>
      <c r="G25" s="4" t="s">
        <v>6</v>
      </c>
      <c r="H25" s="4" t="s">
        <v>15</v>
      </c>
      <c r="I25" s="4" t="s">
        <v>8</v>
      </c>
      <c r="J25" s="34" t="s">
        <v>9</v>
      </c>
    </row>
    <row r="26" spans="1:13" ht="15.75" thickBot="1" x14ac:dyDescent="0.3">
      <c r="A26" s="522"/>
      <c r="B26" s="21"/>
      <c r="C26" s="21"/>
      <c r="D26" s="35"/>
      <c r="E26" s="36"/>
      <c r="F26" s="35"/>
      <c r="G26" s="35"/>
      <c r="H26" s="37"/>
      <c r="I26" s="37"/>
      <c r="J26" s="38">
        <f>SUM(D26:I26)</f>
        <v>0</v>
      </c>
    </row>
    <row r="27" spans="1:13" ht="15.75" thickBot="1" x14ac:dyDescent="0.3">
      <c r="A27" s="522"/>
      <c r="B27" s="21"/>
      <c r="C27" s="21"/>
      <c r="D27" s="35"/>
      <c r="E27" s="35"/>
      <c r="F27" s="35"/>
      <c r="G27" s="35"/>
      <c r="H27" s="37"/>
      <c r="I27" s="37"/>
      <c r="J27" s="38">
        <f t="shared" ref="J27:J29" si="2">SUM(D27:I27)</f>
        <v>0</v>
      </c>
    </row>
    <row r="28" spans="1:13" ht="15.75" thickBot="1" x14ac:dyDescent="0.3">
      <c r="A28" s="522"/>
      <c r="B28" s="518"/>
      <c r="C28" s="7"/>
      <c r="D28" s="39"/>
      <c r="E28" s="39"/>
      <c r="F28" s="39"/>
      <c r="G28" s="39"/>
      <c r="H28" s="8"/>
      <c r="I28" s="8"/>
      <c r="J28" s="38">
        <f t="shared" si="2"/>
        <v>0</v>
      </c>
    </row>
    <row r="29" spans="1:13" ht="15.75" thickBot="1" x14ac:dyDescent="0.3">
      <c r="A29" s="4"/>
      <c r="B29" s="40"/>
      <c r="C29" s="7"/>
      <c r="D29" s="39"/>
      <c r="E29" s="39"/>
      <c r="F29" s="39"/>
      <c r="G29" s="39"/>
      <c r="H29" s="8"/>
      <c r="I29" s="8"/>
      <c r="J29" s="38">
        <f t="shared" si="2"/>
        <v>0</v>
      </c>
      <c r="L29" s="41" t="s">
        <v>16</v>
      </c>
      <c r="M29" s="42">
        <f>J30+J38</f>
        <v>0</v>
      </c>
    </row>
    <row r="30" spans="1:13" ht="15.75" thickBot="1" x14ac:dyDescent="0.3">
      <c r="A30" s="4" t="s">
        <v>9</v>
      </c>
      <c r="B30" s="524"/>
      <c r="C30" s="44"/>
      <c r="D30" s="45"/>
      <c r="E30" s="45"/>
      <c r="F30" s="45"/>
      <c r="G30" s="45"/>
      <c r="H30" s="45"/>
      <c r="I30" s="45"/>
      <c r="J30" s="12">
        <f>SUM(J26:J29)</f>
        <v>0</v>
      </c>
    </row>
    <row r="31" spans="1:13" ht="15.75" thickBot="1" x14ac:dyDescent="0.3">
      <c r="A31" s="28"/>
      <c r="B31" s="46"/>
      <c r="C31" s="47"/>
      <c r="D31" s="48"/>
      <c r="E31" s="48"/>
      <c r="F31" s="48"/>
      <c r="G31" s="48"/>
      <c r="H31" s="48"/>
      <c r="I31" s="48"/>
      <c r="J31" s="49"/>
    </row>
    <row r="32" spans="1:13" ht="24" thickBot="1" x14ac:dyDescent="0.4">
      <c r="A32" s="31" t="s">
        <v>12</v>
      </c>
      <c r="B32" s="28"/>
      <c r="C32" s="29"/>
      <c r="D32" s="30"/>
      <c r="E32" s="30"/>
      <c r="F32" s="30"/>
      <c r="G32" s="30"/>
      <c r="H32" s="30"/>
      <c r="I32" s="30"/>
      <c r="J32" s="30"/>
    </row>
    <row r="33" spans="1:13" ht="45.75" thickBot="1" x14ac:dyDescent="0.3">
      <c r="A33" s="50" t="s">
        <v>17</v>
      </c>
      <c r="B33" s="4" t="s">
        <v>18</v>
      </c>
      <c r="C33" s="33" t="s">
        <v>14</v>
      </c>
      <c r="D33" s="33" t="s">
        <v>3</v>
      </c>
      <c r="E33" s="33" t="s">
        <v>4</v>
      </c>
      <c r="F33" s="33" t="s">
        <v>19</v>
      </c>
      <c r="G33" s="33" t="s">
        <v>20</v>
      </c>
      <c r="H33" s="33" t="s">
        <v>15</v>
      </c>
      <c r="I33" s="51" t="s">
        <v>21</v>
      </c>
      <c r="J33" s="34" t="s">
        <v>9</v>
      </c>
    </row>
    <row r="34" spans="1:13" ht="15.75" thickBot="1" x14ac:dyDescent="0.3">
      <c r="A34" s="52"/>
      <c r="B34" s="17"/>
      <c r="C34" s="7"/>
      <c r="D34" s="8"/>
      <c r="E34" s="8"/>
      <c r="F34" s="8"/>
      <c r="G34" s="8"/>
      <c r="H34" s="8"/>
      <c r="I34" s="8"/>
      <c r="J34" s="5">
        <f t="shared" ref="J34:J37" si="3">SUM(D34:I34)</f>
        <v>0</v>
      </c>
    </row>
    <row r="35" spans="1:13" ht="15.75" thickBot="1" x14ac:dyDescent="0.3">
      <c r="A35" s="13"/>
      <c r="B35" s="21"/>
      <c r="C35" s="7"/>
      <c r="D35" s="35"/>
      <c r="E35" s="35"/>
      <c r="F35" s="35"/>
      <c r="G35" s="35"/>
      <c r="H35" s="37"/>
      <c r="I35" s="37"/>
      <c r="J35" s="38">
        <f t="shared" si="3"/>
        <v>0</v>
      </c>
    </row>
    <row r="36" spans="1:13" ht="15.75" thickBot="1" x14ac:dyDescent="0.3">
      <c r="A36" s="522"/>
      <c r="B36" s="518"/>
      <c r="C36" s="7"/>
      <c r="D36" s="39"/>
      <c r="E36" s="39"/>
      <c r="F36" s="39"/>
      <c r="G36" s="39"/>
      <c r="H36" s="8"/>
      <c r="I36" s="8"/>
      <c r="J36" s="38">
        <f t="shared" si="3"/>
        <v>0</v>
      </c>
    </row>
    <row r="37" spans="1:13" ht="15.75" thickBot="1" x14ac:dyDescent="0.3">
      <c r="A37" s="4"/>
      <c r="B37" s="40"/>
      <c r="C37" s="7"/>
      <c r="D37" s="39"/>
      <c r="E37" s="39"/>
      <c r="F37" s="39"/>
      <c r="G37" s="39"/>
      <c r="H37" s="8"/>
      <c r="I37" s="8"/>
      <c r="J37" s="38">
        <f t="shared" si="3"/>
        <v>0</v>
      </c>
      <c r="L37" s="53"/>
      <c r="M37" s="54"/>
    </row>
    <row r="38" spans="1:13" ht="15.75" thickBot="1" x14ac:dyDescent="0.3">
      <c r="A38" s="4" t="s">
        <v>9</v>
      </c>
      <c r="B38" s="524"/>
      <c r="C38" s="44"/>
      <c r="D38" s="45"/>
      <c r="E38" s="45"/>
      <c r="F38" s="45"/>
      <c r="G38" s="45"/>
      <c r="H38" s="45"/>
      <c r="I38" s="45"/>
      <c r="J38" s="12">
        <f>SUM(J34:J37)</f>
        <v>0</v>
      </c>
    </row>
    <row r="39" spans="1:13" x14ac:dyDescent="0.25">
      <c r="A39" s="28"/>
      <c r="B39" s="46"/>
      <c r="C39" s="47"/>
      <c r="D39" s="48"/>
      <c r="E39" s="48"/>
      <c r="F39" s="48"/>
      <c r="G39" s="48"/>
      <c r="H39" s="48"/>
      <c r="I39" s="48"/>
      <c r="J39" s="49"/>
    </row>
    <row r="40" spans="1:13" x14ac:dyDescent="0.25">
      <c r="A40" s="28"/>
      <c r="B40" s="46"/>
      <c r="C40" s="47"/>
      <c r="D40" s="48"/>
      <c r="E40" s="48"/>
      <c r="F40" s="48"/>
      <c r="G40" s="48"/>
      <c r="H40" s="48"/>
      <c r="I40" s="48"/>
      <c r="J40" s="49"/>
    </row>
    <row r="41" spans="1:13" ht="15.75" thickBot="1" x14ac:dyDescent="0.3">
      <c r="A41" s="2"/>
      <c r="B41" s="2"/>
      <c r="C41" s="2"/>
      <c r="J41" s="3"/>
    </row>
    <row r="42" spans="1:13" ht="45.75" thickBot="1" x14ac:dyDescent="0.3">
      <c r="A42" s="33" t="s">
        <v>22</v>
      </c>
      <c r="B42" s="4" t="s">
        <v>18</v>
      </c>
      <c r="C42" s="33" t="s">
        <v>14</v>
      </c>
      <c r="D42" s="33" t="s">
        <v>3</v>
      </c>
      <c r="E42" s="33" t="s">
        <v>4</v>
      </c>
      <c r="F42" s="33" t="s">
        <v>19</v>
      </c>
      <c r="G42" s="33" t="s">
        <v>20</v>
      </c>
      <c r="H42" s="4" t="s">
        <v>21</v>
      </c>
      <c r="I42" s="51" t="s">
        <v>15</v>
      </c>
      <c r="J42" s="34" t="s">
        <v>9</v>
      </c>
    </row>
    <row r="43" spans="1:13" ht="15.75" thickBot="1" x14ac:dyDescent="0.3">
      <c r="A43" s="40" t="s">
        <v>679</v>
      </c>
      <c r="B43" s="17" t="s">
        <v>890</v>
      </c>
      <c r="C43" s="21">
        <v>46054</v>
      </c>
      <c r="D43" s="37"/>
      <c r="E43" s="55"/>
      <c r="F43" s="37">
        <v>56</v>
      </c>
      <c r="G43" s="37">
        <v>5</v>
      </c>
      <c r="H43" s="37"/>
      <c r="I43" s="37"/>
      <c r="J43" s="38">
        <f>SUM(D43:I43)</f>
        <v>61</v>
      </c>
    </row>
    <row r="44" spans="1:13" ht="15.75" thickBot="1" x14ac:dyDescent="0.3">
      <c r="A44" s="40" t="s">
        <v>893</v>
      </c>
      <c r="B44" s="17" t="s">
        <v>894</v>
      </c>
      <c r="C44" s="21">
        <v>45992</v>
      </c>
      <c r="D44" s="37">
        <v>118.7</v>
      </c>
      <c r="E44" s="37">
        <v>12.9</v>
      </c>
      <c r="F44" s="37"/>
      <c r="G44" s="37"/>
      <c r="H44" s="37"/>
      <c r="I44" s="37"/>
      <c r="J44" s="38">
        <f t="shared" ref="J44:J56" si="4">SUM(D44:I44)</f>
        <v>131.6</v>
      </c>
    </row>
    <row r="45" spans="1:13" ht="15.75" thickBot="1" x14ac:dyDescent="0.3">
      <c r="A45" s="518"/>
      <c r="B45" s="21"/>
      <c r="C45" s="21"/>
      <c r="D45" s="37"/>
      <c r="E45" s="37"/>
      <c r="F45" s="37"/>
      <c r="G45" s="37"/>
      <c r="H45" s="37"/>
      <c r="I45" s="37"/>
      <c r="J45" s="38">
        <f t="shared" si="4"/>
        <v>0</v>
      </c>
    </row>
    <row r="46" spans="1:13" ht="15.75" thickBot="1" x14ac:dyDescent="0.3">
      <c r="A46" s="40"/>
      <c r="B46" s="21"/>
      <c r="C46" s="21"/>
      <c r="D46" s="37"/>
      <c r="E46" s="37"/>
      <c r="F46" s="37"/>
      <c r="G46" s="37"/>
      <c r="H46" s="37"/>
      <c r="I46" s="37"/>
      <c r="J46" s="38">
        <f t="shared" si="4"/>
        <v>0</v>
      </c>
    </row>
    <row r="47" spans="1:13" ht="15.75" thickBot="1" x14ac:dyDescent="0.3">
      <c r="A47" s="40"/>
      <c r="B47" s="21"/>
      <c r="C47" s="21"/>
      <c r="D47" s="37"/>
      <c r="E47" s="37"/>
      <c r="F47" s="37"/>
      <c r="G47" s="37"/>
      <c r="H47" s="37"/>
      <c r="I47" s="37"/>
      <c r="J47" s="38">
        <f t="shared" si="4"/>
        <v>0</v>
      </c>
    </row>
    <row r="48" spans="1:13" ht="15.75" thickBot="1" x14ac:dyDescent="0.3">
      <c r="A48" s="518"/>
      <c r="B48" s="21"/>
      <c r="C48" s="21"/>
      <c r="D48" s="37"/>
      <c r="E48" s="37"/>
      <c r="F48" s="37"/>
      <c r="G48" s="37"/>
      <c r="H48" s="37"/>
      <c r="I48" s="37"/>
      <c r="J48" s="38">
        <f t="shared" si="4"/>
        <v>0</v>
      </c>
    </row>
    <row r="49" spans="1:10" ht="15.75" thickBot="1" x14ac:dyDescent="0.3">
      <c r="A49" s="518"/>
      <c r="B49" s="21"/>
      <c r="C49" s="21"/>
      <c r="D49" s="37"/>
      <c r="E49" s="37"/>
      <c r="F49" s="37"/>
      <c r="G49" s="37"/>
      <c r="H49" s="37"/>
      <c r="I49" s="37"/>
      <c r="J49" s="38">
        <f t="shared" si="4"/>
        <v>0</v>
      </c>
    </row>
    <row r="50" spans="1:10" ht="15.75" thickBot="1" x14ac:dyDescent="0.3">
      <c r="A50" s="518"/>
      <c r="B50" s="21"/>
      <c r="C50" s="21"/>
      <c r="D50" s="37"/>
      <c r="E50" s="37"/>
      <c r="F50" s="37"/>
      <c r="G50" s="37"/>
      <c r="H50" s="37"/>
      <c r="I50" s="37"/>
      <c r="J50" s="38">
        <f t="shared" si="4"/>
        <v>0</v>
      </c>
    </row>
    <row r="51" spans="1:10" ht="15.75" thickBot="1" x14ac:dyDescent="0.3">
      <c r="A51" s="518"/>
      <c r="B51" s="21"/>
      <c r="C51" s="21"/>
      <c r="D51" s="37"/>
      <c r="E51" s="37"/>
      <c r="F51" s="37"/>
      <c r="G51" s="37"/>
      <c r="H51" s="37"/>
      <c r="I51" s="37"/>
      <c r="J51" s="38">
        <f t="shared" si="4"/>
        <v>0</v>
      </c>
    </row>
    <row r="52" spans="1:10" ht="15.75" thickBot="1" x14ac:dyDescent="0.3">
      <c r="A52" s="518"/>
      <c r="B52" s="21"/>
      <c r="C52" s="21"/>
      <c r="D52" s="37"/>
      <c r="E52" s="37"/>
      <c r="F52" s="37"/>
      <c r="G52" s="37"/>
      <c r="H52" s="37"/>
      <c r="I52" s="37"/>
      <c r="J52" s="38">
        <f t="shared" si="4"/>
        <v>0</v>
      </c>
    </row>
    <row r="53" spans="1:10" ht="15.75" thickBot="1" x14ac:dyDescent="0.3">
      <c r="A53" s="56"/>
      <c r="B53" s="21"/>
      <c r="C53" s="21"/>
      <c r="D53" s="37"/>
      <c r="E53" s="37"/>
      <c r="F53" s="37"/>
      <c r="G53" s="37"/>
      <c r="H53" s="37"/>
      <c r="I53" s="37"/>
      <c r="J53" s="38">
        <f t="shared" si="4"/>
        <v>0</v>
      </c>
    </row>
    <row r="54" spans="1:10" ht="15.75" thickBot="1" x14ac:dyDescent="0.3">
      <c r="A54" s="40"/>
      <c r="B54" s="21"/>
      <c r="C54" s="21"/>
      <c r="D54" s="37"/>
      <c r="F54" s="37"/>
      <c r="G54" s="37"/>
      <c r="H54" s="37"/>
      <c r="I54" s="37"/>
      <c r="J54" s="38">
        <f t="shared" si="4"/>
        <v>0</v>
      </c>
    </row>
    <row r="55" spans="1:10" ht="15.75" thickBot="1" x14ac:dyDescent="0.3">
      <c r="A55" s="40"/>
      <c r="B55" s="21"/>
      <c r="C55" s="21"/>
      <c r="D55" s="37"/>
      <c r="E55" s="37"/>
      <c r="F55" s="37"/>
      <c r="G55" s="37"/>
      <c r="H55" s="37"/>
      <c r="I55" s="37"/>
      <c r="J55" s="38">
        <f t="shared" si="4"/>
        <v>0</v>
      </c>
    </row>
    <row r="56" spans="1:10" ht="15.75" thickBot="1" x14ac:dyDescent="0.3">
      <c r="A56" s="40"/>
      <c r="B56" s="21"/>
      <c r="C56" s="21"/>
      <c r="D56" s="57"/>
      <c r="E56" s="57"/>
      <c r="F56" s="57"/>
      <c r="G56" s="57"/>
      <c r="H56" s="57"/>
      <c r="I56" s="57"/>
      <c r="J56" s="38">
        <f t="shared" si="4"/>
        <v>0</v>
      </c>
    </row>
    <row r="57" spans="1:10" ht="19.5" thickBot="1" x14ac:dyDescent="0.35">
      <c r="A57" s="23" t="s">
        <v>9</v>
      </c>
      <c r="B57" s="4"/>
      <c r="C57" s="24"/>
      <c r="D57" s="25">
        <f t="shared" ref="D57:J57" si="5">SUM(D43:D56)</f>
        <v>118.7</v>
      </c>
      <c r="E57" s="25">
        <f t="shared" si="5"/>
        <v>12.9</v>
      </c>
      <c r="F57" s="25">
        <f t="shared" si="5"/>
        <v>56</v>
      </c>
      <c r="G57" s="25">
        <f t="shared" si="5"/>
        <v>5</v>
      </c>
      <c r="H57" s="25">
        <f t="shared" si="5"/>
        <v>0</v>
      </c>
      <c r="I57" s="25">
        <f t="shared" si="5"/>
        <v>0</v>
      </c>
      <c r="J57" s="25">
        <f t="shared" si="5"/>
        <v>192.6</v>
      </c>
    </row>
    <row r="58" spans="1:10" ht="15.75" x14ac:dyDescent="0.25">
      <c r="A58" s="58"/>
      <c r="B58" s="58"/>
      <c r="C58" s="59"/>
      <c r="D58" s="60"/>
      <c r="E58" s="60"/>
      <c r="F58" s="60"/>
      <c r="G58" s="60"/>
      <c r="H58" s="60"/>
      <c r="I58" s="60"/>
      <c r="J58" s="60"/>
    </row>
    <row r="59" spans="1:10" ht="16.5" thickBot="1" x14ac:dyDescent="0.3">
      <c r="A59" s="58"/>
      <c r="B59" s="58"/>
      <c r="C59" s="59"/>
      <c r="D59" s="60"/>
      <c r="E59" s="60"/>
      <c r="F59" s="60"/>
      <c r="G59" s="60"/>
      <c r="H59" s="60"/>
      <c r="I59" s="60"/>
      <c r="J59" s="60"/>
    </row>
    <row r="60" spans="1:10" ht="19.5" thickBot="1" x14ac:dyDescent="0.35">
      <c r="A60" s="554" t="s">
        <v>23</v>
      </c>
      <c r="B60" s="555"/>
      <c r="C60" s="61"/>
      <c r="D60" s="62"/>
      <c r="E60" s="62"/>
      <c r="F60" s="62"/>
      <c r="G60" s="62"/>
      <c r="H60" s="62"/>
      <c r="I60" s="62"/>
      <c r="J60" s="26">
        <f>+J22+J57</f>
        <v>732.6</v>
      </c>
    </row>
    <row r="61" spans="1:10" x14ac:dyDescent="0.25">
      <c r="A61" s="2"/>
      <c r="B61" s="2"/>
      <c r="C61" s="63"/>
      <c r="D61" s="3"/>
      <c r="E61" s="3"/>
      <c r="F61" s="3"/>
      <c r="G61" s="3"/>
      <c r="H61" s="3"/>
      <c r="I61" s="3"/>
      <c r="J61" s="3"/>
    </row>
    <row r="62" spans="1:10" x14ac:dyDescent="0.25">
      <c r="A62" s="2"/>
      <c r="B62" s="2"/>
      <c r="C62" s="63"/>
      <c r="D62" s="3"/>
      <c r="E62" s="3"/>
      <c r="F62" s="3"/>
      <c r="G62" s="3"/>
      <c r="H62" s="3"/>
      <c r="I62" s="3"/>
      <c r="J62" s="3"/>
    </row>
    <row r="63" spans="1:10" ht="16.5" thickBot="1" x14ac:dyDescent="0.3">
      <c r="A63" s="64" t="s">
        <v>24</v>
      </c>
      <c r="B63" s="2"/>
      <c r="C63" s="63"/>
      <c r="D63" s="3"/>
      <c r="E63" s="3"/>
      <c r="F63" s="3"/>
      <c r="G63" s="3"/>
      <c r="H63" s="3"/>
      <c r="I63" s="3"/>
      <c r="J63" s="3"/>
    </row>
    <row r="64" spans="1:10" ht="19.5" thickBot="1" x14ac:dyDescent="0.35">
      <c r="A64" s="65" t="s">
        <v>25</v>
      </c>
      <c r="B64" s="66"/>
      <c r="C64" s="67"/>
      <c r="D64" s="68"/>
      <c r="E64" s="68"/>
      <c r="F64" s="68"/>
      <c r="G64" s="68"/>
      <c r="H64" s="68"/>
      <c r="I64" s="68"/>
      <c r="J64" s="26"/>
    </row>
    <row r="65" spans="1:10" ht="19.5" thickBot="1" x14ac:dyDescent="0.35">
      <c r="A65" s="65" t="s">
        <v>26</v>
      </c>
      <c r="B65" s="66"/>
      <c r="C65" s="69"/>
      <c r="D65" s="68"/>
      <c r="E65" s="68"/>
      <c r="F65" s="68"/>
      <c r="G65" s="68"/>
      <c r="H65" s="68"/>
      <c r="I65" s="68"/>
      <c r="J65" s="26"/>
    </row>
    <row r="66" spans="1:10" ht="18.75" x14ac:dyDescent="0.3">
      <c r="A66" s="70"/>
      <c r="B66" s="70"/>
      <c r="C66" s="71"/>
      <c r="D66" s="72"/>
      <c r="E66" s="72"/>
      <c r="F66" s="72"/>
      <c r="G66" s="72"/>
      <c r="H66" s="72"/>
      <c r="I66" s="72"/>
      <c r="J66" s="30"/>
    </row>
    <row r="67" spans="1:10" ht="18.75" x14ac:dyDescent="0.3">
      <c r="A67" s="70"/>
      <c r="B67" s="70"/>
      <c r="C67" s="71"/>
      <c r="D67" s="72"/>
      <c r="E67" s="72"/>
      <c r="F67" s="72"/>
      <c r="G67" s="72"/>
      <c r="H67" s="72"/>
      <c r="I67" s="72"/>
      <c r="J67" s="30"/>
    </row>
    <row r="68" spans="1:10" ht="16.5" thickBot="1" x14ac:dyDescent="0.3">
      <c r="A68" s="73" t="s">
        <v>27</v>
      </c>
      <c r="B68" s="74"/>
      <c r="C68" s="63"/>
      <c r="D68" s="3"/>
      <c r="E68" s="3"/>
      <c r="F68" s="3"/>
      <c r="G68" s="3"/>
      <c r="H68" s="3"/>
      <c r="I68" s="3"/>
      <c r="J68" s="3"/>
    </row>
    <row r="69" spans="1:10" ht="19.5" thickBot="1" x14ac:dyDescent="0.35">
      <c r="A69" s="75" t="s">
        <v>28</v>
      </c>
      <c r="B69" s="76"/>
      <c r="C69" s="77"/>
      <c r="D69" s="78"/>
      <c r="E69" s="78"/>
      <c r="F69" s="78"/>
      <c r="G69" s="78"/>
      <c r="H69" s="78"/>
      <c r="I69" s="78"/>
      <c r="J69" s="79">
        <v>630</v>
      </c>
    </row>
    <row r="70" spans="1:10" x14ac:dyDescent="0.25">
      <c r="A70" s="80"/>
      <c r="B70" s="2"/>
      <c r="C70" s="63"/>
      <c r="D70" s="3"/>
      <c r="E70" s="3"/>
      <c r="F70" s="3"/>
      <c r="G70" s="3"/>
      <c r="H70" s="3"/>
      <c r="I70" s="3"/>
      <c r="J70" s="3"/>
    </row>
    <row r="71" spans="1:10" ht="16.5" thickBot="1" x14ac:dyDescent="0.3">
      <c r="A71" s="73"/>
      <c r="B71" s="74"/>
      <c r="C71" s="63"/>
      <c r="D71" s="3"/>
      <c r="E71" s="3"/>
      <c r="F71" s="3"/>
      <c r="G71" s="3"/>
      <c r="H71" s="3"/>
      <c r="I71" s="3"/>
      <c r="J71" s="3"/>
    </row>
    <row r="72" spans="1:10" ht="19.5" thickBot="1" x14ac:dyDescent="0.35">
      <c r="A72" s="75" t="s">
        <v>29</v>
      </c>
      <c r="B72" s="76"/>
      <c r="C72" s="81"/>
      <c r="D72" s="78"/>
      <c r="E72" s="78"/>
      <c r="F72" s="78"/>
      <c r="G72" s="78"/>
      <c r="H72" s="78"/>
      <c r="I72" s="78"/>
      <c r="J72" s="82"/>
    </row>
    <row r="73" spans="1:10" ht="15.75" thickBot="1" x14ac:dyDescent="0.3">
      <c r="A73" s="80"/>
      <c r="B73" s="2"/>
      <c r="C73" s="63"/>
      <c r="D73" s="3"/>
      <c r="E73" s="3"/>
      <c r="F73" s="3"/>
      <c r="G73" s="3"/>
      <c r="H73" s="3"/>
      <c r="I73" s="3"/>
      <c r="J73" s="3"/>
    </row>
    <row r="74" spans="1:10" ht="21.75" thickBot="1" x14ac:dyDescent="0.4">
      <c r="A74" s="556" t="s">
        <v>30</v>
      </c>
      <c r="B74" s="557"/>
      <c r="C74" s="83"/>
      <c r="D74" s="84"/>
      <c r="E74" s="84"/>
      <c r="F74" s="84"/>
      <c r="G74" s="84"/>
      <c r="H74" s="84"/>
      <c r="I74" s="84"/>
      <c r="J74" s="85">
        <f>SUM(J60:J73)</f>
        <v>1362.6</v>
      </c>
    </row>
    <row r="75" spans="1:10" x14ac:dyDescent="0.25">
      <c r="A75" s="2"/>
      <c r="B75" s="2"/>
      <c r="C75" s="63"/>
      <c r="D75" s="3"/>
      <c r="E75" s="3"/>
      <c r="F75" s="3"/>
      <c r="G75" s="3"/>
      <c r="H75" s="3"/>
      <c r="I75" s="3"/>
      <c r="J75" s="3"/>
    </row>
    <row r="76" spans="1:10" ht="21" x14ac:dyDescent="0.35">
      <c r="A76" s="553" t="s">
        <v>889</v>
      </c>
      <c r="B76" s="553"/>
      <c r="C76" s="553"/>
      <c r="D76" s="553"/>
      <c r="E76" s="553"/>
      <c r="F76" s="553"/>
      <c r="G76" s="553"/>
      <c r="H76" s="553"/>
      <c r="I76" s="553"/>
      <c r="J76" s="553"/>
    </row>
    <row r="77" spans="1:10" ht="21.75" thickBot="1" x14ac:dyDescent="0.4">
      <c r="A77" s="517" t="s">
        <v>31</v>
      </c>
      <c r="B77" s="517"/>
      <c r="C77" s="517"/>
      <c r="D77" s="517"/>
      <c r="E77" s="517"/>
      <c r="F77" s="517"/>
      <c r="G77" s="517"/>
      <c r="H77" s="517"/>
      <c r="I77" s="517"/>
      <c r="J77" s="87"/>
    </row>
    <row r="78" spans="1:10" ht="15.75" thickBot="1" x14ac:dyDescent="0.3">
      <c r="A78" s="88" t="s">
        <v>32</v>
      </c>
      <c r="B78" s="89" t="s">
        <v>33</v>
      </c>
      <c r="C78" s="558" t="s">
        <v>2</v>
      </c>
      <c r="D78" s="559"/>
      <c r="E78" s="559"/>
      <c r="F78" s="559"/>
      <c r="G78" s="559"/>
      <c r="H78" s="559"/>
      <c r="I78" s="560"/>
      <c r="J78" s="90" t="s">
        <v>9</v>
      </c>
    </row>
    <row r="79" spans="1:10" ht="30.75" thickBot="1" x14ac:dyDescent="0.3">
      <c r="A79" s="549" t="s">
        <v>896</v>
      </c>
      <c r="B79" s="92" t="s">
        <v>897</v>
      </c>
      <c r="C79" s="550" t="s">
        <v>898</v>
      </c>
      <c r="D79" s="551"/>
      <c r="E79" s="551"/>
      <c r="F79" s="551"/>
      <c r="G79" s="551"/>
      <c r="H79" s="551"/>
      <c r="I79" s="551"/>
      <c r="J79" s="22">
        <v>1900</v>
      </c>
    </row>
    <row r="80" spans="1:10" ht="15.75" thickBot="1" x14ac:dyDescent="0.3">
      <c r="A80" s="40" t="s">
        <v>118</v>
      </c>
      <c r="B80" s="92">
        <v>856246</v>
      </c>
      <c r="C80" s="550" t="s">
        <v>899</v>
      </c>
      <c r="D80" s="551"/>
      <c r="E80" s="551"/>
      <c r="F80" s="551"/>
      <c r="G80" s="551"/>
      <c r="H80" s="552"/>
      <c r="I80" s="552"/>
      <c r="J80" s="22">
        <v>820.3</v>
      </c>
    </row>
    <row r="81" spans="1:10" ht="15.75" thickBot="1" x14ac:dyDescent="0.3">
      <c r="A81" s="40" t="s">
        <v>120</v>
      </c>
      <c r="B81" s="92">
        <v>858668</v>
      </c>
      <c r="C81" s="550" t="s">
        <v>899</v>
      </c>
      <c r="D81" s="551"/>
      <c r="E81" s="551"/>
      <c r="F81" s="551"/>
      <c r="G81" s="551"/>
      <c r="H81" s="552"/>
      <c r="I81" s="552"/>
      <c r="J81" s="22">
        <v>1288.7</v>
      </c>
    </row>
    <row r="82" spans="1:10" ht="15.75" thickBot="1" x14ac:dyDescent="0.3">
      <c r="A82" s="40" t="s">
        <v>121</v>
      </c>
      <c r="B82" s="92">
        <v>861204</v>
      </c>
      <c r="C82" s="550" t="s">
        <v>899</v>
      </c>
      <c r="D82" s="551"/>
      <c r="E82" s="551"/>
      <c r="F82" s="551"/>
      <c r="G82" s="551"/>
      <c r="H82" s="552"/>
      <c r="I82" s="552"/>
      <c r="J82" s="22">
        <v>1315.1</v>
      </c>
    </row>
    <row r="83" spans="1:10" ht="15.75" thickBot="1" x14ac:dyDescent="0.3">
      <c r="A83" s="40" t="s">
        <v>122</v>
      </c>
      <c r="B83" s="92">
        <v>863347</v>
      </c>
      <c r="C83" s="550" t="s">
        <v>899</v>
      </c>
      <c r="D83" s="551"/>
      <c r="E83" s="551"/>
      <c r="F83" s="551"/>
      <c r="G83" s="551"/>
      <c r="H83" s="552"/>
      <c r="I83" s="552"/>
      <c r="J83" s="22">
        <v>1457.4</v>
      </c>
    </row>
    <row r="84" spans="1:10" ht="15.75" thickBot="1" x14ac:dyDescent="0.3">
      <c r="A84" s="40" t="s">
        <v>123</v>
      </c>
      <c r="B84" s="92">
        <v>890647</v>
      </c>
      <c r="C84" s="550" t="s">
        <v>899</v>
      </c>
      <c r="D84" s="551"/>
      <c r="E84" s="551"/>
      <c r="F84" s="551"/>
      <c r="G84" s="551"/>
      <c r="H84" s="552"/>
      <c r="I84" s="552"/>
      <c r="J84" s="22">
        <v>1143.7</v>
      </c>
    </row>
    <row r="85" spans="1:10" ht="15.75" thickBot="1" x14ac:dyDescent="0.3">
      <c r="A85" s="40" t="s">
        <v>124</v>
      </c>
      <c r="B85" s="92">
        <v>892094</v>
      </c>
      <c r="C85" s="550" t="s">
        <v>899</v>
      </c>
      <c r="D85" s="551"/>
      <c r="E85" s="551"/>
      <c r="F85" s="551"/>
      <c r="G85" s="551"/>
      <c r="H85" s="552"/>
      <c r="I85" s="552"/>
      <c r="J85" s="22">
        <v>962.3</v>
      </c>
    </row>
    <row r="86" spans="1:10" ht="15.75" thickBot="1" x14ac:dyDescent="0.3">
      <c r="A86" s="40" t="s">
        <v>125</v>
      </c>
      <c r="B86" s="92">
        <v>893661</v>
      </c>
      <c r="C86" s="550" t="s">
        <v>899</v>
      </c>
      <c r="D86" s="551"/>
      <c r="E86" s="551"/>
      <c r="F86" s="551"/>
      <c r="G86" s="551"/>
      <c r="H86" s="552"/>
      <c r="I86" s="552"/>
      <c r="J86" s="37">
        <v>680</v>
      </c>
    </row>
    <row r="87" spans="1:10" ht="15.75" thickBot="1" x14ac:dyDescent="0.3">
      <c r="A87" s="40" t="s">
        <v>126</v>
      </c>
      <c r="B87" s="92">
        <v>894955</v>
      </c>
      <c r="C87" s="550" t="s">
        <v>899</v>
      </c>
      <c r="D87" s="551"/>
      <c r="E87" s="551"/>
      <c r="F87" s="551"/>
      <c r="G87" s="551"/>
      <c r="H87" s="552"/>
      <c r="I87" s="552"/>
      <c r="J87" s="37">
        <v>919.5</v>
      </c>
    </row>
    <row r="88" spans="1:10" ht="15.75" thickBot="1" x14ac:dyDescent="0.3">
      <c r="A88" s="40" t="s">
        <v>128</v>
      </c>
      <c r="B88" s="92">
        <v>896436</v>
      </c>
      <c r="C88" s="550" t="s">
        <v>899</v>
      </c>
      <c r="D88" s="551"/>
      <c r="E88" s="551"/>
      <c r="F88" s="551"/>
      <c r="G88" s="551"/>
      <c r="H88" s="552"/>
      <c r="I88" s="552"/>
      <c r="J88" s="37">
        <v>1108.7</v>
      </c>
    </row>
    <row r="89" spans="1:10" ht="15.75" thickBot="1" x14ac:dyDescent="0.3">
      <c r="A89" s="40"/>
      <c r="B89" s="92"/>
      <c r="C89" s="550"/>
      <c r="D89" s="551"/>
      <c r="E89" s="551"/>
      <c r="F89" s="551"/>
      <c r="G89" s="551"/>
      <c r="H89" s="552"/>
      <c r="I89" s="552"/>
      <c r="J89" s="37"/>
    </row>
    <row r="90" spans="1:10" ht="15.75" thickBot="1" x14ac:dyDescent="0.3">
      <c r="A90" s="40"/>
      <c r="B90" s="92"/>
      <c r="C90" s="550"/>
      <c r="D90" s="551"/>
      <c r="E90" s="551"/>
      <c r="F90" s="551"/>
      <c r="G90" s="551"/>
      <c r="H90" s="552"/>
      <c r="I90" s="552"/>
      <c r="J90" s="37"/>
    </row>
    <row r="91" spans="1:10" ht="19.5" thickBot="1" x14ac:dyDescent="0.35">
      <c r="A91" s="94" t="s">
        <v>34</v>
      </c>
      <c r="B91" s="554"/>
      <c r="C91" s="563"/>
      <c r="D91" s="563"/>
      <c r="E91" s="563"/>
      <c r="F91" s="563"/>
      <c r="G91" s="563"/>
      <c r="H91" s="563"/>
      <c r="I91" s="563"/>
      <c r="J91" s="95">
        <f>SUM(J79:J90)</f>
        <v>11595.7</v>
      </c>
    </row>
    <row r="92" spans="1:10" ht="18.75" x14ac:dyDescent="0.3">
      <c r="A92" s="27"/>
      <c r="B92" s="27"/>
      <c r="C92" s="96"/>
      <c r="D92" s="96"/>
      <c r="E92" s="96"/>
      <c r="F92" s="97"/>
      <c r="G92" s="96"/>
      <c r="H92" s="96"/>
      <c r="I92" s="96"/>
      <c r="J92" s="30"/>
    </row>
    <row r="93" spans="1:10" ht="18.75" x14ac:dyDescent="0.3">
      <c r="A93" s="27"/>
      <c r="B93" s="27"/>
      <c r="C93" s="96"/>
      <c r="D93" s="96"/>
      <c r="E93" s="96"/>
      <c r="F93" s="97"/>
      <c r="G93" s="96"/>
      <c r="H93" s="96"/>
      <c r="I93" s="96"/>
      <c r="J93" s="30"/>
    </row>
    <row r="94" spans="1:10" ht="18.75" x14ac:dyDescent="0.3">
      <c r="A94" s="58" t="s">
        <v>35</v>
      </c>
      <c r="B94" s="27"/>
      <c r="C94" s="2"/>
      <c r="D94" s="3"/>
      <c r="F94" s="3"/>
      <c r="J94" s="3"/>
    </row>
    <row r="95" spans="1:10" x14ac:dyDescent="0.25">
      <c r="A95" s="2" t="s">
        <v>36</v>
      </c>
      <c r="B95" s="63">
        <f>+J74</f>
        <v>1362.6</v>
      </c>
      <c r="C95" s="98"/>
      <c r="D95" s="3"/>
      <c r="F95" s="3"/>
      <c r="J95" s="3"/>
    </row>
    <row r="96" spans="1:10" ht="15.75" thickBot="1" x14ac:dyDescent="0.3">
      <c r="A96" s="2" t="s">
        <v>34</v>
      </c>
      <c r="B96" s="99">
        <f>+J91</f>
        <v>11595.7</v>
      </c>
      <c r="C96" s="100"/>
      <c r="D96" s="3"/>
      <c r="F96" s="3"/>
      <c r="G96" s="101"/>
      <c r="H96" s="101"/>
      <c r="I96" s="102"/>
      <c r="J96" s="102"/>
    </row>
    <row r="97" spans="1:9" ht="17.25" thickTop="1" thickBot="1" x14ac:dyDescent="0.3">
      <c r="A97" s="58" t="s">
        <v>37</v>
      </c>
      <c r="B97" s="103">
        <f>++B95-B96</f>
        <v>-10233.1</v>
      </c>
      <c r="C97" s="104"/>
      <c r="D97" s="105"/>
      <c r="E97" s="106"/>
      <c r="F97" s="105"/>
      <c r="G97" s="107"/>
      <c r="H97" s="107"/>
      <c r="I97" s="3"/>
    </row>
    <row r="98" spans="1:9" ht="15.75" thickTop="1" x14ac:dyDescent="0.25"/>
  </sheetData>
  <mergeCells count="20">
    <mergeCell ref="A1:J1"/>
    <mergeCell ref="A60:B60"/>
    <mergeCell ref="A74:B74"/>
    <mergeCell ref="A76:J76"/>
    <mergeCell ref="C78:I78"/>
    <mergeCell ref="B91:I91"/>
    <mergeCell ref="B7:B8"/>
    <mergeCell ref="A7:A8"/>
    <mergeCell ref="C85:I85"/>
    <mergeCell ref="C86:I86"/>
    <mergeCell ref="C87:I87"/>
    <mergeCell ref="C88:I88"/>
    <mergeCell ref="C89:I89"/>
    <mergeCell ref="C90:I90"/>
    <mergeCell ref="C80:I80"/>
    <mergeCell ref="C81:I81"/>
    <mergeCell ref="C82:I82"/>
    <mergeCell ref="C83:I83"/>
    <mergeCell ref="C84:I84"/>
    <mergeCell ref="C79:I79"/>
  </mergeCells>
  <phoneticPr fontId="13" type="noConversion"/>
  <pageMargins left="0.17" right="0.17" top="1.61" bottom="0.17" header="0.17" footer="0.17"/>
  <pageSetup paperSize="9" scale="28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8D57-4C82-4D75-8BA8-5DC656BBFA11}">
  <sheetPr codeName="Hoja5"/>
  <dimension ref="A1:AD48"/>
  <sheetViews>
    <sheetView topLeftCell="A13" zoomScale="77" zoomScaleNormal="77" workbookViewId="0">
      <selection activeCell="S5" sqref="S5"/>
    </sheetView>
  </sheetViews>
  <sheetFormatPr baseColWidth="10" defaultRowHeight="15" x14ac:dyDescent="0.25"/>
  <cols>
    <col min="2" max="2" width="15.5703125" bestFit="1" customWidth="1"/>
    <col min="3" max="3" width="15.140625" bestFit="1" customWidth="1"/>
    <col min="4" max="4" width="14.42578125" bestFit="1" customWidth="1"/>
    <col min="5" max="5" width="13" bestFit="1" customWidth="1"/>
    <col min="6" max="6" width="15.140625" bestFit="1" customWidth="1"/>
    <col min="7" max="7" width="16.85546875" customWidth="1"/>
    <col min="8" max="8" width="14.42578125" bestFit="1" customWidth="1"/>
    <col min="9" max="9" width="15.85546875" bestFit="1" customWidth="1"/>
    <col min="10" max="11" width="14.42578125" bestFit="1" customWidth="1"/>
    <col min="12" max="12" width="12.140625" customWidth="1"/>
    <col min="13" max="13" width="14.42578125" bestFit="1" customWidth="1"/>
    <col min="14" max="14" width="15.7109375" bestFit="1" customWidth="1"/>
    <col min="15" max="15" width="15.42578125" bestFit="1" customWidth="1"/>
    <col min="16" max="16" width="14.42578125" customWidth="1"/>
    <col min="17" max="17" width="11.42578125" hidden="1" customWidth="1"/>
    <col min="18" max="18" width="15.85546875" bestFit="1" customWidth="1"/>
    <col min="19" max="19" width="14.42578125" bestFit="1" customWidth="1"/>
    <col min="20" max="20" width="16.42578125" bestFit="1" customWidth="1"/>
    <col min="21" max="21" width="13" bestFit="1" customWidth="1"/>
    <col min="23" max="23" width="13.140625" bestFit="1" customWidth="1"/>
    <col min="25" max="25" width="19.5703125" bestFit="1" customWidth="1"/>
    <col min="26" max="26" width="15.85546875" bestFit="1" customWidth="1"/>
    <col min="28" max="28" width="13.140625" bestFit="1" customWidth="1"/>
  </cols>
  <sheetData>
    <row r="1" spans="1:30" ht="19.5" thickBot="1" x14ac:dyDescent="0.35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</row>
    <row r="2" spans="1:30" ht="19.5" thickBot="1" x14ac:dyDescent="0.35">
      <c r="A2" s="108"/>
      <c r="B2" s="620" t="s">
        <v>39</v>
      </c>
      <c r="C2" s="621"/>
      <c r="D2" s="622"/>
      <c r="E2" s="623" t="s">
        <v>40</v>
      </c>
      <c r="F2" s="624"/>
      <c r="G2" s="625"/>
      <c r="H2" s="626">
        <v>46054</v>
      </c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27"/>
    </row>
    <row r="3" spans="1:30" ht="57" thickBot="1" x14ac:dyDescent="0.3">
      <c r="A3" s="109"/>
      <c r="B3" s="110" t="s">
        <v>41</v>
      </c>
      <c r="C3" s="111" t="s">
        <v>13</v>
      </c>
      <c r="D3" s="112" t="s">
        <v>9</v>
      </c>
      <c r="E3" s="113" t="s">
        <v>41</v>
      </c>
      <c r="F3" s="111" t="s">
        <v>13</v>
      </c>
      <c r="G3" s="112" t="s">
        <v>9</v>
      </c>
      <c r="H3" s="114" t="s">
        <v>42</v>
      </c>
      <c r="I3" s="115" t="s">
        <v>43</v>
      </c>
      <c r="J3" s="116" t="s">
        <v>44</v>
      </c>
      <c r="K3" s="117" t="s">
        <v>37</v>
      </c>
      <c r="L3" s="118" t="s">
        <v>45</v>
      </c>
      <c r="M3" s="119" t="s">
        <v>31</v>
      </c>
      <c r="N3" s="416" t="s">
        <v>46</v>
      </c>
      <c r="O3" s="416" t="s">
        <v>47</v>
      </c>
      <c r="P3" s="416" t="s">
        <v>48</v>
      </c>
      <c r="Q3" s="120" t="s">
        <v>49</v>
      </c>
      <c r="R3" s="121" t="s">
        <v>50</v>
      </c>
      <c r="S3" s="122" t="s">
        <v>51</v>
      </c>
      <c r="T3" s="123" t="s">
        <v>52</v>
      </c>
      <c r="U3" s="123" t="s">
        <v>53</v>
      </c>
      <c r="V3" s="124"/>
      <c r="W3" s="125" t="s">
        <v>54</v>
      </c>
    </row>
    <row r="4" spans="1:30" ht="19.5" thickBot="1" x14ac:dyDescent="0.35">
      <c r="A4" s="126" t="s">
        <v>55</v>
      </c>
      <c r="B4" s="628">
        <v>2026</v>
      </c>
      <c r="C4" s="629"/>
      <c r="D4" s="629"/>
      <c r="E4" s="629"/>
      <c r="F4" s="629"/>
      <c r="G4" s="629"/>
      <c r="H4" s="629"/>
      <c r="I4" s="629"/>
      <c r="J4" s="629"/>
      <c r="K4" s="629"/>
      <c r="L4" s="629"/>
      <c r="M4" s="127">
        <v>21744.7</v>
      </c>
      <c r="N4" s="128">
        <v>1430.1</v>
      </c>
      <c r="O4" s="128">
        <v>9152.6</v>
      </c>
      <c r="P4" s="128">
        <v>44358.3</v>
      </c>
      <c r="Q4" s="128"/>
      <c r="R4" s="128"/>
      <c r="S4" s="129">
        <f>SUM(P4+O4+N4)</f>
        <v>54941</v>
      </c>
      <c r="T4" s="130">
        <f>+M4+S4</f>
        <v>76685.7</v>
      </c>
      <c r="U4" s="130">
        <v>5266</v>
      </c>
      <c r="V4" s="131"/>
      <c r="W4" s="132"/>
    </row>
    <row r="5" spans="1:30" ht="19.5" thickBot="1" x14ac:dyDescent="0.35">
      <c r="A5" s="133">
        <v>46054</v>
      </c>
      <c r="B5" s="132">
        <f>+'01-02-2026'!J57</f>
        <v>0</v>
      </c>
      <c r="C5" s="132">
        <f>+'01-02-2026'!K57</f>
        <v>0</v>
      </c>
      <c r="D5" s="134">
        <f t="shared" ref="D5:D10" si="0">B5+C5</f>
        <v>0</v>
      </c>
      <c r="E5" s="132"/>
      <c r="F5" s="132"/>
      <c r="G5" s="134"/>
      <c r="H5" s="132">
        <f>+'01-02-2026'!J69</f>
        <v>444</v>
      </c>
      <c r="I5" s="135">
        <f t="shared" ref="I5:I10" si="1">SUM(D5+G5+H5)</f>
        <v>444</v>
      </c>
      <c r="J5" s="132">
        <f>+'02-02-2026'!J107</f>
        <v>0</v>
      </c>
      <c r="K5" s="136">
        <f t="shared" ref="K5" si="2">I5-J5</f>
        <v>444</v>
      </c>
      <c r="L5" s="137"/>
      <c r="M5" s="127">
        <f>M4+K5</f>
        <v>22188.7</v>
      </c>
      <c r="N5" s="128"/>
      <c r="O5" s="128"/>
      <c r="P5" s="138"/>
      <c r="Q5" s="128"/>
      <c r="R5" s="128"/>
      <c r="S5" s="129">
        <f>SUM(P5+O5+N5)-L5+S4</f>
        <v>54941</v>
      </c>
      <c r="T5" s="130">
        <f>+M5+S5</f>
        <v>77129.7</v>
      </c>
      <c r="U5" s="129"/>
      <c r="V5" s="131"/>
      <c r="W5" s="132">
        <f>+'[1]01-01-2026'!M30</f>
        <v>0</v>
      </c>
    </row>
    <row r="6" spans="1:30" ht="19.5" thickBot="1" x14ac:dyDescent="0.35">
      <c r="A6" s="133">
        <v>46055</v>
      </c>
      <c r="B6" s="132">
        <f>+'02-02-2026'!J63</f>
        <v>187.5</v>
      </c>
      <c r="C6" s="132">
        <f>+'02-02-2026'!J28</f>
        <v>3988.5</v>
      </c>
      <c r="D6" s="134">
        <f t="shared" si="0"/>
        <v>4176</v>
      </c>
      <c r="E6" s="132"/>
      <c r="F6" s="132"/>
      <c r="G6" s="134"/>
      <c r="H6" s="132">
        <f>+'02-02-2026'!J75</f>
        <v>450</v>
      </c>
      <c r="I6" s="135">
        <f t="shared" si="1"/>
        <v>4626</v>
      </c>
      <c r="J6" s="132">
        <f>+'02-02-2026'!J106</f>
        <v>13074.900000000001</v>
      </c>
      <c r="K6" s="136">
        <f t="shared" ref="K6" si="3">I6-J6</f>
        <v>-8448.9000000000015</v>
      </c>
      <c r="L6" s="137"/>
      <c r="M6" s="127">
        <f>M5+K6</f>
        <v>13739.8</v>
      </c>
      <c r="N6" s="128"/>
      <c r="O6" s="128"/>
      <c r="P6" s="128"/>
      <c r="Q6" s="128"/>
      <c r="R6" s="128"/>
      <c r="S6" s="129">
        <f t="shared" ref="S6:S35" si="4">SUM(P6+O6+N6)-L6+S5</f>
        <v>54941</v>
      </c>
      <c r="T6" s="130">
        <f t="shared" ref="T6:T35" si="5">+M6+S6</f>
        <v>68680.800000000003</v>
      </c>
      <c r="U6" s="129"/>
      <c r="V6" s="131"/>
      <c r="W6" s="132">
        <f>+'[1]01-01-2026'!M31</f>
        <v>0</v>
      </c>
      <c r="AC6" s="140"/>
    </row>
    <row r="7" spans="1:30" ht="19.5" thickBot="1" x14ac:dyDescent="0.35">
      <c r="A7" s="133">
        <v>46056</v>
      </c>
      <c r="B7" s="132">
        <f>+'03-02-2026'!J58</f>
        <v>786.5</v>
      </c>
      <c r="C7" s="132">
        <f>+'03-02-2026'!J22</f>
        <v>765</v>
      </c>
      <c r="D7" s="134">
        <f t="shared" si="0"/>
        <v>1551.5</v>
      </c>
      <c r="E7" s="132"/>
      <c r="F7" s="132"/>
      <c r="G7" s="130"/>
      <c r="H7" s="132">
        <f>+'03-02-2026'!J70</f>
        <v>465.5</v>
      </c>
      <c r="I7" s="135">
        <f t="shared" si="1"/>
        <v>2017</v>
      </c>
      <c r="J7" s="132">
        <f>+'03-02-2026'!J93</f>
        <v>696</v>
      </c>
      <c r="K7" s="136">
        <f t="shared" ref="K7" si="6">I7-J7</f>
        <v>1321</v>
      </c>
      <c r="L7" s="141"/>
      <c r="M7" s="127">
        <f>M6+K7-P7</f>
        <v>5060.7999999999993</v>
      </c>
      <c r="N7" s="128"/>
      <c r="O7" s="128"/>
      <c r="P7" s="300">
        <v>10000</v>
      </c>
      <c r="Q7" s="128"/>
      <c r="R7" s="128"/>
      <c r="S7" s="129">
        <f t="shared" si="4"/>
        <v>64941</v>
      </c>
      <c r="T7" s="130">
        <f>+M7+S7</f>
        <v>70001.8</v>
      </c>
      <c r="U7" s="129"/>
      <c r="V7" s="131"/>
      <c r="W7" s="132">
        <f>+'[1]01-01-2026'!M32</f>
        <v>0</v>
      </c>
    </row>
    <row r="8" spans="1:30" s="145" customFormat="1" ht="19.5" thickBot="1" x14ac:dyDescent="0.35">
      <c r="A8" s="133">
        <v>46057</v>
      </c>
      <c r="B8" s="132">
        <f>+'04-02-2026'!J89</f>
        <v>1804.2</v>
      </c>
      <c r="C8" s="132">
        <f>+'04-02-2026'!J27</f>
        <v>1857.1</v>
      </c>
      <c r="D8" s="134">
        <f t="shared" si="0"/>
        <v>3661.3</v>
      </c>
      <c r="E8" s="143"/>
      <c r="F8" s="139"/>
      <c r="G8" s="130"/>
      <c r="H8" s="132">
        <f>+'04-02-2026'!J101</f>
        <v>474</v>
      </c>
      <c r="I8" s="135">
        <f t="shared" si="1"/>
        <v>4135.3</v>
      </c>
      <c r="J8" s="132">
        <f>+'04-02-2026'!J124</f>
        <v>1395</v>
      </c>
      <c r="K8" s="136">
        <f t="shared" ref="K8" si="7">I8-J8</f>
        <v>2740.3</v>
      </c>
      <c r="L8" s="129"/>
      <c r="M8" s="127">
        <f>M7+K8-P8</f>
        <v>3801.0999999999995</v>
      </c>
      <c r="N8" s="128"/>
      <c r="O8" s="128"/>
      <c r="P8" s="300">
        <v>4000</v>
      </c>
      <c r="Q8" s="128"/>
      <c r="R8" s="144"/>
      <c r="S8" s="129">
        <f t="shared" si="4"/>
        <v>68941</v>
      </c>
      <c r="T8" s="130">
        <f t="shared" si="5"/>
        <v>72742.100000000006</v>
      </c>
      <c r="U8" s="129"/>
      <c r="V8" s="131"/>
      <c r="W8" s="132">
        <f>+'[1]01-01-2026'!M33</f>
        <v>0</v>
      </c>
      <c r="X8"/>
      <c r="Y8"/>
      <c r="Z8"/>
      <c r="AA8"/>
      <c r="AB8"/>
      <c r="AC8"/>
      <c r="AD8"/>
    </row>
    <row r="9" spans="1:30" s="365" customFormat="1" ht="19.5" thickBot="1" x14ac:dyDescent="0.35">
      <c r="A9" s="352">
        <v>46058</v>
      </c>
      <c r="B9" s="353">
        <f>+'05-02-2026'!J58</f>
        <v>700.8</v>
      </c>
      <c r="C9" s="353">
        <f>+'05-02-2026'!J23</f>
        <v>1176</v>
      </c>
      <c r="D9" s="354">
        <f t="shared" si="0"/>
        <v>1876.8</v>
      </c>
      <c r="E9" s="353"/>
      <c r="F9" s="353"/>
      <c r="G9" s="355"/>
      <c r="H9" s="353">
        <f>+'05-02-2026'!J70</f>
        <v>472</v>
      </c>
      <c r="I9" s="356">
        <f t="shared" si="1"/>
        <v>2348.8000000000002</v>
      </c>
      <c r="J9" s="353">
        <f>+'05-02-2026'!J92</f>
        <v>508.5</v>
      </c>
      <c r="K9" s="357">
        <f t="shared" ref="K9" si="8">I9-J9</f>
        <v>1840.3000000000002</v>
      </c>
      <c r="L9" s="358"/>
      <c r="M9" s="359">
        <f t="shared" ref="M9:M35" si="9">M8+K9</f>
        <v>5641.4</v>
      </c>
      <c r="N9" s="446">
        <f>110.6-10</f>
        <v>100.6</v>
      </c>
      <c r="O9" s="360"/>
      <c r="P9" s="361"/>
      <c r="Q9" s="360"/>
      <c r="R9" s="362"/>
      <c r="S9" s="363">
        <f>SUM(P9+O9+N9)-L9+S8</f>
        <v>69041.600000000006</v>
      </c>
      <c r="T9" s="355">
        <f>+M9+S9</f>
        <v>74683</v>
      </c>
      <c r="U9" s="363"/>
      <c r="V9" s="364"/>
      <c r="W9" s="132">
        <f>+'[1]01-01-2026'!M34</f>
        <v>0</v>
      </c>
    </row>
    <row r="10" spans="1:30" ht="19.5" thickBot="1" x14ac:dyDescent="0.35">
      <c r="A10" s="133">
        <v>46059</v>
      </c>
      <c r="B10" s="132">
        <f>+'06-02-2026'!J58</f>
        <v>1294.2</v>
      </c>
      <c r="C10" s="132">
        <f>+'06-02-2026'!J23</f>
        <v>1950.5</v>
      </c>
      <c r="D10" s="134">
        <f t="shared" si="0"/>
        <v>3244.7</v>
      </c>
      <c r="E10" s="132">
        <f>+'06-02-2026'!J65</f>
        <v>1100</v>
      </c>
      <c r="F10" s="132">
        <f>+'06-02-2026'!J66</f>
        <v>2040</v>
      </c>
      <c r="G10" s="134">
        <f>E10+F10</f>
        <v>3140</v>
      </c>
      <c r="H10" s="132">
        <f>+'06-02-2026'!J70</f>
        <v>488.5</v>
      </c>
      <c r="I10" s="135">
        <f t="shared" si="1"/>
        <v>6873.2</v>
      </c>
      <c r="J10" s="132">
        <f>+'06-02-2026'!J93</f>
        <v>430</v>
      </c>
      <c r="K10" s="136">
        <f t="shared" ref="K10" si="10">I10-J10</f>
        <v>6443.2</v>
      </c>
      <c r="L10" s="139"/>
      <c r="M10" s="127">
        <f t="shared" si="9"/>
        <v>12084.599999999999</v>
      </c>
      <c r="N10" s="128"/>
      <c r="O10" s="128"/>
      <c r="P10" s="178"/>
      <c r="Q10" s="128"/>
      <c r="R10" s="128"/>
      <c r="S10" s="129">
        <f>SUM(P10+O10+N10)-L10+S9</f>
        <v>69041.600000000006</v>
      </c>
      <c r="T10" s="130">
        <f t="shared" si="5"/>
        <v>81126.200000000012</v>
      </c>
      <c r="U10" s="129"/>
      <c r="V10" s="131"/>
      <c r="W10" s="132">
        <f>+'[1]01-01-2026'!M35</f>
        <v>0</v>
      </c>
      <c r="AA10" s="146"/>
      <c r="AB10" s="146"/>
      <c r="AC10" s="146"/>
    </row>
    <row r="11" spans="1:30" ht="19.5" thickBot="1" x14ac:dyDescent="0.35">
      <c r="A11" s="133">
        <v>46060</v>
      </c>
      <c r="B11" s="132">
        <f>+'07-02-2026'!J58</f>
        <v>130</v>
      </c>
      <c r="C11" s="132">
        <f>+'07-02-2026'!J23</f>
        <v>1006</v>
      </c>
      <c r="D11" s="134">
        <f t="shared" ref="D11" si="11">B11+C11</f>
        <v>1136</v>
      </c>
      <c r="E11" s="132"/>
      <c r="F11" s="132"/>
      <c r="G11" s="130"/>
      <c r="H11" s="132">
        <f>+'07-02-2026'!J70</f>
        <v>505.5</v>
      </c>
      <c r="I11" s="135">
        <f t="shared" ref="I11" si="12">SUM(D11+G11+H11)</f>
        <v>1641.5</v>
      </c>
      <c r="J11" s="132">
        <f>+'07-02-2026'!J93</f>
        <v>166</v>
      </c>
      <c r="K11" s="136">
        <f t="shared" ref="K11" si="13">I11-J11</f>
        <v>1475.5</v>
      </c>
      <c r="L11" s="147"/>
      <c r="M11" s="127">
        <f t="shared" si="9"/>
        <v>13560.099999999999</v>
      </c>
      <c r="N11" s="128"/>
      <c r="O11" s="128"/>
      <c r="P11" s="178"/>
      <c r="Q11" s="128"/>
      <c r="R11" s="128"/>
      <c r="S11" s="129">
        <f>SUM(P11+O11+N11)-L11+S10</f>
        <v>69041.600000000006</v>
      </c>
      <c r="T11" s="130">
        <f>+M11+S11</f>
        <v>82601.700000000012</v>
      </c>
      <c r="U11" s="129"/>
      <c r="V11" s="131"/>
      <c r="W11" s="132">
        <f>+'[1]01-01-2026'!M36</f>
        <v>0</v>
      </c>
      <c r="Z11" s="148" t="s">
        <v>56</v>
      </c>
      <c r="AB11" s="55"/>
      <c r="AC11" s="146"/>
    </row>
    <row r="12" spans="1:30" s="181" customFormat="1" ht="19.5" thickBot="1" x14ac:dyDescent="0.35">
      <c r="A12" s="168">
        <v>46061</v>
      </c>
      <c r="B12" s="132">
        <f>+'07-02-2026'!J60</f>
        <v>0</v>
      </c>
      <c r="C12" s="132">
        <f>+'08-02-2026'!J22</f>
        <v>20</v>
      </c>
      <c r="D12" s="134">
        <f t="shared" ref="D12:D13" si="14">B12+C12</f>
        <v>20</v>
      </c>
      <c r="E12" s="170"/>
      <c r="F12" s="171"/>
      <c r="G12" s="172"/>
      <c r="H12" s="132">
        <f>+'08-02-2026'!J69</f>
        <v>460</v>
      </c>
      <c r="I12" s="135">
        <f t="shared" ref="I12:I13" si="15">SUM(D12+G12+H12)</f>
        <v>480</v>
      </c>
      <c r="J12" s="132">
        <f>+'08-02-2026'!J95</f>
        <v>0</v>
      </c>
      <c r="K12" s="136">
        <f t="shared" ref="K12:K13" si="16">I12-J12</f>
        <v>480</v>
      </c>
      <c r="L12" s="175"/>
      <c r="M12" s="176">
        <f t="shared" si="9"/>
        <v>14040.099999999999</v>
      </c>
      <c r="N12" s="177"/>
      <c r="O12" s="177"/>
      <c r="P12" s="178"/>
      <c r="Q12" s="177"/>
      <c r="R12" s="177"/>
      <c r="S12" s="179">
        <f>SUM(P12+O12+N12)-L12+S11</f>
        <v>69041.600000000006</v>
      </c>
      <c r="T12" s="172">
        <f t="shared" si="5"/>
        <v>83081.700000000012</v>
      </c>
      <c r="U12" s="179"/>
      <c r="V12" s="180"/>
      <c r="W12" s="132">
        <f>+'[1]01-01-2026'!M37</f>
        <v>0</v>
      </c>
      <c r="AA12" s="181">
        <v>200</v>
      </c>
      <c r="AB12" s="182">
        <f>Z12*AA12</f>
        <v>0</v>
      </c>
    </row>
    <row r="13" spans="1:30" ht="19.5" thickBot="1" x14ac:dyDescent="0.35">
      <c r="A13" s="133">
        <v>46062</v>
      </c>
      <c r="B13" s="132">
        <f>+'09-02-2026'!J58</f>
        <v>692.4</v>
      </c>
      <c r="C13" s="132">
        <f>+'09-02-2026'!J23</f>
        <v>220</v>
      </c>
      <c r="D13" s="134">
        <f t="shared" si="14"/>
        <v>912.4</v>
      </c>
      <c r="E13" s="132"/>
      <c r="F13" s="132"/>
      <c r="G13" s="134"/>
      <c r="H13" s="132">
        <f>+'09-02-2026'!J70</f>
        <v>323</v>
      </c>
      <c r="I13" s="135">
        <f t="shared" si="15"/>
        <v>1235.4000000000001</v>
      </c>
      <c r="J13" s="132">
        <f>+'09-02-2026'!J91</f>
        <v>3181.5</v>
      </c>
      <c r="K13" s="136">
        <f t="shared" si="16"/>
        <v>-1946.1</v>
      </c>
      <c r="L13" s="141"/>
      <c r="M13" s="127">
        <f>M12+K13-P13</f>
        <v>5093.9999999999982</v>
      </c>
      <c r="N13" s="128"/>
      <c r="O13" s="128"/>
      <c r="P13" s="300">
        <v>7000</v>
      </c>
      <c r="Q13" s="128"/>
      <c r="R13" s="128"/>
      <c r="S13" s="129">
        <f t="shared" si="4"/>
        <v>76041.600000000006</v>
      </c>
      <c r="T13" s="130">
        <f t="shared" si="5"/>
        <v>81135.600000000006</v>
      </c>
      <c r="U13" s="129"/>
      <c r="V13" s="131"/>
      <c r="W13" s="132">
        <f>+'[1]01-01-2026'!M38</f>
        <v>0</v>
      </c>
      <c r="AA13" s="149">
        <v>100</v>
      </c>
      <c r="AB13" s="150">
        <f t="shared" ref="AB13:AB18" si="17">Z13*AA13</f>
        <v>0</v>
      </c>
      <c r="AC13" s="149"/>
    </row>
    <row r="14" spans="1:30" ht="19.5" thickBot="1" x14ac:dyDescent="0.35">
      <c r="A14" s="133">
        <v>46063</v>
      </c>
      <c r="B14" s="132">
        <f>+'10-02-2026'!J63</f>
        <v>427.80000000000007</v>
      </c>
      <c r="C14" s="132">
        <f>+'10-02-2026'!J24</f>
        <v>2269.5</v>
      </c>
      <c r="D14" s="134">
        <f t="shared" ref="D14" si="18">B14+C14</f>
        <v>2697.3</v>
      </c>
      <c r="E14" s="143"/>
      <c r="F14" s="143"/>
      <c r="G14" s="130"/>
      <c r="H14" s="132">
        <f>+'10-02-2026'!J75</f>
        <v>531.5</v>
      </c>
      <c r="I14" s="135">
        <f t="shared" ref="I14" si="19">SUM(D14+G14+H14)</f>
        <v>3228.8</v>
      </c>
      <c r="J14" s="132">
        <f>+'10-02-2026'!J98</f>
        <v>1182.5999999999999</v>
      </c>
      <c r="K14" s="136">
        <f t="shared" ref="K14" si="20">I14-J14</f>
        <v>2046.2000000000003</v>
      </c>
      <c r="L14" s="139"/>
      <c r="M14" s="127">
        <f t="shared" si="9"/>
        <v>7140.1999999999989</v>
      </c>
      <c r="N14" s="128"/>
      <c r="O14" s="128"/>
      <c r="P14" s="178"/>
      <c r="Q14" s="128"/>
      <c r="R14" s="128"/>
      <c r="S14" s="129">
        <f t="shared" si="4"/>
        <v>76041.600000000006</v>
      </c>
      <c r="T14" s="130">
        <f t="shared" si="5"/>
        <v>83181.8</v>
      </c>
      <c r="U14" s="129"/>
      <c r="V14" s="131"/>
      <c r="W14" s="132">
        <f>+'[1]01-01-2026'!M39</f>
        <v>0</v>
      </c>
      <c r="Z14">
        <v>55</v>
      </c>
      <c r="AA14">
        <v>50</v>
      </c>
      <c r="AB14" s="55">
        <f t="shared" si="17"/>
        <v>2750</v>
      </c>
    </row>
    <row r="15" spans="1:30" s="145" customFormat="1" ht="19.5" thickBot="1" x14ac:dyDescent="0.35">
      <c r="A15" s="133">
        <v>46064</v>
      </c>
      <c r="B15" s="132">
        <f>+'11-02-2026'!J84</f>
        <v>1993.3999999999996</v>
      </c>
      <c r="C15" s="132">
        <f>+'11-02-2026'!J25</f>
        <v>767</v>
      </c>
      <c r="D15" s="134">
        <f t="shared" ref="D15" si="21">B15+C15</f>
        <v>2760.3999999999996</v>
      </c>
      <c r="E15" s="143"/>
      <c r="F15" s="139"/>
      <c r="G15" s="130"/>
      <c r="H15" s="132">
        <f>+'11-02-2026'!J96</f>
        <v>477</v>
      </c>
      <c r="I15" s="135">
        <f t="shared" ref="I15" si="22">SUM(D15+G15+H15)</f>
        <v>3237.3999999999996</v>
      </c>
      <c r="J15" s="132">
        <f>+'11-02-2026'!J119</f>
        <v>14</v>
      </c>
      <c r="K15" s="136">
        <f t="shared" ref="K15" si="23">I15-J15</f>
        <v>3223.3999999999996</v>
      </c>
      <c r="L15" s="141"/>
      <c r="M15" s="127">
        <f>M14+K15-P15</f>
        <v>7163.5999999999985</v>
      </c>
      <c r="N15" s="128"/>
      <c r="O15" s="128"/>
      <c r="P15" s="300">
        <v>3200</v>
      </c>
      <c r="Q15" s="128"/>
      <c r="R15" s="128"/>
      <c r="S15" s="129">
        <f t="shared" si="4"/>
        <v>79241.600000000006</v>
      </c>
      <c r="T15" s="130">
        <f>+M15+S15</f>
        <v>86405.200000000012</v>
      </c>
      <c r="U15" s="129"/>
      <c r="V15" s="131"/>
      <c r="W15" s="132">
        <f>+'[1]01-01-2026'!M40</f>
        <v>0</v>
      </c>
      <c r="X15"/>
      <c r="Y15"/>
      <c r="Z15" s="181">
        <v>8</v>
      </c>
      <c r="AA15" s="181">
        <v>20</v>
      </c>
      <c r="AB15" s="182">
        <f t="shared" si="17"/>
        <v>160</v>
      </c>
      <c r="AC15" s="181"/>
      <c r="AD15" s="181"/>
    </row>
    <row r="16" spans="1:30" s="365" customFormat="1" ht="19.5" thickBot="1" x14ac:dyDescent="0.35">
      <c r="A16" s="352">
        <v>46065</v>
      </c>
      <c r="B16" s="353">
        <f>+'12-02-2026'!J57</f>
        <v>43.6</v>
      </c>
      <c r="C16" s="353">
        <f>+'12-02-2026'!J22</f>
        <v>1726.5</v>
      </c>
      <c r="D16" s="354">
        <f t="shared" ref="D16" si="24">B16+C16</f>
        <v>1770.1</v>
      </c>
      <c r="E16" s="353"/>
      <c r="F16" s="353"/>
      <c r="G16" s="355"/>
      <c r="H16" s="353">
        <f>+'12-02-2026'!J69</f>
        <v>455</v>
      </c>
      <c r="I16" s="356">
        <f t="shared" ref="I16" si="25">SUM(D16+G16+H16)</f>
        <v>2225.1</v>
      </c>
      <c r="J16" s="353">
        <f>+'12-02-2026'!J92</f>
        <v>1514.5</v>
      </c>
      <c r="K16" s="357">
        <f t="shared" ref="K16" si="26">I16-J16</f>
        <v>710.59999999999991</v>
      </c>
      <c r="L16" s="358"/>
      <c r="M16" s="359">
        <f t="shared" si="9"/>
        <v>7874.1999999999989</v>
      </c>
      <c r="N16" s="360"/>
      <c r="O16" s="360"/>
      <c r="P16" s="361"/>
      <c r="Q16" s="360"/>
      <c r="R16" s="360"/>
      <c r="S16" s="363">
        <f>SUM(P16+O16+N16)-L16+S15</f>
        <v>79241.600000000006</v>
      </c>
      <c r="T16" s="355">
        <f>+M16+S16</f>
        <v>87115.8</v>
      </c>
      <c r="U16" s="363"/>
      <c r="V16" s="364"/>
      <c r="W16" s="132">
        <f>+'[1]01-01-2026'!M41</f>
        <v>0</v>
      </c>
      <c r="Z16" s="365">
        <v>22</v>
      </c>
      <c r="AA16" s="365">
        <v>10</v>
      </c>
      <c r="AB16" s="413">
        <f t="shared" si="17"/>
        <v>220</v>
      </c>
    </row>
    <row r="17" spans="1:29" ht="19.5" thickBot="1" x14ac:dyDescent="0.35">
      <c r="A17" s="133">
        <v>46066</v>
      </c>
      <c r="B17" s="169">
        <f>+'13-02-2026'!J58</f>
        <v>1114</v>
      </c>
      <c r="C17" s="169">
        <f>+'13-02-2026'!J23</f>
        <v>148</v>
      </c>
      <c r="D17" s="414">
        <f t="shared" ref="D17" si="27">B17+C17</f>
        <v>1262</v>
      </c>
      <c r="E17" s="132">
        <f>+'13-02-2026'!J65</f>
        <v>1428</v>
      </c>
      <c r="F17" s="132">
        <f>+'13-02-2026'!J66</f>
        <v>2385</v>
      </c>
      <c r="G17" s="134">
        <f>E17+F17</f>
        <v>3813</v>
      </c>
      <c r="H17" s="169">
        <f>+'13-02-2026'!J70</f>
        <v>447.5</v>
      </c>
      <c r="I17" s="173">
        <f t="shared" ref="I17" si="28">SUM(D17+G17+H17)</f>
        <v>5522.5</v>
      </c>
      <c r="J17" s="169">
        <f>+'13-02-2026'!J93</f>
        <v>78</v>
      </c>
      <c r="K17" s="174">
        <f t="shared" ref="K17" si="29">I17-J17</f>
        <v>5444.5</v>
      </c>
      <c r="L17" s="139"/>
      <c r="M17" s="127">
        <f t="shared" si="9"/>
        <v>13318.699999999999</v>
      </c>
      <c r="N17" s="128"/>
      <c r="O17" s="128"/>
      <c r="P17" s="178"/>
      <c r="Q17" s="128"/>
      <c r="R17" s="415">
        <v>30000</v>
      </c>
      <c r="S17" s="129">
        <f>SUM(P17+O17+N17)-L17+S16-R17</f>
        <v>49241.600000000006</v>
      </c>
      <c r="T17" s="130">
        <f>+M17+S17</f>
        <v>62560.3</v>
      </c>
      <c r="U17" s="129"/>
      <c r="V17" s="131"/>
      <c r="W17" s="132">
        <f>+'[1]01-01-2026'!M42</f>
        <v>0</v>
      </c>
      <c r="AA17">
        <v>1</v>
      </c>
      <c r="AB17" s="55">
        <f t="shared" si="17"/>
        <v>0</v>
      </c>
    </row>
    <row r="18" spans="1:29" ht="19.5" thickBot="1" x14ac:dyDescent="0.35">
      <c r="A18" s="133">
        <v>46067</v>
      </c>
      <c r="B18" s="169">
        <f>+'14-02-2026'!J59</f>
        <v>0</v>
      </c>
      <c r="C18" s="169">
        <f>+'14-02-2026'!J23</f>
        <v>418</v>
      </c>
      <c r="D18" s="414">
        <f t="shared" ref="D18" si="30">B18+C18</f>
        <v>418</v>
      </c>
      <c r="E18" s="132"/>
      <c r="F18" s="132"/>
      <c r="G18" s="130"/>
      <c r="H18" s="169">
        <f>+'14-02-2026'!J70</f>
        <v>724.5</v>
      </c>
      <c r="I18" s="173">
        <f t="shared" ref="I18" si="31">SUM(D18+G18+H18)</f>
        <v>1142.5</v>
      </c>
      <c r="J18" s="169">
        <f>+'14-02-2026'!J92</f>
        <v>5000</v>
      </c>
      <c r="K18" s="174">
        <f t="shared" ref="K18" si="32">I18-J18</f>
        <v>-3857.5</v>
      </c>
      <c r="L18" s="141"/>
      <c r="M18" s="127">
        <f t="shared" si="9"/>
        <v>9461.1999999999989</v>
      </c>
      <c r="N18" s="128"/>
      <c r="O18" s="128"/>
      <c r="P18" s="178"/>
      <c r="Q18" s="128"/>
      <c r="R18" s="128"/>
      <c r="S18" s="129">
        <f>SUM(P18+O18+N18)-L18+S17</f>
        <v>49241.600000000006</v>
      </c>
      <c r="T18" s="130">
        <f t="shared" si="5"/>
        <v>58702.8</v>
      </c>
      <c r="U18" s="129"/>
      <c r="V18" s="131"/>
      <c r="W18" s="132">
        <f>+'[1]01-01-2026'!M43</f>
        <v>0</v>
      </c>
      <c r="Z18" s="152"/>
      <c r="AA18">
        <v>1</v>
      </c>
      <c r="AB18" s="55">
        <f t="shared" si="17"/>
        <v>0</v>
      </c>
    </row>
    <row r="19" spans="1:29" ht="19.5" thickBot="1" x14ac:dyDescent="0.35">
      <c r="A19" s="133">
        <v>46068</v>
      </c>
      <c r="B19" s="169">
        <f>+'15-02-2026'!J60</f>
        <v>0</v>
      </c>
      <c r="C19" s="169">
        <f>+'15-02-2026'!J24</f>
        <v>0</v>
      </c>
      <c r="D19" s="414">
        <f t="shared" ref="D19:D20" si="33">B19+C19</f>
        <v>0</v>
      </c>
      <c r="E19" s="132"/>
      <c r="F19" s="132"/>
      <c r="G19" s="130"/>
      <c r="H19" s="169">
        <f>+'15-02-2026'!J69</f>
        <v>216</v>
      </c>
      <c r="I19" s="173">
        <f t="shared" ref="I19:I20" si="34">SUM(D19+G19+H19)</f>
        <v>216</v>
      </c>
      <c r="J19" s="169">
        <f>+'15-02-2026'!J93</f>
        <v>0</v>
      </c>
      <c r="K19" s="174">
        <f t="shared" ref="K19:K20" si="35">I19-J19</f>
        <v>216</v>
      </c>
      <c r="L19" s="141"/>
      <c r="M19" s="127">
        <f t="shared" si="9"/>
        <v>9677.1999999999989</v>
      </c>
      <c r="N19" s="128"/>
      <c r="O19" s="128"/>
      <c r="P19" s="178"/>
      <c r="Q19" s="128"/>
      <c r="R19" s="142"/>
      <c r="S19" s="129">
        <f t="shared" si="4"/>
        <v>49241.600000000006</v>
      </c>
      <c r="T19" s="130">
        <f t="shared" si="5"/>
        <v>58918.8</v>
      </c>
      <c r="U19" s="129"/>
      <c r="V19" s="131"/>
      <c r="W19" s="132">
        <f>+'[1]01-01-2026'!M44</f>
        <v>0</v>
      </c>
      <c r="Y19" t="s">
        <v>57</v>
      </c>
      <c r="Z19" s="152">
        <v>180</v>
      </c>
      <c r="AA19" s="153">
        <v>1</v>
      </c>
      <c r="AB19" s="154">
        <f>Z19*AA19</f>
        <v>180</v>
      </c>
    </row>
    <row r="20" spans="1:29" ht="19.5" thickBot="1" x14ac:dyDescent="0.35">
      <c r="A20" s="133">
        <v>46069</v>
      </c>
      <c r="B20" s="169">
        <f>+'16-02-2026'!J58</f>
        <v>758.40000000000009</v>
      </c>
      <c r="C20" s="169">
        <f>+'16-02-2026'!J21</f>
        <v>189.8</v>
      </c>
      <c r="D20" s="414">
        <f t="shared" si="33"/>
        <v>948.2</v>
      </c>
      <c r="E20" s="132"/>
      <c r="F20" s="132"/>
      <c r="G20" s="130"/>
      <c r="H20" s="169">
        <f>+'16-02-2026'!J70</f>
        <v>323</v>
      </c>
      <c r="I20" s="173">
        <f t="shared" si="34"/>
        <v>1271.2</v>
      </c>
      <c r="J20" s="169">
        <f>+'16-02-2026'!J90</f>
        <v>80</v>
      </c>
      <c r="K20" s="174">
        <f t="shared" si="35"/>
        <v>1191.2</v>
      </c>
      <c r="L20" s="141"/>
      <c r="M20" s="127">
        <f>M19+K20-P20</f>
        <v>6868.4</v>
      </c>
      <c r="N20" s="128"/>
      <c r="O20" s="128"/>
      <c r="P20" s="300">
        <v>4000</v>
      </c>
      <c r="Q20" s="128"/>
      <c r="R20" s="128"/>
      <c r="S20" s="129">
        <f t="shared" si="4"/>
        <v>53241.600000000006</v>
      </c>
      <c r="T20" s="130">
        <f t="shared" si="5"/>
        <v>60110.000000000007</v>
      </c>
      <c r="U20" s="129"/>
      <c r="V20" s="131"/>
      <c r="W20" s="132">
        <f>+'[1]01-01-2026'!M45</f>
        <v>0</v>
      </c>
      <c r="Y20" t="s">
        <v>58</v>
      </c>
      <c r="Z20">
        <v>200</v>
      </c>
      <c r="AA20">
        <v>1</v>
      </c>
      <c r="AB20" s="150">
        <f t="shared" ref="AB20:AB22" si="36">Z20*AA20</f>
        <v>200</v>
      </c>
      <c r="AC20" s="153"/>
    </row>
    <row r="21" spans="1:29" ht="19.5" thickBot="1" x14ac:dyDescent="0.35">
      <c r="A21" s="133">
        <v>46070</v>
      </c>
      <c r="B21" s="169">
        <f>+'17-02-2026'!J61</f>
        <v>861.2</v>
      </c>
      <c r="C21" s="169">
        <f>+'17-02-2026'!J22</f>
        <v>1330</v>
      </c>
      <c r="D21" s="414">
        <f t="shared" ref="D21" si="37">B21+C21</f>
        <v>2191.1999999999998</v>
      </c>
      <c r="E21" s="143"/>
      <c r="F21" s="143"/>
      <c r="G21" s="130"/>
      <c r="H21" s="169">
        <f>+'17-02-2026'!J73</f>
        <v>437.5</v>
      </c>
      <c r="I21" s="173">
        <f t="shared" ref="I21" si="38">SUM(D21+G21+H21)</f>
        <v>2628.7</v>
      </c>
      <c r="J21" s="169">
        <f>+'17-02-2026'!J93</f>
        <v>155</v>
      </c>
      <c r="K21" s="174">
        <f t="shared" ref="K21" si="39">I21-J21</f>
        <v>2473.6999999999998</v>
      </c>
      <c r="L21" s="141"/>
      <c r="M21" s="127">
        <f>M20+K21</f>
        <v>9342.0999999999985</v>
      </c>
      <c r="N21" s="128"/>
      <c r="O21" s="128"/>
      <c r="P21" s="178"/>
      <c r="Q21" s="128"/>
      <c r="R21" s="128"/>
      <c r="S21" s="129">
        <f t="shared" si="4"/>
        <v>53241.600000000006</v>
      </c>
      <c r="T21" s="130">
        <f t="shared" si="5"/>
        <v>62583.700000000004</v>
      </c>
      <c r="U21" s="129"/>
      <c r="V21" s="131"/>
      <c r="W21" s="132">
        <f>+'[1]01-01-2026'!M46</f>
        <v>0</v>
      </c>
      <c r="Y21" t="s">
        <v>59</v>
      </c>
      <c r="Z21">
        <v>300</v>
      </c>
      <c r="AA21" s="145">
        <v>1</v>
      </c>
      <c r="AB21" s="151">
        <f t="shared" si="36"/>
        <v>300</v>
      </c>
    </row>
    <row r="22" spans="1:29" s="145" customFormat="1" ht="18.75" customHeight="1" thickBot="1" x14ac:dyDescent="0.35">
      <c r="A22" s="133">
        <v>46071</v>
      </c>
      <c r="B22" s="169">
        <f>+'18-02-2026'!J74</f>
        <v>1289.4000000000001</v>
      </c>
      <c r="C22" s="169">
        <f>+'18-02-2026'!J29</f>
        <v>2103.6</v>
      </c>
      <c r="D22" s="414">
        <f t="shared" ref="D22" si="40">B22+C22</f>
        <v>3393</v>
      </c>
      <c r="E22" s="143"/>
      <c r="F22" s="139"/>
      <c r="G22" s="130"/>
      <c r="H22" s="169">
        <f>+'18-02-2026'!J86</f>
        <v>429.5</v>
      </c>
      <c r="I22" s="173">
        <f t="shared" ref="I22" si="41">SUM(D22+G22+H22)</f>
        <v>3822.5</v>
      </c>
      <c r="J22" s="169">
        <f>+'18-02-2026'!J109</f>
        <v>2329.4</v>
      </c>
      <c r="K22" s="174">
        <f t="shared" ref="K22" si="42">I22-J22</f>
        <v>1493.1</v>
      </c>
      <c r="L22" s="141"/>
      <c r="M22" s="127">
        <f>M21+K22-P22</f>
        <v>5835.1999999999989</v>
      </c>
      <c r="N22" s="128"/>
      <c r="O22" s="128"/>
      <c r="P22" s="300">
        <v>5000</v>
      </c>
      <c r="Q22" s="128"/>
      <c r="R22" s="142"/>
      <c r="S22" s="129">
        <f t="shared" si="4"/>
        <v>58241.600000000006</v>
      </c>
      <c r="T22" s="130">
        <f t="shared" si="5"/>
        <v>64076.800000000003</v>
      </c>
      <c r="U22" s="129"/>
      <c r="V22" s="131"/>
      <c r="W22" s="132">
        <f>+'[1]01-01-2026'!M47</f>
        <v>0</v>
      </c>
      <c r="X22"/>
      <c r="Y22" t="s">
        <v>701</v>
      </c>
      <c r="Z22"/>
      <c r="AA22">
        <v>1</v>
      </c>
      <c r="AB22" s="150">
        <f t="shared" si="36"/>
        <v>0</v>
      </c>
    </row>
    <row r="23" spans="1:29" ht="19.5" thickBot="1" x14ac:dyDescent="0.35">
      <c r="A23" s="133">
        <v>46072</v>
      </c>
      <c r="B23" s="169">
        <f>+'19-02-2026'!J57</f>
        <v>107.4</v>
      </c>
      <c r="C23" s="169">
        <f>+'19-02-2026'!J22</f>
        <v>507.3</v>
      </c>
      <c r="D23" s="414">
        <f t="shared" ref="D23" si="43">B23+C23</f>
        <v>614.70000000000005</v>
      </c>
      <c r="E23" s="132"/>
      <c r="F23" s="132"/>
      <c r="G23" s="130"/>
      <c r="H23" s="169">
        <f>+'19-02-2026'!J69</f>
        <v>463.5</v>
      </c>
      <c r="I23" s="173">
        <f t="shared" ref="I23" si="44">SUM(D23+G23+H23)</f>
        <v>1078.2</v>
      </c>
      <c r="J23" s="169">
        <f>+'19-02-2026'!J90</f>
        <v>691</v>
      </c>
      <c r="K23" s="174">
        <f t="shared" ref="K23" si="45">I23-J23</f>
        <v>387.20000000000005</v>
      </c>
      <c r="L23" s="141"/>
      <c r="M23" s="127">
        <f t="shared" si="9"/>
        <v>6222.3999999999987</v>
      </c>
      <c r="N23" s="185"/>
      <c r="O23" s="155"/>
      <c r="P23" s="178"/>
      <c r="Q23" s="128"/>
      <c r="R23" s="128"/>
      <c r="S23" s="129">
        <f t="shared" si="4"/>
        <v>58241.600000000006</v>
      </c>
      <c r="T23" s="130">
        <f t="shared" si="5"/>
        <v>64464.000000000007</v>
      </c>
      <c r="U23" s="129"/>
      <c r="V23" s="131"/>
      <c r="W23" s="132">
        <f>+'[1]01-01-2026'!M48</f>
        <v>0</v>
      </c>
      <c r="AB23" s="55">
        <f>SUM(AB12:AB22)</f>
        <v>3810</v>
      </c>
    </row>
    <row r="24" spans="1:29" s="365" customFormat="1" ht="19.5" thickBot="1" x14ac:dyDescent="0.35">
      <c r="A24" s="352">
        <v>46073</v>
      </c>
      <c r="B24" s="353">
        <f>+'20-02-2026'!J59</f>
        <v>58.9</v>
      </c>
      <c r="C24" s="353">
        <f>+'20-02-2026'!J22</f>
        <v>334.4</v>
      </c>
      <c r="D24" s="354">
        <f t="shared" ref="D24:D25" si="46">B24+C24</f>
        <v>393.29999999999995</v>
      </c>
      <c r="E24" s="353">
        <f>+'20-02-2026'!J66</f>
        <v>1472</v>
      </c>
      <c r="F24" s="353">
        <f>+'20-02-2026'!J67</f>
        <v>1975</v>
      </c>
      <c r="G24" s="354">
        <f>E24+F24</f>
        <v>3447</v>
      </c>
      <c r="H24" s="353">
        <f>+'20-02-2026'!J71</f>
        <v>408.5</v>
      </c>
      <c r="I24" s="356">
        <f t="shared" ref="I24:I25" si="47">SUM(D24+G24+H24)</f>
        <v>4248.8</v>
      </c>
      <c r="J24" s="353">
        <f>+'20-02-2026'!J94</f>
        <v>1338.2</v>
      </c>
      <c r="K24" s="357">
        <f t="shared" ref="K24:K25" si="48">I24-J24</f>
        <v>2910.6000000000004</v>
      </c>
      <c r="L24" s="463"/>
      <c r="M24" s="359">
        <f>M23+K24-P24</f>
        <v>6133</v>
      </c>
      <c r="N24" s="360"/>
      <c r="O24" s="360"/>
      <c r="P24" s="300">
        <v>3000</v>
      </c>
      <c r="Q24" s="360"/>
      <c r="R24" s="360"/>
      <c r="S24" s="363">
        <f>SUM(P24+O24+N24)-L24+S23</f>
        <v>61241.600000000006</v>
      </c>
      <c r="T24" s="355">
        <f t="shared" si="5"/>
        <v>67374.600000000006</v>
      </c>
      <c r="U24" s="363"/>
      <c r="V24" s="364"/>
      <c r="W24" s="353">
        <f>+'[1]01-01-2026'!M49</f>
        <v>0</v>
      </c>
    </row>
    <row r="25" spans="1:29" s="181" customFormat="1" ht="19.5" thickBot="1" x14ac:dyDescent="0.35">
      <c r="A25" s="168">
        <v>46074</v>
      </c>
      <c r="B25" s="169">
        <f>+'21-02-2026'!J57</f>
        <v>371.6</v>
      </c>
      <c r="C25" s="169">
        <f>+'21-02-2026'!J22</f>
        <v>737.1</v>
      </c>
      <c r="D25" s="414">
        <f t="shared" si="46"/>
        <v>1108.7</v>
      </c>
      <c r="E25" s="169"/>
      <c r="F25" s="169"/>
      <c r="G25" s="172"/>
      <c r="H25" s="169">
        <f>+'21-02-2026'!J69</f>
        <v>728.5</v>
      </c>
      <c r="I25" s="173">
        <f t="shared" si="47"/>
        <v>1837.2</v>
      </c>
      <c r="J25" s="169">
        <f>+'21-02-2026'!J92</f>
        <v>0</v>
      </c>
      <c r="K25" s="174">
        <f t="shared" si="48"/>
        <v>1837.2</v>
      </c>
      <c r="L25" s="183"/>
      <c r="M25" s="176">
        <f t="shared" si="9"/>
        <v>7970.2</v>
      </c>
      <c r="N25" s="177"/>
      <c r="O25" s="177"/>
      <c r="P25" s="178"/>
      <c r="Q25" s="177"/>
      <c r="R25" s="178"/>
      <c r="S25" s="179">
        <f>SUM(P25+O25+N25)-L25+S24-R25</f>
        <v>61241.600000000006</v>
      </c>
      <c r="T25" s="172">
        <f>+M25+S25</f>
        <v>69211.8</v>
      </c>
      <c r="U25" s="179"/>
      <c r="V25" s="180"/>
      <c r="W25" s="132">
        <f>+'[1]01-01-2026'!M50</f>
        <v>0</v>
      </c>
    </row>
    <row r="26" spans="1:29" ht="19.5" thickBot="1" x14ac:dyDescent="0.35">
      <c r="A26" s="133">
        <v>46075</v>
      </c>
      <c r="B26" s="169">
        <f>+'22-02-2026'!J58</f>
        <v>0</v>
      </c>
      <c r="C26" s="169">
        <f>+'22-02-2026'!J23</f>
        <v>0</v>
      </c>
      <c r="D26" s="414">
        <f t="shared" ref="D26:D27" si="49">B26+C26</f>
        <v>0</v>
      </c>
      <c r="E26" s="132"/>
      <c r="F26" s="132"/>
      <c r="G26" s="130"/>
      <c r="H26" s="169">
        <f>+'22-02-2026'!J69</f>
        <v>145</v>
      </c>
      <c r="I26" s="173">
        <f t="shared" ref="I26:I27" si="50">SUM(D26+G26+H26)</f>
        <v>145</v>
      </c>
      <c r="J26" s="169">
        <f>+'22-02-2026'!J93</f>
        <v>0</v>
      </c>
      <c r="K26" s="174">
        <f t="shared" ref="K26:K27" si="51">I26-J26</f>
        <v>145</v>
      </c>
      <c r="L26" s="147"/>
      <c r="M26" s="127">
        <f t="shared" si="9"/>
        <v>8115.2</v>
      </c>
      <c r="N26" s="178"/>
      <c r="O26" s="128"/>
      <c r="P26" s="178"/>
      <c r="Q26" s="128"/>
      <c r="R26" s="128"/>
      <c r="S26" s="129">
        <f>SUM(P26+O26-N26)-L26+S25</f>
        <v>61241.600000000006</v>
      </c>
      <c r="T26" s="130">
        <f t="shared" si="5"/>
        <v>69356.800000000003</v>
      </c>
      <c r="U26" s="129"/>
      <c r="V26" s="131"/>
      <c r="W26" s="132">
        <f>+'[1]01-01-2026'!M51</f>
        <v>0</v>
      </c>
    </row>
    <row r="27" spans="1:29" ht="19.5" thickBot="1" x14ac:dyDescent="0.35">
      <c r="A27" s="133">
        <v>46076</v>
      </c>
      <c r="B27" s="169">
        <f>+'23-02-2026'!J70</f>
        <v>5707.7000000000007</v>
      </c>
      <c r="C27" s="169">
        <f>+'23-02-2026'!J22</f>
        <v>1248</v>
      </c>
      <c r="D27" s="414">
        <f t="shared" si="49"/>
        <v>6955.7000000000007</v>
      </c>
      <c r="E27" s="132"/>
      <c r="F27" s="132"/>
      <c r="G27" s="134"/>
      <c r="H27" s="169">
        <f>+'23-02-2026'!J82</f>
        <v>319</v>
      </c>
      <c r="I27" s="173">
        <f t="shared" si="50"/>
        <v>7274.7000000000007</v>
      </c>
      <c r="J27" s="169">
        <f>+'23-02-2026'!J105</f>
        <v>80</v>
      </c>
      <c r="K27" s="174">
        <f t="shared" si="51"/>
        <v>7194.7000000000007</v>
      </c>
      <c r="L27" s="108"/>
      <c r="M27" s="127">
        <f>M26+K27-P27</f>
        <v>8309.9000000000015</v>
      </c>
      <c r="N27" s="177"/>
      <c r="O27" s="128"/>
      <c r="P27" s="300">
        <v>7000</v>
      </c>
      <c r="Q27" s="128"/>
      <c r="R27" s="128"/>
      <c r="S27" s="129">
        <f t="shared" si="4"/>
        <v>68241.600000000006</v>
      </c>
      <c r="T27" s="130">
        <f t="shared" si="5"/>
        <v>76551.5</v>
      </c>
      <c r="U27" s="129"/>
      <c r="V27" s="131"/>
      <c r="W27" s="132">
        <f>+'[1]01-01-2026'!M52</f>
        <v>0</v>
      </c>
      <c r="AB27" s="106">
        <f>M35-AB23</f>
        <v>630.00000000000546</v>
      </c>
    </row>
    <row r="28" spans="1:29" ht="19.5" thickBot="1" x14ac:dyDescent="0.35">
      <c r="A28" s="133">
        <v>46077</v>
      </c>
      <c r="B28" s="169">
        <f>+'24-02-2026'!J57</f>
        <v>1209.2</v>
      </c>
      <c r="C28" s="169">
        <f>+'24-02-2026'!J22</f>
        <v>75.2</v>
      </c>
      <c r="D28" s="414">
        <f t="shared" ref="D28" si="52">B28+C28</f>
        <v>1284.4000000000001</v>
      </c>
      <c r="E28" s="143"/>
      <c r="F28" s="143"/>
      <c r="G28" s="130"/>
      <c r="H28" s="169">
        <f>+'24-02-2026'!J69</f>
        <v>414</v>
      </c>
      <c r="I28" s="173">
        <f t="shared" ref="I28" si="53">SUM(D28+G28+H28)</f>
        <v>1698.4</v>
      </c>
      <c r="J28" s="169">
        <f>+'24-02-2026'!J92</f>
        <v>35.200000000000003</v>
      </c>
      <c r="K28" s="174">
        <f t="shared" ref="K28" si="54">I28-J28</f>
        <v>1663.2</v>
      </c>
      <c r="L28" s="108"/>
      <c r="M28" s="127">
        <f t="shared" si="9"/>
        <v>9973.1000000000022</v>
      </c>
      <c r="N28" s="177"/>
      <c r="O28" s="128"/>
      <c r="P28" s="178"/>
      <c r="Q28" s="128"/>
      <c r="R28" s="128"/>
      <c r="S28" s="129">
        <f t="shared" si="4"/>
        <v>68241.600000000006</v>
      </c>
      <c r="T28" s="130">
        <f t="shared" si="5"/>
        <v>78214.700000000012</v>
      </c>
      <c r="U28" s="129"/>
      <c r="V28" s="131"/>
      <c r="W28" s="132">
        <f>+'[1]01-01-2026'!M53</f>
        <v>0</v>
      </c>
    </row>
    <row r="29" spans="1:29" ht="19.5" thickBot="1" x14ac:dyDescent="0.35">
      <c r="A29" s="133">
        <v>46078</v>
      </c>
      <c r="B29" s="169">
        <f>+'25-02-2026'!J64</f>
        <v>279.60000000000002</v>
      </c>
      <c r="C29" s="169">
        <f>+'25-02-2026'!J29</f>
        <v>1375.6</v>
      </c>
      <c r="D29" s="414">
        <f t="shared" ref="D29" si="55">B29+C29</f>
        <v>1655.1999999999998</v>
      </c>
      <c r="E29" s="143"/>
      <c r="F29" s="139"/>
      <c r="G29" s="130"/>
      <c r="H29" s="169">
        <f>+'25-02-2026'!J76</f>
        <v>426</v>
      </c>
      <c r="I29" s="173">
        <f t="shared" ref="I29" si="56">SUM(D29+G29+H29)</f>
        <v>2081.1999999999998</v>
      </c>
      <c r="J29" s="169">
        <f>+'25-02-2026'!J99</f>
        <v>538</v>
      </c>
      <c r="K29" s="174">
        <f t="shared" ref="K29" si="57">I29-J29</f>
        <v>1543.1999999999998</v>
      </c>
      <c r="L29" s="147"/>
      <c r="M29" s="127">
        <f t="shared" si="9"/>
        <v>11516.300000000003</v>
      </c>
      <c r="N29" s="514">
        <f>209.2-25</f>
        <v>184.2</v>
      </c>
      <c r="O29" s="128"/>
      <c r="P29" s="177"/>
      <c r="Q29" s="128"/>
      <c r="R29" s="142"/>
      <c r="S29" s="129">
        <f>SUM(P29+O29+N29)-L29+S28</f>
        <v>68425.8</v>
      </c>
      <c r="T29" s="130">
        <f>+M29+S29</f>
        <v>79942.100000000006</v>
      </c>
      <c r="U29" s="129"/>
      <c r="V29" s="131"/>
      <c r="W29" s="132">
        <f>+'[1]01-01-2026'!M54</f>
        <v>0</v>
      </c>
    </row>
    <row r="30" spans="1:29" s="537" customFormat="1" ht="19.5" thickBot="1" x14ac:dyDescent="0.35">
      <c r="A30" s="525">
        <v>46079</v>
      </c>
      <c r="B30" s="526">
        <f>+'26-02-2026'!K57</f>
        <v>571.20000000000005</v>
      </c>
      <c r="C30" s="526">
        <f>+'26-02-2026'!K22</f>
        <v>72.7</v>
      </c>
      <c r="D30" s="527">
        <f t="shared" ref="D30" si="58">B30+C30</f>
        <v>643.90000000000009</v>
      </c>
      <c r="E30" s="526"/>
      <c r="F30" s="526"/>
      <c r="G30" s="528"/>
      <c r="H30" s="526">
        <f>+'26-02-2026'!K69</f>
        <v>413</v>
      </c>
      <c r="I30" s="529">
        <f t="shared" ref="I30" si="59">SUM(D30+G30+H30)</f>
        <v>1056.9000000000001</v>
      </c>
      <c r="J30" s="526">
        <f>+'26-02-2026'!K92</f>
        <v>515.20000000000005</v>
      </c>
      <c r="K30" s="530">
        <f t="shared" ref="K30" si="60">I30-J30</f>
        <v>541.70000000000005</v>
      </c>
      <c r="L30" s="531"/>
      <c r="M30" s="532">
        <f t="shared" si="9"/>
        <v>12058.000000000004</v>
      </c>
      <c r="N30" s="533"/>
      <c r="O30" s="533"/>
      <c r="P30" s="534"/>
      <c r="Q30" s="533"/>
      <c r="R30" s="534"/>
      <c r="S30" s="535">
        <f t="shared" si="4"/>
        <v>68425.8</v>
      </c>
      <c r="T30" s="528">
        <f t="shared" si="5"/>
        <v>80483.8</v>
      </c>
      <c r="U30" s="535"/>
      <c r="V30" s="536"/>
      <c r="W30" s="526">
        <f>+'[1]01-01-2026'!M55</f>
        <v>0</v>
      </c>
    </row>
    <row r="31" spans="1:29" ht="19.5" thickBot="1" x14ac:dyDescent="0.35">
      <c r="A31" s="133">
        <v>46080</v>
      </c>
      <c r="B31" s="169">
        <f>+'27-02-2026'!K59</f>
        <v>3176.1</v>
      </c>
      <c r="C31" s="169">
        <f>+'27-02-2026'!K20</f>
        <v>2422</v>
      </c>
      <c r="D31" s="414">
        <f t="shared" ref="D31" si="61">B31+C31</f>
        <v>5598.1</v>
      </c>
      <c r="E31" s="169">
        <f>+'27-02-2026'!K66</f>
        <v>2069</v>
      </c>
      <c r="F31" s="169">
        <f>+'27-02-2026'!K67</f>
        <v>2650</v>
      </c>
      <c r="G31" s="414">
        <f>E31+F31</f>
        <v>4719</v>
      </c>
      <c r="H31" s="169">
        <f>+'27-02-2026'!K71</f>
        <v>452</v>
      </c>
      <c r="I31" s="173">
        <f t="shared" ref="I31" si="62">SUM(D31+G31+H31)</f>
        <v>10769.1</v>
      </c>
      <c r="J31" s="169">
        <f>+'27-02-2026'!K95</f>
        <v>2554</v>
      </c>
      <c r="K31" s="174">
        <f t="shared" ref="K31" si="63">I31-J31</f>
        <v>8215.1</v>
      </c>
      <c r="L31" s="108"/>
      <c r="M31" s="127">
        <f t="shared" si="9"/>
        <v>20273.100000000006</v>
      </c>
      <c r="N31" s="128"/>
      <c r="O31" s="128"/>
      <c r="P31" s="177"/>
      <c r="Q31" s="128"/>
      <c r="R31" s="128"/>
      <c r="S31" s="129">
        <f t="shared" si="4"/>
        <v>68425.8</v>
      </c>
      <c r="T31" s="130">
        <f t="shared" si="5"/>
        <v>88698.900000000009</v>
      </c>
      <c r="U31" s="129"/>
      <c r="V31" s="131"/>
      <c r="W31" s="132">
        <f>+'[1]01-01-2026'!M56</f>
        <v>0</v>
      </c>
    </row>
    <row r="32" spans="1:29" ht="19.5" thickBot="1" x14ac:dyDescent="0.35">
      <c r="A32" s="133">
        <v>46081</v>
      </c>
      <c r="B32" s="169">
        <f>+'28-02-2026'!J57</f>
        <v>192.6</v>
      </c>
      <c r="C32" s="169">
        <f>+'28-02-2026'!J22</f>
        <v>540</v>
      </c>
      <c r="D32" s="414">
        <f t="shared" ref="D32" si="64">B32+C32</f>
        <v>732.6</v>
      </c>
      <c r="E32" s="132"/>
      <c r="F32" s="132"/>
      <c r="G32" s="130"/>
      <c r="H32" s="169">
        <f>+'28-02-2026'!J69</f>
        <v>630</v>
      </c>
      <c r="I32" s="173">
        <f t="shared" ref="I32" si="65">SUM(D32+G32+H32)</f>
        <v>1362.6</v>
      </c>
      <c r="J32" s="169">
        <f>+'28-02-2026'!J91</f>
        <v>11595.7</v>
      </c>
      <c r="K32" s="174">
        <f t="shared" ref="K32" si="66">I32-J32</f>
        <v>-10233.1</v>
      </c>
      <c r="L32" s="108"/>
      <c r="M32" s="127">
        <f>M31+K32-P32</f>
        <v>4440.0000000000055</v>
      </c>
      <c r="N32" s="128"/>
      <c r="O32" s="128"/>
      <c r="P32" s="300">
        <v>5600</v>
      </c>
      <c r="Q32" s="128"/>
      <c r="R32" s="128"/>
      <c r="S32" s="129">
        <f>SUM(P32+O32+N32)-L32+S31</f>
        <v>74025.8</v>
      </c>
      <c r="T32" s="130">
        <f t="shared" si="5"/>
        <v>78465.8</v>
      </c>
      <c r="U32" s="129"/>
      <c r="V32" s="131"/>
      <c r="W32" s="132">
        <f>+'[1]01-01-2026'!M57</f>
        <v>0</v>
      </c>
      <c r="Y32" s="156" t="s">
        <v>60</v>
      </c>
      <c r="Z32" s="156" t="s">
        <v>61</v>
      </c>
    </row>
    <row r="33" spans="1:27" s="181" customFormat="1" ht="19.5" thickBot="1" x14ac:dyDescent="0.35">
      <c r="A33" s="168"/>
      <c r="B33" s="169"/>
      <c r="C33" s="169"/>
      <c r="D33" s="134">
        <f t="shared" ref="D33:D35" si="67">B33+C33</f>
        <v>0</v>
      </c>
      <c r="E33" s="170"/>
      <c r="F33" s="171"/>
      <c r="G33" s="172"/>
      <c r="H33" s="169"/>
      <c r="I33" s="173"/>
      <c r="J33" s="169"/>
      <c r="K33" s="174"/>
      <c r="L33" s="184"/>
      <c r="M33" s="176">
        <f t="shared" si="9"/>
        <v>4440.0000000000055</v>
      </c>
      <c r="N33" s="177"/>
      <c r="O33" s="177"/>
      <c r="P33" s="177"/>
      <c r="Q33" s="177"/>
      <c r="R33" s="177"/>
      <c r="S33" s="179">
        <f t="shared" si="4"/>
        <v>74025.8</v>
      </c>
      <c r="T33" s="172">
        <f t="shared" si="5"/>
        <v>78465.8</v>
      </c>
      <c r="U33" s="179"/>
      <c r="V33" s="180"/>
      <c r="W33" s="169">
        <f>+'[1]01-01-2026'!M58</f>
        <v>0</v>
      </c>
      <c r="Y33" s="181">
        <v>11</v>
      </c>
      <c r="Z33" s="149">
        <v>5</v>
      </c>
      <c r="AA33" s="181">
        <f>+Y33*Z33</f>
        <v>55</v>
      </c>
    </row>
    <row r="34" spans="1:27" ht="19.5" thickBot="1" x14ac:dyDescent="0.35">
      <c r="A34" s="133"/>
      <c r="B34" s="132"/>
      <c r="C34" s="132"/>
      <c r="D34" s="134">
        <f t="shared" si="67"/>
        <v>0</v>
      </c>
      <c r="E34" s="132"/>
      <c r="F34" s="132"/>
      <c r="G34" s="134"/>
      <c r="H34" s="132"/>
      <c r="I34" s="135"/>
      <c r="J34" s="132"/>
      <c r="K34" s="136"/>
      <c r="L34" s="108"/>
      <c r="M34" s="127">
        <f t="shared" si="9"/>
        <v>4440.0000000000055</v>
      </c>
      <c r="N34" s="128"/>
      <c r="O34" s="128"/>
      <c r="P34" s="128"/>
      <c r="Q34" s="128"/>
      <c r="R34" s="128"/>
      <c r="S34" s="129">
        <f t="shared" si="4"/>
        <v>74025.8</v>
      </c>
      <c r="T34" s="130">
        <f>+M34+S34</f>
        <v>78465.8</v>
      </c>
      <c r="U34" s="129"/>
      <c r="V34" s="131"/>
      <c r="W34" s="132">
        <f>+'[1]01-01-2026'!M59</f>
        <v>0</v>
      </c>
      <c r="Y34">
        <v>6</v>
      </c>
      <c r="Z34" s="149">
        <v>2</v>
      </c>
      <c r="AA34">
        <f t="shared" ref="AA34:AA38" si="68">+Y34*Z34</f>
        <v>12</v>
      </c>
    </row>
    <row r="35" spans="1:27" ht="19.5" thickBot="1" x14ac:dyDescent="0.35">
      <c r="A35" s="133"/>
      <c r="B35" s="132"/>
      <c r="C35" s="132"/>
      <c r="D35" s="134">
        <f t="shared" si="67"/>
        <v>0</v>
      </c>
      <c r="E35" s="143"/>
      <c r="F35" s="143"/>
      <c r="G35" s="130"/>
      <c r="H35" s="132"/>
      <c r="I35" s="135"/>
      <c r="J35" s="132"/>
      <c r="K35" s="136"/>
      <c r="L35" s="108"/>
      <c r="M35" s="548">
        <f t="shared" si="9"/>
        <v>4440.0000000000055</v>
      </c>
      <c r="N35" s="142"/>
      <c r="O35" s="135"/>
      <c r="P35" s="128"/>
      <c r="Q35" s="128"/>
      <c r="R35" s="128"/>
      <c r="S35" s="129">
        <f t="shared" si="4"/>
        <v>74025.8</v>
      </c>
      <c r="T35" s="130">
        <f t="shared" si="5"/>
        <v>78465.8</v>
      </c>
      <c r="U35" s="129"/>
      <c r="V35" s="131"/>
      <c r="W35" s="132">
        <f>+'[1]01-01-2026'!M60</f>
        <v>0</v>
      </c>
      <c r="Y35">
        <v>35</v>
      </c>
      <c r="Z35" s="149">
        <v>1</v>
      </c>
      <c r="AA35">
        <f t="shared" si="68"/>
        <v>35</v>
      </c>
    </row>
    <row r="36" spans="1:27" ht="19.5" thickBot="1" x14ac:dyDescent="0.35">
      <c r="A36" s="133"/>
      <c r="B36" s="157">
        <f>SUM(B5:B35)</f>
        <v>23757.699999999997</v>
      </c>
      <c r="C36" s="157">
        <f>SUM(C5:C35)</f>
        <v>27247.8</v>
      </c>
      <c r="D36" s="157">
        <f t="shared" ref="D36:K36" si="69">SUM(D5:D35)</f>
        <v>51005.5</v>
      </c>
      <c r="E36" s="157">
        <f t="shared" si="69"/>
        <v>6069</v>
      </c>
      <c r="F36" s="157">
        <f t="shared" si="69"/>
        <v>9050</v>
      </c>
      <c r="G36" s="157">
        <f t="shared" si="69"/>
        <v>15119</v>
      </c>
      <c r="H36" s="157">
        <f t="shared" si="69"/>
        <v>12523.5</v>
      </c>
      <c r="I36" s="157">
        <f t="shared" si="69"/>
        <v>78648</v>
      </c>
      <c r="J36" s="157">
        <f t="shared" si="69"/>
        <v>47152.7</v>
      </c>
      <c r="K36" s="157">
        <f t="shared" si="69"/>
        <v>31495.300000000003</v>
      </c>
      <c r="L36" s="158"/>
      <c r="M36" s="130">
        <f>I36+M4-J36</f>
        <v>53240</v>
      </c>
      <c r="N36" s="159">
        <f>N4+N9+N29</f>
        <v>1714.8999999999999</v>
      </c>
      <c r="O36" s="159">
        <f>SUM(O4:O35)</f>
        <v>9152.6</v>
      </c>
      <c r="P36" s="160">
        <f>SUM(P4:P35)</f>
        <v>93158.3</v>
      </c>
      <c r="Q36" s="160">
        <f t="shared" ref="Q36" si="70">SUM(Q4:Q35)</f>
        <v>0</v>
      </c>
      <c r="R36" s="160">
        <f>SUM(R4:R35)</f>
        <v>30000</v>
      </c>
      <c r="S36" s="158"/>
      <c r="T36" s="161"/>
      <c r="U36" s="162">
        <f>SUM(U4:U35)</f>
        <v>5266</v>
      </c>
      <c r="V36" s="131"/>
      <c r="W36" s="163">
        <f>SUM(W5:W35)</f>
        <v>0</v>
      </c>
      <c r="Y36">
        <v>10</v>
      </c>
      <c r="Z36" s="149">
        <v>0.5</v>
      </c>
      <c r="AA36">
        <f t="shared" si="68"/>
        <v>5</v>
      </c>
    </row>
    <row r="37" spans="1:27" x14ac:dyDescent="0.25">
      <c r="Y37">
        <v>10</v>
      </c>
      <c r="Z37" s="149">
        <v>0.2</v>
      </c>
      <c r="AA37">
        <f t="shared" si="68"/>
        <v>2</v>
      </c>
    </row>
    <row r="38" spans="1:27" x14ac:dyDescent="0.25">
      <c r="Y38">
        <v>60</v>
      </c>
      <c r="Z38" s="149">
        <v>0.1</v>
      </c>
      <c r="AA38">
        <f t="shared" si="68"/>
        <v>6</v>
      </c>
    </row>
    <row r="39" spans="1:27" ht="19.5" thickBot="1" x14ac:dyDescent="0.35">
      <c r="K39" s="106"/>
      <c r="P39" s="164">
        <f>P36-R36</f>
        <v>63158.3</v>
      </c>
      <c r="Z39" s="149"/>
      <c r="AA39" s="165"/>
    </row>
    <row r="40" spans="1:27" x14ac:dyDescent="0.25">
      <c r="AA40">
        <f>SUM(AA33:AA39)</f>
        <v>115</v>
      </c>
    </row>
    <row r="41" spans="1:27" ht="15.75" thickBot="1" x14ac:dyDescent="0.3">
      <c r="M41" s="106">
        <f>T35-M35</f>
        <v>74025.8</v>
      </c>
      <c r="AA41">
        <v>65</v>
      </c>
    </row>
    <row r="42" spans="1:27" ht="24" thickBot="1" x14ac:dyDescent="0.4">
      <c r="B42" s="166" t="s">
        <v>62</v>
      </c>
      <c r="C42" s="630" t="s">
        <v>63</v>
      </c>
      <c r="D42" s="630"/>
      <c r="E42" s="630"/>
      <c r="F42" s="631"/>
      <c r="M42" s="106"/>
      <c r="AA42">
        <f>AA40+AA41</f>
        <v>180</v>
      </c>
    </row>
    <row r="43" spans="1:27" ht="24" thickBot="1" x14ac:dyDescent="0.4">
      <c r="B43" s="167" t="s">
        <v>64</v>
      </c>
      <c r="C43" s="617" t="s">
        <v>65</v>
      </c>
      <c r="D43" s="618"/>
      <c r="E43" s="618"/>
      <c r="F43" s="619"/>
      <c r="K43" s="106"/>
    </row>
    <row r="48" spans="1:27" x14ac:dyDescent="0.25">
      <c r="P48" s="152"/>
    </row>
  </sheetData>
  <mergeCells count="6">
    <mergeCell ref="C43:F43"/>
    <mergeCell ref="B2:D2"/>
    <mergeCell ref="E2:G2"/>
    <mergeCell ref="H2:U2"/>
    <mergeCell ref="B4:L4"/>
    <mergeCell ref="C42:F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01-02-2026</vt:lpstr>
      <vt:lpstr>02-02-2026</vt:lpstr>
      <vt:lpstr>03-02-2026</vt:lpstr>
      <vt:lpstr>04-02-2026</vt:lpstr>
      <vt:lpstr>05-02-2026</vt:lpstr>
      <vt:lpstr>06-02-2026</vt:lpstr>
      <vt:lpstr>07-02-2026</vt:lpstr>
      <vt:lpstr>08-02-2026</vt:lpstr>
      <vt:lpstr>09-02-2026</vt:lpstr>
      <vt:lpstr>10-02-2026</vt:lpstr>
      <vt:lpstr>11-02-2026</vt:lpstr>
      <vt:lpstr>12-02-2026</vt:lpstr>
      <vt:lpstr>13-02-2026</vt:lpstr>
      <vt:lpstr>14-02-2026</vt:lpstr>
      <vt:lpstr>15-02-2026</vt:lpstr>
      <vt:lpstr>16-02-2026</vt:lpstr>
      <vt:lpstr>17-02-2026</vt:lpstr>
      <vt:lpstr>18-02-2026</vt:lpstr>
      <vt:lpstr>19-02-2026</vt:lpstr>
      <vt:lpstr>20-02-2026</vt:lpstr>
      <vt:lpstr>21-02-2026</vt:lpstr>
      <vt:lpstr>22-02-2026</vt:lpstr>
      <vt:lpstr>23-02-2026</vt:lpstr>
      <vt:lpstr>24-02-2026</vt:lpstr>
      <vt:lpstr>25-02-2026</vt:lpstr>
      <vt:lpstr>26-02-2026</vt:lpstr>
      <vt:lpstr>27-02-2026</vt:lpstr>
      <vt:lpstr>28-02-2026</vt:lpstr>
      <vt:lpstr>ARQUEO RESUMIDO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cooperativa primero de mayo</dc:creator>
  <cp:lastModifiedBy>cooperativa primero de mayo</cp:lastModifiedBy>
  <cp:lastPrinted>2026-03-02T15:16:48Z</cp:lastPrinted>
  <dcterms:created xsi:type="dcterms:W3CDTF">2026-02-02T15:19:31Z</dcterms:created>
  <dcterms:modified xsi:type="dcterms:W3CDTF">2026-03-02T23:54:49Z</dcterms:modified>
</cp:coreProperties>
</file>