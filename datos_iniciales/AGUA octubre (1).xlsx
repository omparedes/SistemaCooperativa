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da95182cb3f82b/Desktop/"/>
    </mc:Choice>
  </mc:AlternateContent>
  <xr:revisionPtr revIDLastSave="4" documentId="13_ncr:1_{C1D637D2-AF3E-4D0F-A34D-4EB4630096AC}" xr6:coauthVersionLast="47" xr6:coauthVersionMax="47" xr10:uidLastSave="{D05988B0-D4D1-40DF-8E50-857AD122E1DB}"/>
  <bookViews>
    <workbookView xWindow="-120" yWindow="-120" windowWidth="29040" windowHeight="15720" activeTab="2" xr2:uid="{EF8D67F8-AABF-4CF0-A236-D67C0A798E08}"/>
  </bookViews>
  <sheets>
    <sheet name="AGUA OCTUBRE CON MEDIDORES" sheetId="2" r:id="rId1"/>
    <sheet name="Agua de octubre" sheetId="3" r:id="rId2"/>
    <sheet name="Hoja1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56" i="3" l="1"/>
  <c r="D256" i="4"/>
  <c r="C256" i="4"/>
  <c r="E255" i="4"/>
  <c r="F255" i="4" s="1"/>
  <c r="E254" i="4"/>
  <c r="F254" i="4" s="1"/>
  <c r="F253" i="4"/>
  <c r="E253" i="4"/>
  <c r="E252" i="4"/>
  <c r="F252" i="4" s="1"/>
  <c r="F251" i="4"/>
  <c r="E251" i="4"/>
  <c r="E250" i="4"/>
  <c r="F250" i="4" s="1"/>
  <c r="E249" i="4"/>
  <c r="F249" i="4" s="1"/>
  <c r="E248" i="4"/>
  <c r="F248" i="4" s="1"/>
  <c r="F247" i="4"/>
  <c r="E247" i="4"/>
  <c r="E246" i="4"/>
  <c r="F246" i="4" s="1"/>
  <c r="F245" i="4"/>
  <c r="E245" i="4"/>
  <c r="E244" i="4"/>
  <c r="F244" i="4" s="1"/>
  <c r="E243" i="4"/>
  <c r="F243" i="4" s="1"/>
  <c r="E242" i="4"/>
  <c r="F242" i="4" s="1"/>
  <c r="E241" i="4"/>
  <c r="F241" i="4" s="1"/>
  <c r="F240" i="4"/>
  <c r="E240" i="4"/>
  <c r="E239" i="4"/>
  <c r="F239" i="4" s="1"/>
  <c r="E238" i="4"/>
  <c r="F238" i="4" s="1"/>
  <c r="E237" i="4"/>
  <c r="F237" i="4" s="1"/>
  <c r="F236" i="4"/>
  <c r="E236" i="4"/>
  <c r="E235" i="4"/>
  <c r="F235" i="4" s="1"/>
  <c r="E234" i="4"/>
  <c r="F234" i="4" s="1"/>
  <c r="E233" i="4"/>
  <c r="F233" i="4" s="1"/>
  <c r="F232" i="4"/>
  <c r="E232" i="4"/>
  <c r="E231" i="4"/>
  <c r="F231" i="4" s="1"/>
  <c r="E230" i="4"/>
  <c r="F230" i="4" s="1"/>
  <c r="E229" i="4"/>
  <c r="F229" i="4" s="1"/>
  <c r="E228" i="4"/>
  <c r="F228" i="4" s="1"/>
  <c r="E227" i="4"/>
  <c r="F227" i="4" s="1"/>
  <c r="E226" i="4"/>
  <c r="F226" i="4" s="1"/>
  <c r="E225" i="4"/>
  <c r="F225" i="4" s="1"/>
  <c r="F224" i="4"/>
  <c r="E224" i="4"/>
  <c r="E223" i="4"/>
  <c r="F223" i="4" s="1"/>
  <c r="E222" i="4"/>
  <c r="F222" i="4" s="1"/>
  <c r="E221" i="4"/>
  <c r="F221" i="4" s="1"/>
  <c r="E220" i="4"/>
  <c r="F220" i="4" s="1"/>
  <c r="E219" i="4"/>
  <c r="F219" i="4" s="1"/>
  <c r="E218" i="4"/>
  <c r="F218" i="4" s="1"/>
  <c r="E217" i="4"/>
  <c r="F217" i="4" s="1"/>
  <c r="E216" i="4"/>
  <c r="F216" i="4" s="1"/>
  <c r="E215" i="4"/>
  <c r="F215" i="4" s="1"/>
  <c r="E214" i="4"/>
  <c r="F214" i="4" s="1"/>
  <c r="E213" i="4"/>
  <c r="F213" i="4" s="1"/>
  <c r="E212" i="4"/>
  <c r="F212" i="4" s="1"/>
  <c r="E211" i="4"/>
  <c r="F211" i="4" s="1"/>
  <c r="E210" i="4"/>
  <c r="F210" i="4" s="1"/>
  <c r="E209" i="4"/>
  <c r="F209" i="4" s="1"/>
  <c r="E208" i="4"/>
  <c r="F208" i="4" s="1"/>
  <c r="E207" i="4"/>
  <c r="F207" i="4" s="1"/>
  <c r="E206" i="4"/>
  <c r="F206" i="4" s="1"/>
  <c r="E205" i="4"/>
  <c r="F205" i="4" s="1"/>
  <c r="E204" i="4"/>
  <c r="F204" i="4" s="1"/>
  <c r="E203" i="4"/>
  <c r="F203" i="4" s="1"/>
  <c r="E202" i="4"/>
  <c r="F202" i="4" s="1"/>
  <c r="E201" i="4"/>
  <c r="F201" i="4" s="1"/>
  <c r="F200" i="4"/>
  <c r="E200" i="4"/>
  <c r="E199" i="4"/>
  <c r="F199" i="4" s="1"/>
  <c r="E198" i="4"/>
  <c r="F198" i="4" s="1"/>
  <c r="E197" i="4"/>
  <c r="F197" i="4" s="1"/>
  <c r="E196" i="4"/>
  <c r="F196" i="4" s="1"/>
  <c r="E195" i="4"/>
  <c r="F195" i="4" s="1"/>
  <c r="E194" i="4"/>
  <c r="F194" i="4" s="1"/>
  <c r="E193" i="4"/>
  <c r="F193" i="4" s="1"/>
  <c r="F192" i="4"/>
  <c r="E191" i="4"/>
  <c r="F191" i="4" s="1"/>
  <c r="E190" i="4"/>
  <c r="F190" i="4" s="1"/>
  <c r="E189" i="4"/>
  <c r="F189" i="4" s="1"/>
  <c r="E188" i="4"/>
  <c r="F188" i="4" s="1"/>
  <c r="E187" i="4"/>
  <c r="F187" i="4" s="1"/>
  <c r="E186" i="4"/>
  <c r="F186" i="4" s="1"/>
  <c r="E185" i="4"/>
  <c r="F185" i="4" s="1"/>
  <c r="E184" i="4"/>
  <c r="F184" i="4" s="1"/>
  <c r="E183" i="4"/>
  <c r="F183" i="4" s="1"/>
  <c r="E182" i="4"/>
  <c r="F182" i="4" s="1"/>
  <c r="E181" i="4"/>
  <c r="F181" i="4" s="1"/>
  <c r="E180" i="4"/>
  <c r="F180" i="4" s="1"/>
  <c r="E179" i="4"/>
  <c r="F179" i="4" s="1"/>
  <c r="E178" i="4"/>
  <c r="F178" i="4" s="1"/>
  <c r="E177" i="4"/>
  <c r="F177" i="4" s="1"/>
  <c r="E176" i="4"/>
  <c r="F176" i="4" s="1"/>
  <c r="F175" i="4"/>
  <c r="E175" i="4"/>
  <c r="E174" i="4"/>
  <c r="F174" i="4" s="1"/>
  <c r="E173" i="4"/>
  <c r="F173" i="4" s="1"/>
  <c r="E172" i="4"/>
  <c r="F172" i="4" s="1"/>
  <c r="E171" i="4"/>
  <c r="F171" i="4" s="1"/>
  <c r="E170" i="4"/>
  <c r="F170" i="4" s="1"/>
  <c r="E169" i="4"/>
  <c r="F169" i="4" s="1"/>
  <c r="E168" i="4"/>
  <c r="F168" i="4" s="1"/>
  <c r="E167" i="4"/>
  <c r="F167" i="4" s="1"/>
  <c r="E166" i="4"/>
  <c r="F166" i="4" s="1"/>
  <c r="E165" i="4"/>
  <c r="F165" i="4" s="1"/>
  <c r="E164" i="4"/>
  <c r="F164" i="4" s="1"/>
  <c r="E163" i="4"/>
  <c r="F163" i="4" s="1"/>
  <c r="E162" i="4"/>
  <c r="F162" i="4" s="1"/>
  <c r="E161" i="4"/>
  <c r="F161" i="4" s="1"/>
  <c r="E160" i="4"/>
  <c r="F160" i="4" s="1"/>
  <c r="E159" i="4"/>
  <c r="F159" i="4" s="1"/>
  <c r="E158" i="4"/>
  <c r="F158" i="4" s="1"/>
  <c r="E157" i="4"/>
  <c r="F157" i="4" s="1"/>
  <c r="E156" i="4"/>
  <c r="F156" i="4" s="1"/>
  <c r="E155" i="4"/>
  <c r="F155" i="4" s="1"/>
  <c r="E154" i="4"/>
  <c r="F154" i="4" s="1"/>
  <c r="E153" i="4"/>
  <c r="F153" i="4" s="1"/>
  <c r="E152" i="4"/>
  <c r="F152" i="4" s="1"/>
  <c r="E151" i="4"/>
  <c r="F151" i="4" s="1"/>
  <c r="E150" i="4"/>
  <c r="F150" i="4" s="1"/>
  <c r="E149" i="4"/>
  <c r="F149" i="4" s="1"/>
  <c r="E148" i="4"/>
  <c r="F148" i="4" s="1"/>
  <c r="E147" i="4"/>
  <c r="F147" i="4" s="1"/>
  <c r="E146" i="4"/>
  <c r="F146" i="4" s="1"/>
  <c r="E145" i="4"/>
  <c r="F145" i="4" s="1"/>
  <c r="E144" i="4"/>
  <c r="F144" i="4" s="1"/>
  <c r="E143" i="4"/>
  <c r="F143" i="4" s="1"/>
  <c r="E142" i="4"/>
  <c r="F142" i="4" s="1"/>
  <c r="E141" i="4"/>
  <c r="F141" i="4" s="1"/>
  <c r="E140" i="4"/>
  <c r="F140" i="4" s="1"/>
  <c r="F139" i="4"/>
  <c r="E139" i="4"/>
  <c r="E138" i="4"/>
  <c r="F138" i="4" s="1"/>
  <c r="E137" i="4"/>
  <c r="F137" i="4" s="1"/>
  <c r="E136" i="4"/>
  <c r="F136" i="4" s="1"/>
  <c r="E135" i="4"/>
  <c r="F135" i="4" s="1"/>
  <c r="E134" i="4"/>
  <c r="F134" i="4" s="1"/>
  <c r="E133" i="4"/>
  <c r="F133" i="4" s="1"/>
  <c r="E132" i="4"/>
  <c r="F132" i="4" s="1"/>
  <c r="F131" i="4"/>
  <c r="E131" i="4"/>
  <c r="E130" i="4"/>
  <c r="F130" i="4" s="1"/>
  <c r="E129" i="4"/>
  <c r="F129" i="4" s="1"/>
  <c r="E128" i="4"/>
  <c r="F128" i="4" s="1"/>
  <c r="E127" i="4"/>
  <c r="F127" i="4" s="1"/>
  <c r="E126" i="4"/>
  <c r="F126" i="4" s="1"/>
  <c r="E125" i="4"/>
  <c r="F125" i="4" s="1"/>
  <c r="E124" i="4"/>
  <c r="F124" i="4" s="1"/>
  <c r="F123" i="4"/>
  <c r="E123" i="4"/>
  <c r="E122" i="4"/>
  <c r="F122" i="4" s="1"/>
  <c r="E121" i="4"/>
  <c r="F121" i="4" s="1"/>
  <c r="E120" i="4"/>
  <c r="F120" i="4" s="1"/>
  <c r="E119" i="4"/>
  <c r="F119" i="4" s="1"/>
  <c r="E118" i="4"/>
  <c r="F118" i="4" s="1"/>
  <c r="E117" i="4"/>
  <c r="F117" i="4" s="1"/>
  <c r="E116" i="4"/>
  <c r="F116" i="4" s="1"/>
  <c r="E115" i="4"/>
  <c r="F115" i="4" s="1"/>
  <c r="E114" i="4"/>
  <c r="F114" i="4" s="1"/>
  <c r="E113" i="4"/>
  <c r="F113" i="4" s="1"/>
  <c r="E112" i="4"/>
  <c r="F112" i="4" s="1"/>
  <c r="F111" i="4"/>
  <c r="E111" i="4"/>
  <c r="E110" i="4"/>
  <c r="F110" i="4" s="1"/>
  <c r="E109" i="4"/>
  <c r="F109" i="4" s="1"/>
  <c r="E108" i="4"/>
  <c r="F108" i="4" s="1"/>
  <c r="E107" i="4"/>
  <c r="F107" i="4" s="1"/>
  <c r="E106" i="4"/>
  <c r="F106" i="4" s="1"/>
  <c r="F105" i="4"/>
  <c r="E105" i="4"/>
  <c r="E104" i="4"/>
  <c r="F104" i="4" s="1"/>
  <c r="E103" i="4"/>
  <c r="F103" i="4" s="1"/>
  <c r="E102" i="4"/>
  <c r="F102" i="4" s="1"/>
  <c r="E101" i="4"/>
  <c r="F101" i="4" s="1"/>
  <c r="E100" i="4"/>
  <c r="F100" i="4" s="1"/>
  <c r="E99" i="4"/>
  <c r="F99" i="4" s="1"/>
  <c r="E98" i="4"/>
  <c r="F98" i="4" s="1"/>
  <c r="E97" i="4"/>
  <c r="F97" i="4" s="1"/>
  <c r="E96" i="4"/>
  <c r="F96" i="4" s="1"/>
  <c r="E95" i="4"/>
  <c r="F95" i="4" s="1"/>
  <c r="E94" i="4"/>
  <c r="F94" i="4" s="1"/>
  <c r="E93" i="4"/>
  <c r="F93" i="4" s="1"/>
  <c r="E92" i="4"/>
  <c r="F92" i="4" s="1"/>
  <c r="E91" i="4"/>
  <c r="F91" i="4" s="1"/>
  <c r="E90" i="4"/>
  <c r="F90" i="4" s="1"/>
  <c r="E89" i="4"/>
  <c r="F89" i="4" s="1"/>
  <c r="E88" i="4"/>
  <c r="F88" i="4" s="1"/>
  <c r="E87" i="4"/>
  <c r="F87" i="4" s="1"/>
  <c r="E86" i="4"/>
  <c r="F86" i="4" s="1"/>
  <c r="E85" i="4"/>
  <c r="F85" i="4" s="1"/>
  <c r="E84" i="4"/>
  <c r="F84" i="4" s="1"/>
  <c r="E83" i="4"/>
  <c r="F83" i="4" s="1"/>
  <c r="E82" i="4"/>
  <c r="F82" i="4" s="1"/>
  <c r="E81" i="4"/>
  <c r="F81" i="4" s="1"/>
  <c r="E80" i="4"/>
  <c r="F80" i="4" s="1"/>
  <c r="E79" i="4"/>
  <c r="F79" i="4" s="1"/>
  <c r="E78" i="4"/>
  <c r="F78" i="4" s="1"/>
  <c r="E77" i="4"/>
  <c r="F77" i="4" s="1"/>
  <c r="E76" i="4"/>
  <c r="F76" i="4" s="1"/>
  <c r="E75" i="4"/>
  <c r="F75" i="4" s="1"/>
  <c r="E74" i="4"/>
  <c r="F74" i="4" s="1"/>
  <c r="E73" i="4"/>
  <c r="F73" i="4" s="1"/>
  <c r="E72" i="4"/>
  <c r="F72" i="4" s="1"/>
  <c r="E71" i="4"/>
  <c r="F71" i="4" s="1"/>
  <c r="E70" i="4"/>
  <c r="F70" i="4" s="1"/>
  <c r="F69" i="4"/>
  <c r="E69" i="4"/>
  <c r="E68" i="4"/>
  <c r="F68" i="4" s="1"/>
  <c r="E67" i="4"/>
  <c r="F67" i="4" s="1"/>
  <c r="E66" i="4"/>
  <c r="F66" i="4" s="1"/>
  <c r="E65" i="4"/>
  <c r="F65" i="4" s="1"/>
  <c r="E64" i="4"/>
  <c r="F64" i="4" s="1"/>
  <c r="E63" i="4"/>
  <c r="F63" i="4" s="1"/>
  <c r="E62" i="4"/>
  <c r="F62" i="4" s="1"/>
  <c r="E61" i="4"/>
  <c r="F61" i="4" s="1"/>
  <c r="E60" i="4"/>
  <c r="F60" i="4" s="1"/>
  <c r="E59" i="4"/>
  <c r="F59" i="4" s="1"/>
  <c r="E58" i="4"/>
  <c r="F58" i="4" s="1"/>
  <c r="F57" i="4"/>
  <c r="E57" i="4"/>
  <c r="E56" i="4"/>
  <c r="F56" i="4" s="1"/>
  <c r="E55" i="4"/>
  <c r="F55" i="4" s="1"/>
  <c r="E54" i="4"/>
  <c r="F54" i="4" s="1"/>
  <c r="E53" i="4"/>
  <c r="F53" i="4" s="1"/>
  <c r="E52" i="4"/>
  <c r="F52" i="4" s="1"/>
  <c r="E51" i="4"/>
  <c r="F51" i="4" s="1"/>
  <c r="E50" i="4"/>
  <c r="F50" i="4" s="1"/>
  <c r="E49" i="4"/>
  <c r="F49" i="4" s="1"/>
  <c r="E48" i="4"/>
  <c r="F48" i="4" s="1"/>
  <c r="E47" i="4"/>
  <c r="F47" i="4" s="1"/>
  <c r="E46" i="4"/>
  <c r="F46" i="4" s="1"/>
  <c r="E45" i="4"/>
  <c r="F45" i="4" s="1"/>
  <c r="E44" i="4"/>
  <c r="F44" i="4" s="1"/>
  <c r="E43" i="4"/>
  <c r="F43" i="4" s="1"/>
  <c r="E42" i="4"/>
  <c r="F42" i="4" s="1"/>
  <c r="E41" i="4"/>
  <c r="F41" i="4" s="1"/>
  <c r="E40" i="4"/>
  <c r="F40" i="4" s="1"/>
  <c r="E39" i="4"/>
  <c r="F39" i="4" s="1"/>
  <c r="E38" i="4"/>
  <c r="F38" i="4" s="1"/>
  <c r="F37" i="4"/>
  <c r="E37" i="4"/>
  <c r="E36" i="4"/>
  <c r="F36" i="4" s="1"/>
  <c r="E35" i="4"/>
  <c r="F35" i="4" s="1"/>
  <c r="E34" i="4"/>
  <c r="F34" i="4" s="1"/>
  <c r="E33" i="4"/>
  <c r="F33" i="4" s="1"/>
  <c r="E32" i="4"/>
  <c r="F32" i="4" s="1"/>
  <c r="E31" i="4"/>
  <c r="F31" i="4" s="1"/>
  <c r="E30" i="4"/>
  <c r="F30" i="4" s="1"/>
  <c r="E29" i="4"/>
  <c r="F29" i="4" s="1"/>
  <c r="E28" i="4"/>
  <c r="F28" i="4" s="1"/>
  <c r="E27" i="4"/>
  <c r="F27" i="4" s="1"/>
  <c r="E26" i="4"/>
  <c r="F26" i="4" s="1"/>
  <c r="E25" i="4"/>
  <c r="F25" i="4" s="1"/>
  <c r="E24" i="4"/>
  <c r="F24" i="4" s="1"/>
  <c r="E23" i="4"/>
  <c r="F23" i="4" s="1"/>
  <c r="E22" i="4"/>
  <c r="F22" i="4" s="1"/>
  <c r="E21" i="4"/>
  <c r="F21" i="4" s="1"/>
  <c r="E20" i="4"/>
  <c r="F20" i="4" s="1"/>
  <c r="E19" i="4"/>
  <c r="F19" i="4" s="1"/>
  <c r="E18" i="4"/>
  <c r="F18" i="4" s="1"/>
  <c r="E17" i="4"/>
  <c r="F17" i="4" s="1"/>
  <c r="E16" i="4"/>
  <c r="F16" i="4" s="1"/>
  <c r="E15" i="4"/>
  <c r="F15" i="4" s="1"/>
  <c r="E14" i="4"/>
  <c r="F14" i="4" s="1"/>
  <c r="E13" i="4"/>
  <c r="F13" i="4" s="1"/>
  <c r="E12" i="4"/>
  <c r="F12" i="4" s="1"/>
  <c r="E11" i="4"/>
  <c r="F11" i="4" s="1"/>
  <c r="E10" i="4"/>
  <c r="F10" i="4" s="1"/>
  <c r="E9" i="4"/>
  <c r="F9" i="4" s="1"/>
  <c r="E8" i="4"/>
  <c r="F8" i="4" s="1"/>
  <c r="E7" i="4"/>
  <c r="E7" i="3"/>
  <c r="E8" i="3"/>
  <c r="F8" i="3" s="1"/>
  <c r="E9" i="3"/>
  <c r="F9" i="3" s="1"/>
  <c r="E10" i="3"/>
  <c r="F10" i="3" s="1"/>
  <c r="E11" i="3"/>
  <c r="F11" i="3" s="1"/>
  <c r="E12" i="3"/>
  <c r="F12" i="3" s="1"/>
  <c r="E13" i="3"/>
  <c r="F13" i="3" s="1"/>
  <c r="E14" i="3"/>
  <c r="F14" i="3" s="1"/>
  <c r="E15" i="3"/>
  <c r="F15" i="3" s="1"/>
  <c r="E16" i="3"/>
  <c r="F16" i="3" s="1"/>
  <c r="E17" i="3"/>
  <c r="F17" i="3" s="1"/>
  <c r="E18" i="3"/>
  <c r="F18" i="3" s="1"/>
  <c r="E19" i="3"/>
  <c r="C256" i="3"/>
  <c r="E255" i="3"/>
  <c r="F255" i="3" s="1"/>
  <c r="E254" i="3"/>
  <c r="F254" i="3" s="1"/>
  <c r="E253" i="3"/>
  <c r="F253" i="3" s="1"/>
  <c r="E252" i="3"/>
  <c r="F252" i="3" s="1"/>
  <c r="E251" i="3"/>
  <c r="F251" i="3" s="1"/>
  <c r="E250" i="3"/>
  <c r="F250" i="3" s="1"/>
  <c r="E249" i="3"/>
  <c r="F249" i="3" s="1"/>
  <c r="E248" i="3"/>
  <c r="F248" i="3" s="1"/>
  <c r="E247" i="3"/>
  <c r="F247" i="3" s="1"/>
  <c r="E246" i="3"/>
  <c r="F246" i="3" s="1"/>
  <c r="E245" i="3"/>
  <c r="F245" i="3" s="1"/>
  <c r="E244" i="3"/>
  <c r="F244" i="3" s="1"/>
  <c r="E243" i="3"/>
  <c r="F243" i="3" s="1"/>
  <c r="E242" i="3"/>
  <c r="F242" i="3" s="1"/>
  <c r="E241" i="3"/>
  <c r="F241" i="3" s="1"/>
  <c r="E240" i="3"/>
  <c r="F240" i="3" s="1"/>
  <c r="E239" i="3"/>
  <c r="F239" i="3" s="1"/>
  <c r="E238" i="3"/>
  <c r="F238" i="3" s="1"/>
  <c r="E237" i="3"/>
  <c r="F237" i="3" s="1"/>
  <c r="E236" i="3"/>
  <c r="F236" i="3" s="1"/>
  <c r="E235" i="3"/>
  <c r="F235" i="3" s="1"/>
  <c r="E234" i="3"/>
  <c r="F234" i="3" s="1"/>
  <c r="E233" i="3"/>
  <c r="F233" i="3" s="1"/>
  <c r="E232" i="3"/>
  <c r="F232" i="3" s="1"/>
  <c r="E231" i="3"/>
  <c r="F231" i="3" s="1"/>
  <c r="E230" i="3"/>
  <c r="F230" i="3" s="1"/>
  <c r="E229" i="3"/>
  <c r="F229" i="3" s="1"/>
  <c r="E228" i="3"/>
  <c r="F228" i="3" s="1"/>
  <c r="E227" i="3"/>
  <c r="F227" i="3" s="1"/>
  <c r="E226" i="3"/>
  <c r="F226" i="3" s="1"/>
  <c r="E225" i="3"/>
  <c r="F225" i="3" s="1"/>
  <c r="E224" i="3"/>
  <c r="F224" i="3" s="1"/>
  <c r="E223" i="3"/>
  <c r="F223" i="3" s="1"/>
  <c r="E222" i="3"/>
  <c r="F222" i="3" s="1"/>
  <c r="E221" i="3"/>
  <c r="F221" i="3" s="1"/>
  <c r="E220" i="3"/>
  <c r="F220" i="3" s="1"/>
  <c r="E219" i="3"/>
  <c r="F219" i="3" s="1"/>
  <c r="E218" i="3"/>
  <c r="F218" i="3" s="1"/>
  <c r="E217" i="3"/>
  <c r="F217" i="3" s="1"/>
  <c r="E216" i="3"/>
  <c r="F216" i="3" s="1"/>
  <c r="E215" i="3"/>
  <c r="F215" i="3" s="1"/>
  <c r="E214" i="3"/>
  <c r="F214" i="3" s="1"/>
  <c r="E213" i="3"/>
  <c r="F213" i="3" s="1"/>
  <c r="E212" i="3"/>
  <c r="F212" i="3" s="1"/>
  <c r="E211" i="3"/>
  <c r="F211" i="3" s="1"/>
  <c r="E210" i="3"/>
  <c r="F210" i="3" s="1"/>
  <c r="E209" i="3"/>
  <c r="F209" i="3" s="1"/>
  <c r="E208" i="3"/>
  <c r="F208" i="3" s="1"/>
  <c r="E207" i="3"/>
  <c r="F207" i="3" s="1"/>
  <c r="E206" i="3"/>
  <c r="F206" i="3" s="1"/>
  <c r="E205" i="3"/>
  <c r="F205" i="3" s="1"/>
  <c r="E204" i="3"/>
  <c r="F204" i="3" s="1"/>
  <c r="E203" i="3"/>
  <c r="F203" i="3" s="1"/>
  <c r="E202" i="3"/>
  <c r="F202" i="3" s="1"/>
  <c r="E201" i="3"/>
  <c r="F201" i="3" s="1"/>
  <c r="E200" i="3"/>
  <c r="F200" i="3" s="1"/>
  <c r="E199" i="3"/>
  <c r="F199" i="3" s="1"/>
  <c r="E198" i="3"/>
  <c r="F198" i="3" s="1"/>
  <c r="E197" i="3"/>
  <c r="F197" i="3" s="1"/>
  <c r="E196" i="3"/>
  <c r="F196" i="3" s="1"/>
  <c r="E195" i="3"/>
  <c r="F195" i="3" s="1"/>
  <c r="E194" i="3"/>
  <c r="F194" i="3" s="1"/>
  <c r="E193" i="3"/>
  <c r="F193" i="3" s="1"/>
  <c r="F192" i="3"/>
  <c r="E191" i="3"/>
  <c r="F191" i="3" s="1"/>
  <c r="E190" i="3"/>
  <c r="F190" i="3" s="1"/>
  <c r="E189" i="3"/>
  <c r="F189" i="3" s="1"/>
  <c r="E188" i="3"/>
  <c r="F188" i="3" s="1"/>
  <c r="E187" i="3"/>
  <c r="F187" i="3" s="1"/>
  <c r="E186" i="3"/>
  <c r="F186" i="3" s="1"/>
  <c r="E185" i="3"/>
  <c r="F185" i="3" s="1"/>
  <c r="E184" i="3"/>
  <c r="F184" i="3" s="1"/>
  <c r="E183" i="3"/>
  <c r="F183" i="3" s="1"/>
  <c r="E182" i="3"/>
  <c r="F182" i="3" s="1"/>
  <c r="E181" i="3"/>
  <c r="F181" i="3" s="1"/>
  <c r="E180" i="3"/>
  <c r="F180" i="3" s="1"/>
  <c r="E179" i="3"/>
  <c r="F179" i="3" s="1"/>
  <c r="E178" i="3"/>
  <c r="F178" i="3" s="1"/>
  <c r="E177" i="3"/>
  <c r="F177" i="3" s="1"/>
  <c r="E176" i="3"/>
  <c r="F176" i="3" s="1"/>
  <c r="E175" i="3"/>
  <c r="F175" i="3" s="1"/>
  <c r="E174" i="3"/>
  <c r="F174" i="3" s="1"/>
  <c r="E173" i="3"/>
  <c r="F173" i="3" s="1"/>
  <c r="E172" i="3"/>
  <c r="F172" i="3" s="1"/>
  <c r="E171" i="3"/>
  <c r="F171" i="3" s="1"/>
  <c r="E170" i="3"/>
  <c r="F170" i="3" s="1"/>
  <c r="E169" i="3"/>
  <c r="F169" i="3" s="1"/>
  <c r="E168" i="3"/>
  <c r="F168" i="3" s="1"/>
  <c r="E167" i="3"/>
  <c r="F167" i="3" s="1"/>
  <c r="E166" i="3"/>
  <c r="F166" i="3" s="1"/>
  <c r="E165" i="3"/>
  <c r="F165" i="3" s="1"/>
  <c r="E164" i="3"/>
  <c r="F164" i="3" s="1"/>
  <c r="E163" i="3"/>
  <c r="F163" i="3" s="1"/>
  <c r="E162" i="3"/>
  <c r="F162" i="3" s="1"/>
  <c r="E161" i="3"/>
  <c r="F161" i="3" s="1"/>
  <c r="E160" i="3"/>
  <c r="F160" i="3" s="1"/>
  <c r="E159" i="3"/>
  <c r="F159" i="3" s="1"/>
  <c r="E158" i="3"/>
  <c r="F158" i="3" s="1"/>
  <c r="E157" i="3"/>
  <c r="F157" i="3" s="1"/>
  <c r="E156" i="3"/>
  <c r="F156" i="3" s="1"/>
  <c r="E155" i="3"/>
  <c r="F155" i="3" s="1"/>
  <c r="E154" i="3"/>
  <c r="F154" i="3" s="1"/>
  <c r="E153" i="3"/>
  <c r="F153" i="3" s="1"/>
  <c r="E152" i="3"/>
  <c r="F152" i="3" s="1"/>
  <c r="E151" i="3"/>
  <c r="F151" i="3" s="1"/>
  <c r="E150" i="3"/>
  <c r="F150" i="3" s="1"/>
  <c r="E149" i="3"/>
  <c r="F149" i="3" s="1"/>
  <c r="E148" i="3"/>
  <c r="F148" i="3" s="1"/>
  <c r="E147" i="3"/>
  <c r="F147" i="3" s="1"/>
  <c r="E146" i="3"/>
  <c r="F146" i="3" s="1"/>
  <c r="E145" i="3"/>
  <c r="F145" i="3" s="1"/>
  <c r="E144" i="3"/>
  <c r="F144" i="3" s="1"/>
  <c r="E143" i="3"/>
  <c r="F143" i="3" s="1"/>
  <c r="E142" i="3"/>
  <c r="F142" i="3" s="1"/>
  <c r="E141" i="3"/>
  <c r="F141" i="3" s="1"/>
  <c r="E140" i="3"/>
  <c r="F140" i="3" s="1"/>
  <c r="E139" i="3"/>
  <c r="F139" i="3" s="1"/>
  <c r="E138" i="3"/>
  <c r="F138" i="3" s="1"/>
  <c r="E137" i="3"/>
  <c r="F137" i="3" s="1"/>
  <c r="E136" i="3"/>
  <c r="F136" i="3" s="1"/>
  <c r="E135" i="3"/>
  <c r="F135" i="3" s="1"/>
  <c r="E134" i="3"/>
  <c r="F134" i="3" s="1"/>
  <c r="E133" i="3"/>
  <c r="F133" i="3" s="1"/>
  <c r="E132" i="3"/>
  <c r="F132" i="3" s="1"/>
  <c r="E131" i="3"/>
  <c r="F131" i="3" s="1"/>
  <c r="E130" i="3"/>
  <c r="F130" i="3" s="1"/>
  <c r="E129" i="3"/>
  <c r="F129" i="3" s="1"/>
  <c r="E128" i="3"/>
  <c r="F128" i="3" s="1"/>
  <c r="E127" i="3"/>
  <c r="F127" i="3" s="1"/>
  <c r="E126" i="3"/>
  <c r="F126" i="3" s="1"/>
  <c r="E125" i="3"/>
  <c r="F125" i="3" s="1"/>
  <c r="E124" i="3"/>
  <c r="F124" i="3" s="1"/>
  <c r="E123" i="3"/>
  <c r="F123" i="3" s="1"/>
  <c r="E122" i="3"/>
  <c r="F122" i="3" s="1"/>
  <c r="E121" i="3"/>
  <c r="F121" i="3" s="1"/>
  <c r="E120" i="3"/>
  <c r="F120" i="3" s="1"/>
  <c r="E119" i="3"/>
  <c r="F119" i="3" s="1"/>
  <c r="E118" i="3"/>
  <c r="F118" i="3" s="1"/>
  <c r="E117" i="3"/>
  <c r="F117" i="3" s="1"/>
  <c r="E116" i="3"/>
  <c r="F116" i="3" s="1"/>
  <c r="E115" i="3"/>
  <c r="F115" i="3" s="1"/>
  <c r="E114" i="3"/>
  <c r="F114" i="3" s="1"/>
  <c r="E113" i="3"/>
  <c r="F113" i="3" s="1"/>
  <c r="E112" i="3"/>
  <c r="F112" i="3" s="1"/>
  <c r="E111" i="3"/>
  <c r="F111" i="3" s="1"/>
  <c r="E110" i="3"/>
  <c r="F110" i="3" s="1"/>
  <c r="E109" i="3"/>
  <c r="F109" i="3" s="1"/>
  <c r="E108" i="3"/>
  <c r="F108" i="3" s="1"/>
  <c r="E107" i="3"/>
  <c r="F107" i="3" s="1"/>
  <c r="E106" i="3"/>
  <c r="F106" i="3" s="1"/>
  <c r="E105" i="3"/>
  <c r="F105" i="3" s="1"/>
  <c r="E104" i="3"/>
  <c r="F104" i="3" s="1"/>
  <c r="E103" i="3"/>
  <c r="F103" i="3" s="1"/>
  <c r="E102" i="3"/>
  <c r="F102" i="3" s="1"/>
  <c r="E101" i="3"/>
  <c r="F101" i="3" s="1"/>
  <c r="E100" i="3"/>
  <c r="F100" i="3" s="1"/>
  <c r="E99" i="3"/>
  <c r="F99" i="3" s="1"/>
  <c r="E98" i="3"/>
  <c r="F98" i="3" s="1"/>
  <c r="E97" i="3"/>
  <c r="F97" i="3" s="1"/>
  <c r="E96" i="3"/>
  <c r="F96" i="3" s="1"/>
  <c r="E95" i="3"/>
  <c r="F95" i="3" s="1"/>
  <c r="E94" i="3"/>
  <c r="F94" i="3" s="1"/>
  <c r="E93" i="3"/>
  <c r="F93" i="3" s="1"/>
  <c r="E92" i="3"/>
  <c r="F92" i="3" s="1"/>
  <c r="E91" i="3"/>
  <c r="F91" i="3" s="1"/>
  <c r="E90" i="3"/>
  <c r="F90" i="3" s="1"/>
  <c r="E89" i="3"/>
  <c r="F89" i="3" s="1"/>
  <c r="E88" i="3"/>
  <c r="F88" i="3" s="1"/>
  <c r="E87" i="3"/>
  <c r="F87" i="3" s="1"/>
  <c r="E86" i="3"/>
  <c r="F86" i="3" s="1"/>
  <c r="E85" i="3"/>
  <c r="F85" i="3" s="1"/>
  <c r="E84" i="3"/>
  <c r="F84" i="3" s="1"/>
  <c r="E83" i="3"/>
  <c r="F83" i="3" s="1"/>
  <c r="E82" i="3"/>
  <c r="F82" i="3" s="1"/>
  <c r="E81" i="3"/>
  <c r="F81" i="3" s="1"/>
  <c r="E80" i="3"/>
  <c r="F80" i="3" s="1"/>
  <c r="E79" i="3"/>
  <c r="F79" i="3" s="1"/>
  <c r="E78" i="3"/>
  <c r="F78" i="3" s="1"/>
  <c r="E77" i="3"/>
  <c r="F77" i="3" s="1"/>
  <c r="E76" i="3"/>
  <c r="F76" i="3" s="1"/>
  <c r="E75" i="3"/>
  <c r="F75" i="3" s="1"/>
  <c r="E74" i="3"/>
  <c r="F74" i="3" s="1"/>
  <c r="E73" i="3"/>
  <c r="F73" i="3" s="1"/>
  <c r="E72" i="3"/>
  <c r="F72" i="3" s="1"/>
  <c r="E71" i="3"/>
  <c r="F71" i="3" s="1"/>
  <c r="E70" i="3"/>
  <c r="F70" i="3" s="1"/>
  <c r="E69" i="3"/>
  <c r="F69" i="3" s="1"/>
  <c r="E68" i="3"/>
  <c r="F68" i="3" s="1"/>
  <c r="E67" i="3"/>
  <c r="F67" i="3" s="1"/>
  <c r="E66" i="3"/>
  <c r="F66" i="3" s="1"/>
  <c r="E65" i="3"/>
  <c r="F65" i="3" s="1"/>
  <c r="E64" i="3"/>
  <c r="F64" i="3" s="1"/>
  <c r="E63" i="3"/>
  <c r="F63" i="3" s="1"/>
  <c r="E62" i="3"/>
  <c r="F62" i="3" s="1"/>
  <c r="E61" i="3"/>
  <c r="F61" i="3" s="1"/>
  <c r="E60" i="3"/>
  <c r="F60" i="3" s="1"/>
  <c r="E59" i="3"/>
  <c r="F59" i="3" s="1"/>
  <c r="E58" i="3"/>
  <c r="F58" i="3" s="1"/>
  <c r="E57" i="3"/>
  <c r="F57" i="3" s="1"/>
  <c r="E56" i="3"/>
  <c r="F56" i="3" s="1"/>
  <c r="E55" i="3"/>
  <c r="F55" i="3" s="1"/>
  <c r="E54" i="3"/>
  <c r="F54" i="3" s="1"/>
  <c r="E53" i="3"/>
  <c r="F53" i="3" s="1"/>
  <c r="E52" i="3"/>
  <c r="F52" i="3" s="1"/>
  <c r="E51" i="3"/>
  <c r="F51" i="3" s="1"/>
  <c r="E50" i="3"/>
  <c r="F50" i="3" s="1"/>
  <c r="E49" i="3"/>
  <c r="F49" i="3" s="1"/>
  <c r="E48" i="3"/>
  <c r="F48" i="3" s="1"/>
  <c r="E47" i="3"/>
  <c r="F47" i="3" s="1"/>
  <c r="E46" i="3"/>
  <c r="F46" i="3" s="1"/>
  <c r="E45" i="3"/>
  <c r="F45" i="3" s="1"/>
  <c r="E44" i="3"/>
  <c r="F44" i="3" s="1"/>
  <c r="E43" i="3"/>
  <c r="F43" i="3" s="1"/>
  <c r="E42" i="3"/>
  <c r="F42" i="3" s="1"/>
  <c r="E41" i="3"/>
  <c r="F41" i="3" s="1"/>
  <c r="E40" i="3"/>
  <c r="F40" i="3" s="1"/>
  <c r="E39" i="3"/>
  <c r="F39" i="3" s="1"/>
  <c r="E38" i="3"/>
  <c r="F38" i="3" s="1"/>
  <c r="E37" i="3"/>
  <c r="F37" i="3" s="1"/>
  <c r="E36" i="3"/>
  <c r="F36" i="3" s="1"/>
  <c r="E35" i="3"/>
  <c r="F35" i="3" s="1"/>
  <c r="E34" i="3"/>
  <c r="F34" i="3" s="1"/>
  <c r="E33" i="3"/>
  <c r="F33" i="3" s="1"/>
  <c r="E32" i="3"/>
  <c r="F32" i="3" s="1"/>
  <c r="E31" i="3"/>
  <c r="F31" i="3" s="1"/>
  <c r="E30" i="3"/>
  <c r="F30" i="3" s="1"/>
  <c r="E29" i="3"/>
  <c r="F29" i="3" s="1"/>
  <c r="E28" i="3"/>
  <c r="F28" i="3" s="1"/>
  <c r="E27" i="3"/>
  <c r="F27" i="3" s="1"/>
  <c r="E26" i="3"/>
  <c r="F26" i="3" s="1"/>
  <c r="E25" i="3"/>
  <c r="F25" i="3" s="1"/>
  <c r="E24" i="3"/>
  <c r="F24" i="3" s="1"/>
  <c r="E23" i="3"/>
  <c r="F23" i="3" s="1"/>
  <c r="E22" i="3"/>
  <c r="F22" i="3" s="1"/>
  <c r="E21" i="3"/>
  <c r="F21" i="3" s="1"/>
  <c r="E20" i="3"/>
  <c r="F20" i="3" s="1"/>
  <c r="F19" i="3"/>
  <c r="F7" i="3"/>
  <c r="E256" i="4" l="1"/>
  <c r="F7" i="4"/>
  <c r="F256" i="4" s="1"/>
  <c r="F256" i="3"/>
  <c r="E256" i="3"/>
  <c r="G4" i="2" l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90" i="2"/>
  <c r="I87" i="2" l="1"/>
  <c r="I86" i="2"/>
  <c r="I83" i="2"/>
  <c r="I82" i="2"/>
  <c r="I79" i="2"/>
  <c r="I78" i="2"/>
  <c r="I77" i="2"/>
  <c r="I75" i="2"/>
  <c r="I74" i="2"/>
  <c r="I73" i="2"/>
  <c r="I71" i="2"/>
  <c r="I70" i="2"/>
  <c r="I69" i="2"/>
  <c r="I67" i="2"/>
  <c r="I66" i="2"/>
  <c r="I65" i="2"/>
  <c r="I64" i="2"/>
  <c r="I63" i="2"/>
  <c r="I62" i="2"/>
  <c r="I61" i="2"/>
  <c r="I59" i="2"/>
  <c r="I58" i="2"/>
  <c r="I57" i="2"/>
  <c r="I55" i="2"/>
  <c r="I54" i="2"/>
  <c r="I52" i="2"/>
  <c r="I50" i="2"/>
  <c r="I49" i="2"/>
  <c r="I48" i="2"/>
  <c r="I47" i="2"/>
  <c r="I46" i="2"/>
  <c r="I45" i="2"/>
  <c r="I44" i="2"/>
  <c r="I43" i="2"/>
  <c r="I41" i="2"/>
  <c r="I39" i="2"/>
  <c r="I37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4" i="2"/>
  <c r="I13" i="2"/>
  <c r="I12" i="2"/>
  <c r="I9" i="2"/>
  <c r="I8" i="2"/>
  <c r="I7" i="2"/>
  <c r="I5" i="2"/>
  <c r="I4" i="2"/>
  <c r="G3" i="2"/>
  <c r="I3" i="2" s="1"/>
  <c r="I89" i="2" l="1"/>
</calcChain>
</file>

<file path=xl/sharedStrings.xml><?xml version="1.0" encoding="utf-8"?>
<sst xmlns="http://schemas.openxmlformats.org/spreadsheetml/2006/main" count="776" uniqueCount="471">
  <si>
    <t>N°</t>
  </si>
  <si>
    <t>APELLIDOS Y NOMBRES</t>
  </si>
  <si>
    <t>N° DE MEDIDOR</t>
  </si>
  <si>
    <t>DIFERENCIA CON LECTURA ANTERIOR</t>
  </si>
  <si>
    <t>COSTO DE
M³</t>
  </si>
  <si>
    <t>AGUIRRE QUISPE WILFREDO</t>
  </si>
  <si>
    <t>134</t>
  </si>
  <si>
    <t>F200021842</t>
  </si>
  <si>
    <t>ALHUAY PALOMINO JUANA</t>
  </si>
  <si>
    <t>181</t>
  </si>
  <si>
    <t>F200011808</t>
  </si>
  <si>
    <t>BERNAOLA DE PRADO FLORENCIA</t>
  </si>
  <si>
    <t>166</t>
  </si>
  <si>
    <t>F200001881</t>
  </si>
  <si>
    <t>CABALLERO CALZADO GLADYS VICTORIA</t>
  </si>
  <si>
    <t>108</t>
  </si>
  <si>
    <t>F200001883</t>
  </si>
  <si>
    <t>CABERO MENDOZA GLORIA</t>
  </si>
  <si>
    <t>37</t>
  </si>
  <si>
    <t>F200001893</t>
  </si>
  <si>
    <t>CAHUANA VDA DE DAVILA VICETINA</t>
  </si>
  <si>
    <t>159</t>
  </si>
  <si>
    <t>F200011814</t>
  </si>
  <si>
    <t>CALDERON VERA SEGUNDO</t>
  </si>
  <si>
    <t>184</t>
  </si>
  <si>
    <t>F200011801</t>
  </si>
  <si>
    <t>CAMPUZANO CABELLO VICENTA DONATILA</t>
  </si>
  <si>
    <t>CARDEÑA DE PACOMPIA ALEJANDRA</t>
  </si>
  <si>
    <t>13</t>
  </si>
  <si>
    <t>F200001900</t>
  </si>
  <si>
    <t>CARRASCO SALVATIERRA FELICITA</t>
  </si>
  <si>
    <t>75</t>
  </si>
  <si>
    <t>F200001886</t>
  </si>
  <si>
    <t>CARTAGENA BENJAMIN</t>
  </si>
  <si>
    <t>CARTAGENA PALOMINO ALVARO</t>
  </si>
  <si>
    <t>CASTRO GUTIERREZ AQUILA</t>
  </si>
  <si>
    <t>18</t>
  </si>
  <si>
    <t>F200001899</t>
  </si>
  <si>
    <t>CCOYLLO MAYHUASCA ALEXIS</t>
  </si>
  <si>
    <t>110</t>
  </si>
  <si>
    <t>F200003053</t>
  </si>
  <si>
    <t>CHALLCO  DE PALOMINO NICOLAZA</t>
  </si>
  <si>
    <t>194</t>
  </si>
  <si>
    <t>F200003054</t>
  </si>
  <si>
    <t>CHIRINOS CABRACANCHA LOURDES</t>
  </si>
  <si>
    <t>78</t>
  </si>
  <si>
    <t>20103715</t>
  </si>
  <si>
    <t>CHOQUE HUAMANI FELIX CEFERINO</t>
  </si>
  <si>
    <t>93</t>
  </si>
  <si>
    <t>F200003058</t>
  </si>
  <si>
    <t>CORDOVA PEREZ MARCO ANTONI0</t>
  </si>
  <si>
    <t>94</t>
  </si>
  <si>
    <t>CULE CARRASCO MONICA</t>
  </si>
  <si>
    <t>171</t>
  </si>
  <si>
    <t>F200003043</t>
  </si>
  <si>
    <t>DE LA CRUZ ESTEBAN JOSE</t>
  </si>
  <si>
    <t>125</t>
  </si>
  <si>
    <t>F200003051</t>
  </si>
  <si>
    <t>ESTELA SUAREZ ELVIA</t>
  </si>
  <si>
    <t>95</t>
  </si>
  <si>
    <t>F200003057</t>
  </si>
  <si>
    <t>ESTRADA  OSORIO DONATO</t>
  </si>
  <si>
    <t>162</t>
  </si>
  <si>
    <t>F200021852</t>
  </si>
  <si>
    <t>ROMERO FLORES EDNA</t>
  </si>
  <si>
    <t>151</t>
  </si>
  <si>
    <t>F200021857</t>
  </si>
  <si>
    <t>FLORES FLORES IRENE</t>
  </si>
  <si>
    <t>152</t>
  </si>
  <si>
    <t>F200021859</t>
  </si>
  <si>
    <t>FLORES FLORES UMBELINA</t>
  </si>
  <si>
    <t>163</t>
  </si>
  <si>
    <t>F200021846</t>
  </si>
  <si>
    <t>GAVILAN MOSQUERA NORMA</t>
  </si>
  <si>
    <t>107</t>
  </si>
  <si>
    <t>F200003045</t>
  </si>
  <si>
    <t>GELDRES REVILLA MIGUEL</t>
  </si>
  <si>
    <t>109</t>
  </si>
  <si>
    <t>F200003046</t>
  </si>
  <si>
    <t>GUTIERREZ CASTILLO JORGE</t>
  </si>
  <si>
    <t>191</t>
  </si>
  <si>
    <t>F200001897</t>
  </si>
  <si>
    <t>GUTIERREZ FLORES ROGER</t>
  </si>
  <si>
    <t>39</t>
  </si>
  <si>
    <t>F200001891</t>
  </si>
  <si>
    <t>HUAYHUALLA DE LOPEZ DONATILA</t>
  </si>
  <si>
    <t>113</t>
  </si>
  <si>
    <t>F200003055</t>
  </si>
  <si>
    <t xml:space="preserve">JUAREZ LEONOR </t>
  </si>
  <si>
    <t>LOPEZ HUAYHUALLA NELLY</t>
  </si>
  <si>
    <t>169</t>
  </si>
  <si>
    <t>F200011820</t>
  </si>
  <si>
    <t>LUJAN GONZALES MARINO</t>
  </si>
  <si>
    <t>178</t>
  </si>
  <si>
    <t>F200011810</t>
  </si>
  <si>
    <t>MALLQUI JULCA ALEJANDRINO</t>
  </si>
  <si>
    <t>192</t>
  </si>
  <si>
    <t>F200001890</t>
  </si>
  <si>
    <t>MARIN HUAMAN MARIA YNES</t>
  </si>
  <si>
    <t>31</t>
  </si>
  <si>
    <t>F200001887</t>
  </si>
  <si>
    <t>MARIN ILIZARDE BASILISA</t>
  </si>
  <si>
    <t>96</t>
  </si>
  <si>
    <t>F200001888</t>
  </si>
  <si>
    <t>MAYHUASCA BASTIDAS CLUDDY</t>
  </si>
  <si>
    <t>135</t>
  </si>
  <si>
    <t>F200021854</t>
  </si>
  <si>
    <t>MAYHUASCA BASTIDAS MARILU</t>
  </si>
  <si>
    <t>186</t>
  </si>
  <si>
    <t>F200011815</t>
  </si>
  <si>
    <t>MAYHUASCA BASTIDAS ULISES</t>
  </si>
  <si>
    <t>188</t>
  </si>
  <si>
    <t>F200011803</t>
  </si>
  <si>
    <t>MAYTA COLQUI VIOLETA</t>
  </si>
  <si>
    <t>158</t>
  </si>
  <si>
    <t>F200011809</t>
  </si>
  <si>
    <t>MEDINA MEDRANO JUAN CARLOS</t>
  </si>
  <si>
    <t>MEJIA DE ARCE VICTORIA</t>
  </si>
  <si>
    <t>120</t>
  </si>
  <si>
    <t>F200003056</t>
  </si>
  <si>
    <t>MELO BACA MARINA</t>
  </si>
  <si>
    <t>122</t>
  </si>
  <si>
    <t>F200003042</t>
  </si>
  <si>
    <t>MONTALVO NEYRA RUFINA</t>
  </si>
  <si>
    <t>38</t>
  </si>
  <si>
    <t>F200001882</t>
  </si>
  <si>
    <t>OJEDA CAMPOS EDSON JUNIOR</t>
  </si>
  <si>
    <t>133</t>
  </si>
  <si>
    <t>F200021841</t>
  </si>
  <si>
    <t>OQUENDO QUISPE JESSICA</t>
  </si>
  <si>
    <t>172</t>
  </si>
  <si>
    <t>F200011816</t>
  </si>
  <si>
    <t>NICHO LOPEZ ESTHEPANY CARICIA</t>
  </si>
  <si>
    <t>144</t>
  </si>
  <si>
    <t>F200021844</t>
  </si>
  <si>
    <t>ORTIZ ÑAUPA WELINTONH</t>
  </si>
  <si>
    <t>185</t>
  </si>
  <si>
    <t>F220314064</t>
  </si>
  <si>
    <t>PALOMINO HANCCO CECILIA</t>
  </si>
  <si>
    <t>164</t>
  </si>
  <si>
    <t>F200003052</t>
  </si>
  <si>
    <t>PALOMINO TENORIO SILVIO EDUARDO</t>
  </si>
  <si>
    <t>195</t>
  </si>
  <si>
    <t>F200001885</t>
  </si>
  <si>
    <t>PALOMINO VELASQUEZ  EUSEBIO</t>
  </si>
  <si>
    <t>147</t>
  </si>
  <si>
    <t>F200021850</t>
  </si>
  <si>
    <t>QUISPE CONSA MIGUEL</t>
  </si>
  <si>
    <t>115</t>
  </si>
  <si>
    <t>F200003050</t>
  </si>
  <si>
    <t>QUISPE CONZA VIDAL</t>
  </si>
  <si>
    <t>90</t>
  </si>
  <si>
    <t>F200001884</t>
  </si>
  <si>
    <t>QUISPE COPAYO ELIO CARLOS</t>
  </si>
  <si>
    <t>114</t>
  </si>
  <si>
    <t>F200021853</t>
  </si>
  <si>
    <t>QUISPE DURAN ADRIANA</t>
  </si>
  <si>
    <t>157</t>
  </si>
  <si>
    <t>F200011819</t>
  </si>
  <si>
    <t>QUISPE ORTEGA ROSA</t>
  </si>
  <si>
    <t>175</t>
  </si>
  <si>
    <t>F200011817</t>
  </si>
  <si>
    <t>HERMELINDA MAYTA MATOS</t>
  </si>
  <si>
    <t>88</t>
  </si>
  <si>
    <t>F200001889</t>
  </si>
  <si>
    <t>RAMOS CUEVA PEDRO</t>
  </si>
  <si>
    <t>131</t>
  </si>
  <si>
    <t>F200021845</t>
  </si>
  <si>
    <t>REYES PEREZ DE VALENCIA NANCY</t>
  </si>
  <si>
    <t>127</t>
  </si>
  <si>
    <t>F200021860</t>
  </si>
  <si>
    <t>RIVERA FERNANDEZ MARINA</t>
  </si>
  <si>
    <t>142</t>
  </si>
  <si>
    <t>F200021858</t>
  </si>
  <si>
    <t>RODRIGUEZ MORENO NORA</t>
  </si>
  <si>
    <t>180</t>
  </si>
  <si>
    <t>F200011812</t>
  </si>
  <si>
    <t>ROJAS CORNEJO JHON</t>
  </si>
  <si>
    <t>99</t>
  </si>
  <si>
    <t>F200001892</t>
  </si>
  <si>
    <t xml:space="preserve">ROMERO YSLA LIDIO                     </t>
  </si>
  <si>
    <t>156</t>
  </si>
  <si>
    <t>F200011806</t>
  </si>
  <si>
    <t>MALLQUI LIZBETH</t>
  </si>
  <si>
    <t>130</t>
  </si>
  <si>
    <t>F200021847</t>
  </si>
  <si>
    <t>SANCHEZ RODRIGUEZ JUDITH</t>
  </si>
  <si>
    <t>190</t>
  </si>
  <si>
    <t>F200003049</t>
  </si>
  <si>
    <t>SALVATIERRA AYALA JUAN</t>
  </si>
  <si>
    <t>148</t>
  </si>
  <si>
    <t>F200021848</t>
  </si>
  <si>
    <t>SERMEÑO QUISPE IGNACIO</t>
  </si>
  <si>
    <t>20</t>
  </si>
  <si>
    <t>F200001896</t>
  </si>
  <si>
    <t>TINEO CABRERA SONIA</t>
  </si>
  <si>
    <t>112</t>
  </si>
  <si>
    <t>F200003059</t>
  </si>
  <si>
    <t>TELLO QUINTANA EDGAR</t>
  </si>
  <si>
    <t>86</t>
  </si>
  <si>
    <t>F200001895</t>
  </si>
  <si>
    <t>TITO FALCON JESUSA</t>
  </si>
  <si>
    <t>105</t>
  </si>
  <si>
    <t>F200011818</t>
  </si>
  <si>
    <t>TORRES ASTO FRANCISCO</t>
  </si>
  <si>
    <t>189</t>
  </si>
  <si>
    <t>F200011811</t>
  </si>
  <si>
    <t>TORRES ASTO NERY (FALLE.)</t>
  </si>
  <si>
    <t>137</t>
  </si>
  <si>
    <t>F200011804</t>
  </si>
  <si>
    <t>URETA CRUZ  EMILIA</t>
  </si>
  <si>
    <t>8</t>
  </si>
  <si>
    <t>F200021849</t>
  </si>
  <si>
    <t>VALENCIA TOMAS VICENTE</t>
  </si>
  <si>
    <t>116</t>
  </si>
  <si>
    <t>F200003041</t>
  </si>
  <si>
    <t>VALLEJOS HUAMAN MARIA ANA</t>
  </si>
  <si>
    <t>129</t>
  </si>
  <si>
    <t>F200021855</t>
  </si>
  <si>
    <t>VARA CASTRO ERNESTINA</t>
  </si>
  <si>
    <t>121</t>
  </si>
  <si>
    <t>F200003047</t>
  </si>
  <si>
    <t>VARA DE ROSAS ALICIA</t>
  </si>
  <si>
    <t>118</t>
  </si>
  <si>
    <t>F200003048</t>
  </si>
  <si>
    <t>VILCHEZ GUTARRA LOURDES</t>
  </si>
  <si>
    <t>91</t>
  </si>
  <si>
    <t>F200001894</t>
  </si>
  <si>
    <t>YRUPAILLA ANAMPA ISIDRO BELISARIO</t>
  </si>
  <si>
    <t>111</t>
  </si>
  <si>
    <t>F200021856</t>
  </si>
  <si>
    <t>HALIRE YUCRA JOSUE</t>
  </si>
  <si>
    <t>100</t>
  </si>
  <si>
    <t>F200001898</t>
  </si>
  <si>
    <t>CAHUANA PUCURIMAY ALEX</t>
  </si>
  <si>
    <t>67E</t>
  </si>
  <si>
    <t>F200003044</t>
  </si>
  <si>
    <t>ZAPATA RIVERA ROSANA</t>
  </si>
  <si>
    <t>141</t>
  </si>
  <si>
    <t>F200021851</t>
  </si>
  <si>
    <t>ZAPATA VELIT VICTORIANO</t>
  </si>
  <si>
    <t>145</t>
  </si>
  <si>
    <t>F200021843</t>
  </si>
  <si>
    <t>ARMESTAR GODOS JUANA</t>
  </si>
  <si>
    <t>F200003060</t>
  </si>
  <si>
    <t>SIRLEY KARINA COLINA CORREA</t>
  </si>
  <si>
    <t>32</t>
  </si>
  <si>
    <t>GOMEZ MITMA MARIBEL</t>
  </si>
  <si>
    <t>HERRERA PEVES ROMINA DEL CARMEN</t>
  </si>
  <si>
    <t>BAÑO</t>
  </si>
  <si>
    <t xml:space="preserve"> </t>
  </si>
  <si>
    <t>DESCRIPCIÓN</t>
  </si>
  <si>
    <t>COLOR</t>
  </si>
  <si>
    <t>NO USA SU MEDIDOR</t>
  </si>
  <si>
    <t>PARTE CONSTRUIDO</t>
  </si>
  <si>
    <t>LECTURA SETIEMBRE 2025</t>
  </si>
  <si>
    <t>PUESTO/
STAND</t>
  </si>
  <si>
    <t>TOTAL OCTUBRE 2025</t>
  </si>
  <si>
    <t>TOTAL  CON MEDIDORES</t>
  </si>
  <si>
    <t>LECTURA OCTUBRE 2025</t>
  </si>
  <si>
    <t xml:space="preserve"> AGUA A COBRAR DEL MES DE SETIEMBRE 2025</t>
  </si>
  <si>
    <t>CONSUMO BASICO</t>
  </si>
  <si>
    <t>AUMENTO O DECREMENTO POR CLIENTE</t>
  </si>
  <si>
    <t>TOTAL</t>
  </si>
  <si>
    <t>REDONDEO</t>
  </si>
  <si>
    <t>AGUIRRE QUISPE WILFREDO GILMER</t>
  </si>
  <si>
    <t>ALARCON ANAMPA BETSY</t>
  </si>
  <si>
    <t>ALARCON ANAMPA NANCY GUISELA</t>
  </si>
  <si>
    <t>ALHUAY PALOMINO DE ALHUAY JUANA</t>
  </si>
  <si>
    <t>ALVAREZ CAMPOS ROLANDO</t>
  </si>
  <si>
    <t>ALVAREZ CAMPOS VICTOR</t>
  </si>
  <si>
    <t>ALVAREZ MARIN MARIANELA</t>
  </si>
  <si>
    <t xml:space="preserve">ANAMPA CORAHUA CLEMENCIA MIGDONIA </t>
  </si>
  <si>
    <t>ANCCO LEON VALENTINA</t>
  </si>
  <si>
    <t>ATANASIO ORTEGA MAXIMILIANA</t>
  </si>
  <si>
    <t>AYALA HUASHUAYO NORMA GLADYS</t>
  </si>
  <si>
    <t>AYALA TABOADA ELISEO</t>
  </si>
  <si>
    <t>BASTIDAS MEDINA DINA</t>
  </si>
  <si>
    <t>BASTIDAS MEDINA HERMENEGILDO</t>
  </si>
  <si>
    <t>BRAVO HEREDIA ANA MARITZA</t>
  </si>
  <si>
    <t>BURGA CARRASCO ELIDA</t>
  </si>
  <si>
    <t>CAHUANA VDA DE DAVILA VICENTINA</t>
  </si>
  <si>
    <t>CAJALEON CARRASCO LUIS ENRIQUE</t>
  </si>
  <si>
    <t xml:space="preserve">CALDERON TORRES ALDO EDGAR </t>
  </si>
  <si>
    <t>CALDERON VERA SEGUNDO ALCIDES</t>
  </si>
  <si>
    <t>CALLE ALVAREZ MARCO</t>
  </si>
  <si>
    <t>CALLE CALLE FIDEL</t>
  </si>
  <si>
    <t>CARDEÑA VILLAFUERTE ALEJANDRINA</t>
  </si>
  <si>
    <t>CARPIO VASQUEZ TEOFILA</t>
  </si>
  <si>
    <t xml:space="preserve">CARTAGENA MAMANI BENJAMIN D </t>
  </si>
  <si>
    <t>CARTAGENA PALOMINO ALVARO BENJAMIN</t>
  </si>
  <si>
    <t>CASTRO ALEJANDRO HORTENCIA LUCILA</t>
  </si>
  <si>
    <t xml:space="preserve">CASTRO GUTIERREZ AQUILA LUCRECIA </t>
  </si>
  <si>
    <t>CCOYLLO CHINCHAY DANIEL MASIA</t>
  </si>
  <si>
    <t>CCOYLLO CHINCHAY JUDITH NATY</t>
  </si>
  <si>
    <t>CCOYLLO POLANCO DANIEL</t>
  </si>
  <si>
    <t>CCOYLLO POLANCO GERMAN</t>
  </si>
  <si>
    <t>CERDA YUPANQUI CARMEN ROSA</t>
  </si>
  <si>
    <t>CHALLCO DE PALOMINO NICOLAZA</t>
  </si>
  <si>
    <t>CHIRINOS CABRACANCHA MARIA LOURDES</t>
  </si>
  <si>
    <t>CHOQUE ALATA MARTHA NELIDA</t>
  </si>
  <si>
    <t>CHUCHULLO HACHA JOSE PEDRO</t>
  </si>
  <si>
    <t>CLEMENTE ALLER CIRILA</t>
  </si>
  <si>
    <t>CORDOVA PEREZ MARCO ANTONIO</t>
  </si>
  <si>
    <t>CORNEJO DONATO DE CORDOVA ESTELA PILAR</t>
  </si>
  <si>
    <t>CRUZ JARAMILLO LUIS</t>
  </si>
  <si>
    <t>CUCHO DE LA CRUZ SAUL</t>
  </si>
  <si>
    <t>CUEVAS MAYO ENRIQUE</t>
  </si>
  <si>
    <t>CULE CARRASCO HAYDEE MONICA</t>
  </si>
  <si>
    <t>CUSI LAURA SONIA</t>
  </si>
  <si>
    <t>CUYA SANCHEZ ALBERTO</t>
  </si>
  <si>
    <t>DAVILA  CAHUANA MARISOL</t>
  </si>
  <si>
    <t>DELA CRUZ ESTEBAN JOSE</t>
  </si>
  <si>
    <t xml:space="preserve">ESPEJO URBANO ROSA FLORENCIA </t>
  </si>
  <si>
    <t>ESTRADA OSORIO DONATO</t>
  </si>
  <si>
    <t>FALCON CHIARA HECTOR</t>
  </si>
  <si>
    <t>FLORES FLORES IRENE BERTILIA</t>
  </si>
  <si>
    <t>FLORES FLORES UMBELINA DORA</t>
  </si>
  <si>
    <t>FLORES YATO FRANCISCA DOLORES</t>
  </si>
  <si>
    <t>GUTIERREZ CASTILLO TERESA JESUS</t>
  </si>
  <si>
    <t>GUTIERREZ CASTRO JORGE RICARDO</t>
  </si>
  <si>
    <t>GUTIERREZ FLORES ROGER REYNAN</t>
  </si>
  <si>
    <t>HEREDIA MUÑOZ DE BRAVO MARIA</t>
  </si>
  <si>
    <t>HUAMANI ROMERO DOMITILA</t>
  </si>
  <si>
    <t>HUASHUAYO GOMEZ EUDOSIA</t>
  </si>
  <si>
    <t>JARA ALVAREZ CRISTALINA</t>
  </si>
  <si>
    <t>JARA ALVAREZ MARIA CENAIDA</t>
  </si>
  <si>
    <t>JARA ALVAREZ SANTOS PEDRO</t>
  </si>
  <si>
    <t>JUAREZ CUELLAR LEONOR</t>
  </si>
  <si>
    <t>LAGOS LUNA  DE LEIVA ZAIDA</t>
  </si>
  <si>
    <t>LIMAS VARGAS CARMEN ROSA</t>
  </si>
  <si>
    <t>LOPEZ HUAYHUALLA NELLY NATIVIDAD</t>
  </si>
  <si>
    <t>LUJAN GONZALES MARINO JUAN</t>
  </si>
  <si>
    <t xml:space="preserve">MALLQUI JULCA ALEJANDRINO TEODORO </t>
  </si>
  <si>
    <t>MORENO   FREDY</t>
  </si>
  <si>
    <t>MARIN HUAMAN DE SALAMANCA MARIA YNES</t>
  </si>
  <si>
    <t>HUAMAN YNCA VISITACION</t>
  </si>
  <si>
    <t xml:space="preserve">MARIN LONDOÑE EDUARDO SANTIAGO </t>
  </si>
  <si>
    <t>MARIN LONDOÑE MARIA LUZ</t>
  </si>
  <si>
    <t>MAYHUASCA BASTIDAS GLUDDY</t>
  </si>
  <si>
    <t>MAYTA MATOS HERMELINDA</t>
  </si>
  <si>
    <t>MEDINA GUTIERREZ HONORATA</t>
  </si>
  <si>
    <t>MEDINA JOTA DE CACERES VICENTA</t>
  </si>
  <si>
    <t>MEJIA HUAMAN ÑAHUE DE ARCE VICTORIA</t>
  </si>
  <si>
    <t>MESIAS CRUZ GLADYS</t>
  </si>
  <si>
    <t>MONTALVO NEIRA DE SALAS  RUFINA VICEN</t>
  </si>
  <si>
    <t>ÑAHUI RUIZ AURELIO</t>
  </si>
  <si>
    <t>OJEDA CAMPOS EDSON</t>
  </si>
  <si>
    <t>OQUENDO ARISACA MELESIA ROSARIO</t>
  </si>
  <si>
    <t>OQUENDO QUISPE MIGUEL</t>
  </si>
  <si>
    <t>PACOMPIA CARDEÑA GIOVANNI</t>
  </si>
  <si>
    <t>PALOMINO VELASQUEZ EUSEBIO</t>
  </si>
  <si>
    <t>PAREDES FLORES  OSCAR ALFREDO</t>
  </si>
  <si>
    <t>PAREDES MORALES DIANA VONNET</t>
  </si>
  <si>
    <t>PAREDES MORALES OSCAR MARTIN</t>
  </si>
  <si>
    <t>PEREZ PONCE DE ROMERO SATURNINA</t>
  </si>
  <si>
    <t>PEREZ QUISPE EPIFANIA RICARDINA</t>
  </si>
  <si>
    <t>PITTMAN CONCEPCION NELLY MARIA</t>
  </si>
  <si>
    <t>PORRAS DE OROYA OLIMPIA</t>
  </si>
  <si>
    <t>PRADO LLANCARI ZOZIMA</t>
  </si>
  <si>
    <t>QUINTANA VIDAL GLICERIO</t>
  </si>
  <si>
    <t>QUISPE COPAYO  ELIO CARLOS</t>
  </si>
  <si>
    <t>QUISPE DE PALOMINO DOROTEA</t>
  </si>
  <si>
    <t>QUISPE ORTEGA ROSA CARMEN</t>
  </si>
  <si>
    <t>QUISPE URIBE LUCIANO</t>
  </si>
  <si>
    <t>RICSE SAYES TERESA REYNA</t>
  </si>
  <si>
    <t>RIOS RAMOS MANUEL ELOY</t>
  </si>
  <si>
    <t>RIVERA CALLPA JUANA</t>
  </si>
  <si>
    <t>RIVERA FERNANDEZ MARINA MAXILIANA</t>
  </si>
  <si>
    <t>ROCHA GAVILAN JULIA</t>
  </si>
  <si>
    <t>RODRIGUEZ ARQUIÑEGO IDILIO FELIX</t>
  </si>
  <si>
    <t>RODRIGUEZ CORDOVA MARCOS</t>
  </si>
  <si>
    <t>ROJAS CORNEJO ERICK</t>
  </si>
  <si>
    <t>ROJAS IGNACIO LIONILA</t>
  </si>
  <si>
    <t xml:space="preserve">ROMERO FLORES EDDNA </t>
  </si>
  <si>
    <t>ROMERO NINAHUAMAN JAVIER</t>
  </si>
  <si>
    <t>ROMERO YSLA ETEBAN LIDIO</t>
  </si>
  <si>
    <t>MALQUI LOPEZ LIZBETH</t>
  </si>
  <si>
    <t>SAAVEDRA CURIPUMA LUIS HUMBERTO</t>
  </si>
  <si>
    <t>SALAS MONTALVO RUTH</t>
  </si>
  <si>
    <t>SALAZAR CONCEPCION VICTORIA</t>
  </si>
  <si>
    <t>SANCHEZ ASTO DE TORRES YOLANDA</t>
  </si>
  <si>
    <t>SANCHEZ SOTOS LUCIA</t>
  </si>
  <si>
    <t>SANTILLAN MESIA ZOILA</t>
  </si>
  <si>
    <t>SEGOVIA VILLAFUERTE DE PONCE</t>
  </si>
  <si>
    <t>SORIA SANCHEZ EDMUNDO</t>
  </si>
  <si>
    <t>SOSA VALDIVIA JUANA</t>
  </si>
  <si>
    <t>SOTO GALLEGO DE VALERO</t>
  </si>
  <si>
    <t>SOTO VARGAS DE FLORES MARIA DEL CARMEN</t>
  </si>
  <si>
    <t>TACURI MONTESINOS VILMA</t>
  </si>
  <si>
    <t>TAIPE OQUENDO EUGENIO JOEL</t>
  </si>
  <si>
    <t>TELLO ALVAREZ MARINO</t>
  </si>
  <si>
    <t>TINEO CABRERA OLGA</t>
  </si>
  <si>
    <t>TINTAYA CAHUANA PATRICIA</t>
  </si>
  <si>
    <t>TITO FALCON JESUSA RICARDINA</t>
  </si>
  <si>
    <t>TORRES ANYOSA MARCELINO</t>
  </si>
  <si>
    <t>TORRES ASTO NERY (F)</t>
  </si>
  <si>
    <t>TORRES ASTO VDA DE CALDERON JUANA</t>
  </si>
  <si>
    <t>URETA CRUZ EMILIA</t>
  </si>
  <si>
    <t>VALERO PARIONA MAXIMO</t>
  </si>
  <si>
    <t>VALERO SOTO  MAXIMO ELIAS</t>
  </si>
  <si>
    <t>VALERO SOTO WILLY PERSEO</t>
  </si>
  <si>
    <t>VALVERDE ROSAS JUAN MARCELINO</t>
  </si>
  <si>
    <t>VARA CASTRO ERNESTINA(F)</t>
  </si>
  <si>
    <t>VARA DE ROSAS ALICIA VALENTINA</t>
  </si>
  <si>
    <t>VICENTE CALIXTO JOSE ALBERTO</t>
  </si>
  <si>
    <t>VILCHEZ GUATARRA LOURDES FANNY</t>
  </si>
  <si>
    <t xml:space="preserve">VILLANUEVA INGA DE VASQUEZ ROSA </t>
  </si>
  <si>
    <t>YAURIMUCHA RIMACHI MARCOS</t>
  </si>
  <si>
    <t>YRUPAILLA FALCON NILDA ADELINA</t>
  </si>
  <si>
    <t xml:space="preserve">INQUILINOS </t>
  </si>
  <si>
    <t>AIRE MALPARTIDA HECTOR</t>
  </si>
  <si>
    <t>ALARCON ESPINOZA MARTHA</t>
  </si>
  <si>
    <t>ALVAREZ  CHIARA EEDGAR</t>
  </si>
  <si>
    <t>ENCARNACION GLADYS</t>
  </si>
  <si>
    <t>ANCHAYA HUAMAN ABEL</t>
  </si>
  <si>
    <t>ARMESTAR GODOS JUANA JAKELINE</t>
  </si>
  <si>
    <t>ARREDONDO GARCIA,GLAGYS</t>
  </si>
  <si>
    <t>AVILA CHAVEZ ROSA</t>
  </si>
  <si>
    <t xml:space="preserve">AYALA HUASHUAYO MARLENE  ESTER </t>
  </si>
  <si>
    <t>AZURZA TRIBIÑOS DAYSI ELIZABETH</t>
  </si>
  <si>
    <t>BELLIDO DE LA TORRES DE CHUQUITAIPE</t>
  </si>
  <si>
    <t>BURGA CARRASCO ELMER</t>
  </si>
  <si>
    <t>BUSTAMANTE CHILON GRACIELA</t>
  </si>
  <si>
    <t>CCENCHO CARRASCO DAVID VICENTE</t>
  </si>
  <si>
    <t>CASTILLO ZAPATA ASAEL</t>
  </si>
  <si>
    <t xml:space="preserve">CASTRO RODRIGUEZ YANET  CONSUELO </t>
  </si>
  <si>
    <t>CERDAN MUÑOZ MARIA DOMINGA</t>
  </si>
  <si>
    <t>CERVANTES GARCIA CARLOS</t>
  </si>
  <si>
    <t xml:space="preserve">CHAMBI APAZA SIMONA </t>
  </si>
  <si>
    <t>CHOQUEHUANCA HUAMAN DERSE</t>
  </si>
  <si>
    <t>CONDORI MAMANI LIDIA</t>
  </si>
  <si>
    <t>DAVILA HILARES YESENIA BEATRIZ</t>
  </si>
  <si>
    <t>DURAND CHACON  BLANCA</t>
  </si>
  <si>
    <t>ESPARTA CARDENAS JULIO</t>
  </si>
  <si>
    <t>GARCIA MEDINA CLEMENCIA</t>
  </si>
  <si>
    <t>GOMERO DULANTO MARGARITA</t>
  </si>
  <si>
    <t>HERNANDEZ HERNANDEZ LILIBETH MARIA</t>
  </si>
  <si>
    <t>LUJAN HUERTA DEISSY YESENIA</t>
  </si>
  <si>
    <t>AZURZA TRIBIÑOS SILVIA FABIOLA</t>
  </si>
  <si>
    <t>LA ROSA LOPEZ MARGARITA</t>
  </si>
  <si>
    <t xml:space="preserve">LAPAS SALAZAR ANA MARIA </t>
  </si>
  <si>
    <t>CARRASCO PICHIHUA MERY RUTH</t>
  </si>
  <si>
    <t>LEON RODRIGUEZ ANGIE</t>
  </si>
  <si>
    <t>LEONARDO AMARILLO ROSANA PILAR</t>
  </si>
  <si>
    <t xml:space="preserve">LOPEZ CERRON HAYDEE </t>
  </si>
  <si>
    <t>MALLMA CONDORI LIZBETH</t>
  </si>
  <si>
    <t>MAYHUASCA BASTIDAS DORIS</t>
  </si>
  <si>
    <t>MIRANDA CACERES FELICITA</t>
  </si>
  <si>
    <t>MUJICA PALOMINO SANDRA</t>
  </si>
  <si>
    <t>CHOQUEHUANCA HUAMAN DAVID</t>
  </si>
  <si>
    <t>PALOMINO CUSI ROSA</t>
  </si>
  <si>
    <t xml:space="preserve">PEÑA TERESA DE VILLANUEVA </t>
  </si>
  <si>
    <t xml:space="preserve">PFUÑO RAMOS VICTOR RAUL </t>
  </si>
  <si>
    <t>PRADO CATAÑO MIRIAM MILAGROS</t>
  </si>
  <si>
    <t>QUISPE CHAVEZ MARISOL</t>
  </si>
  <si>
    <t xml:space="preserve">QUISPE MAMANI PATRICIA PAOLA </t>
  </si>
  <si>
    <t>REBAZA REBAZA CATALINA</t>
  </si>
  <si>
    <t>SALAZAR VASQUEZ MARIA</t>
  </si>
  <si>
    <t>SANCHEZ PRADO DIANA ZENADIA</t>
  </si>
  <si>
    <t>SEGUNDO ELVIS SATALAYA TAPULIMA</t>
  </si>
  <si>
    <t xml:space="preserve">SALDAÑA DONAYRE JESSICA PATRICIA </t>
  </si>
  <si>
    <t>OBREGON CASTILLOFERNANDO MARTIN</t>
  </si>
  <si>
    <t xml:space="preserve">YAURIMUCHA RIMACHI URSULA </t>
  </si>
  <si>
    <t>FLORES LAREDO DOMINICIA LUCIANA</t>
  </si>
  <si>
    <t>AYALA ARIAS HILARY ESPERANZA</t>
  </si>
  <si>
    <t xml:space="preserve">YAUYOS MENDIETA MARLENE </t>
  </si>
  <si>
    <t>ZANABRIA  LADERA DE COCHACHI  LILIA RUFINA</t>
  </si>
  <si>
    <t>RECIBO</t>
  </si>
  <si>
    <t>DIFERENCIA POR CONSUMO DEL CLIENTE</t>
  </si>
  <si>
    <t>COOPERATIVA  BAÑO PRIMER PISO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</si>
</sst>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_ * #,##0.00_ ;_ * \-#,##0.00_ ;_ * &quot;-&quot;??_ ;_ @_ "/>
  </numFmts>
  <fonts count="20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7" fillId="0" borderId="0"/>
    <xf numFmtId="165" fontId="7" fillId="0" borderId="0" applyFont="0" applyFill="0" applyBorder="0" applyAlignment="0" applyProtection="0"/>
    <xf numFmtId="0" fontId="13" fillId="0" borderId="0"/>
    <xf numFmtId="0" fontId="15" fillId="0" borderId="0"/>
  </cellStyleXfs>
  <cellXfs count="89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wrapText="1"/>
    </xf>
    <xf numFmtId="164" fontId="4" fillId="2" borderId="1" xfId="0" applyNumberFormat="1" applyFont="1" applyFill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65" fontId="4" fillId="3" borderId="1" xfId="0" applyNumberFormat="1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164" fontId="4" fillId="5" borderId="1" xfId="0" applyNumberFormat="1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4" fillId="6" borderId="1" xfId="0" applyNumberFormat="1" applyFont="1" applyFill="1" applyBorder="1" applyAlignment="1">
      <alignment horizontal="center"/>
    </xf>
    <xf numFmtId="164" fontId="0" fillId="0" borderId="0" xfId="0" applyNumberFormat="1"/>
    <xf numFmtId="0" fontId="5" fillId="0" borderId="1" xfId="0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49" fontId="0" fillId="5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/>
    <xf numFmtId="49" fontId="4" fillId="0" borderId="1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 wrapText="1"/>
    </xf>
    <xf numFmtId="0" fontId="4" fillId="4" borderId="1" xfId="0" applyFont="1" applyFill="1" applyBorder="1"/>
    <xf numFmtId="49" fontId="4" fillId="4" borderId="1" xfId="0" applyNumberFormat="1" applyFont="1" applyFill="1" applyBorder="1" applyAlignment="1">
      <alignment horizontal="center"/>
    </xf>
    <xf numFmtId="0" fontId="4" fillId="5" borderId="1" xfId="0" applyFont="1" applyFill="1" applyBorder="1"/>
    <xf numFmtId="49" fontId="4" fillId="5" borderId="1" xfId="0" applyNumberFormat="1" applyFont="1" applyFill="1" applyBorder="1" applyAlignment="1">
      <alignment horizontal="center"/>
    </xf>
    <xf numFmtId="164" fontId="4" fillId="7" borderId="1" xfId="0" applyNumberFormat="1" applyFont="1" applyFill="1" applyBorder="1" applyAlignment="1">
      <alignment horizontal="center"/>
    </xf>
    <xf numFmtId="165" fontId="4" fillId="8" borderId="1" xfId="0" applyNumberFormat="1" applyFont="1" applyFill="1" applyBorder="1" applyAlignment="1">
      <alignment horizontal="center"/>
    </xf>
    <xf numFmtId="0" fontId="3" fillId="2" borderId="1" xfId="0" applyFont="1" applyFill="1" applyBorder="1"/>
    <xf numFmtId="0" fontId="4" fillId="2" borderId="1" xfId="0" applyFont="1" applyFill="1" applyBorder="1"/>
    <xf numFmtId="49" fontId="4" fillId="2" borderId="1" xfId="0" applyNumberFormat="1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0" fontId="6" fillId="0" borderId="1" xfId="0" applyFont="1" applyBorder="1"/>
    <xf numFmtId="49" fontId="6" fillId="0" borderId="1" xfId="0" applyNumberFormat="1" applyFont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0" fontId="8" fillId="0" borderId="1" xfId="0" applyFont="1" applyBorder="1"/>
    <xf numFmtId="165" fontId="8" fillId="0" borderId="1" xfId="0" applyNumberFormat="1" applyFont="1" applyBorder="1" applyAlignment="1">
      <alignment horizontal="center"/>
    </xf>
    <xf numFmtId="0" fontId="9" fillId="0" borderId="0" xfId="1" applyFont="1"/>
    <xf numFmtId="165" fontId="9" fillId="0" borderId="0" xfId="2" applyFont="1" applyFill="1"/>
    <xf numFmtId="0" fontId="12" fillId="9" borderId="7" xfId="1" applyFont="1" applyFill="1" applyBorder="1"/>
    <xf numFmtId="0" fontId="14" fillId="9" borderId="7" xfId="3" applyFont="1" applyFill="1" applyBorder="1"/>
    <xf numFmtId="165" fontId="15" fillId="9" borderId="7" xfId="4" applyNumberFormat="1" applyFill="1" applyBorder="1"/>
    <xf numFmtId="165" fontId="9" fillId="0" borderId="5" xfId="2" applyFont="1" applyFill="1" applyBorder="1"/>
    <xf numFmtId="165" fontId="9" fillId="9" borderId="8" xfId="2" applyFont="1" applyFill="1" applyBorder="1"/>
    <xf numFmtId="165" fontId="9" fillId="9" borderId="5" xfId="2" applyFont="1" applyFill="1" applyBorder="1"/>
    <xf numFmtId="0" fontId="12" fillId="0" borderId="5" xfId="1" applyFont="1" applyBorder="1"/>
    <xf numFmtId="0" fontId="14" fillId="0" borderId="5" xfId="1" applyFont="1" applyBorder="1"/>
    <xf numFmtId="0" fontId="14" fillId="0" borderId="5" xfId="3" applyFont="1" applyBorder="1"/>
    <xf numFmtId="0" fontId="14" fillId="9" borderId="5" xfId="3" applyFont="1" applyFill="1" applyBorder="1"/>
    <xf numFmtId="165" fontId="15" fillId="9" borderId="5" xfId="4" applyNumberFormat="1" applyFill="1" applyBorder="1"/>
    <xf numFmtId="0" fontId="14" fillId="10" borderId="5" xfId="3" applyFont="1" applyFill="1" applyBorder="1"/>
    <xf numFmtId="165" fontId="9" fillId="10" borderId="5" xfId="2" applyFont="1" applyFill="1" applyBorder="1"/>
    <xf numFmtId="0" fontId="12" fillId="9" borderId="5" xfId="1" applyFont="1" applyFill="1" applyBorder="1"/>
    <xf numFmtId="0" fontId="14" fillId="9" borderId="5" xfId="4" applyFont="1" applyFill="1" applyBorder="1"/>
    <xf numFmtId="165" fontId="16" fillId="9" borderId="5" xfId="4" applyNumberFormat="1" applyFont="1" applyFill="1" applyBorder="1"/>
    <xf numFmtId="0" fontId="14" fillId="9" borderId="4" xfId="3" applyFont="1" applyFill="1" applyBorder="1"/>
    <xf numFmtId="165" fontId="15" fillId="9" borderId="9" xfId="4" applyNumberFormat="1" applyFill="1" applyBorder="1"/>
    <xf numFmtId="0" fontId="14" fillId="0" borderId="7" xfId="3" applyFont="1" applyBorder="1"/>
    <xf numFmtId="0" fontId="12" fillId="0" borderId="7" xfId="1" applyFont="1" applyBorder="1"/>
    <xf numFmtId="0" fontId="14" fillId="3" borderId="5" xfId="3" applyFont="1" applyFill="1" applyBorder="1"/>
    <xf numFmtId="0" fontId="14" fillId="6" borderId="5" xfId="3" applyFont="1" applyFill="1" applyBorder="1"/>
    <xf numFmtId="165" fontId="15" fillId="6" borderId="5" xfId="4" applyNumberFormat="1" applyFill="1" applyBorder="1"/>
    <xf numFmtId="0" fontId="9" fillId="0" borderId="5" xfId="1" applyFont="1" applyBorder="1"/>
    <xf numFmtId="0" fontId="17" fillId="0" borderId="5" xfId="3" applyFont="1" applyBorder="1" applyAlignment="1">
      <alignment horizontal="center" vertical="center"/>
    </xf>
    <xf numFmtId="0" fontId="12" fillId="0" borderId="4" xfId="1" applyFont="1" applyBorder="1"/>
    <xf numFmtId="0" fontId="14" fillId="0" borderId="4" xfId="3" applyFont="1" applyBorder="1"/>
    <xf numFmtId="165" fontId="9" fillId="0" borderId="4" xfId="2" applyFont="1" applyFill="1" applyBorder="1"/>
    <xf numFmtId="0" fontId="14" fillId="0" borderId="4" xfId="1" applyFont="1" applyBorder="1"/>
    <xf numFmtId="0" fontId="18" fillId="0" borderId="4" xfId="1" applyFont="1" applyBorder="1"/>
    <xf numFmtId="0" fontId="14" fillId="0" borderId="1" xfId="1" applyFont="1" applyBorder="1"/>
    <xf numFmtId="0" fontId="19" fillId="0" borderId="1" xfId="3" applyFont="1" applyBorder="1" applyAlignment="1">
      <alignment horizontal="center"/>
    </xf>
    <xf numFmtId="165" fontId="11" fillId="0" borderId="1" xfId="2" applyFont="1" applyFill="1" applyBorder="1"/>
    <xf numFmtId="165" fontId="11" fillId="0" borderId="3" xfId="2" applyFont="1" applyFill="1" applyBorder="1"/>
    <xf numFmtId="165" fontId="11" fillId="0" borderId="5" xfId="2" applyFont="1" applyFill="1" applyBorder="1"/>
    <xf numFmtId="0" fontId="14" fillId="0" borderId="1" xfId="3" applyFont="1" applyBorder="1"/>
    <xf numFmtId="0" fontId="11" fillId="0" borderId="1" xfId="1" applyFont="1" applyBorder="1"/>
    <xf numFmtId="165" fontId="11" fillId="0" borderId="0" xfId="2" applyFont="1" applyFill="1"/>
    <xf numFmtId="0" fontId="10" fillId="0" borderId="0" xfId="1" applyFont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1" fillId="0" borderId="7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 wrapText="1"/>
    </xf>
    <xf numFmtId="165" fontId="11" fillId="0" borderId="5" xfId="2" applyFont="1" applyFill="1" applyBorder="1" applyAlignment="1">
      <alignment horizontal="center" vertical="center" wrapText="1"/>
    </xf>
    <xf numFmtId="165" fontId="11" fillId="0" borderId="4" xfId="2" applyFont="1" applyFill="1" applyBorder="1" applyAlignment="1">
      <alignment horizontal="center" vertical="center" wrapText="1"/>
    </xf>
    <xf numFmtId="165" fontId="11" fillId="0" borderId="7" xfId="2" applyFont="1" applyFill="1" applyBorder="1" applyAlignment="1">
      <alignment horizontal="center" vertical="center" wrapText="1"/>
    </xf>
    <xf numFmtId="165" fontId="11" fillId="0" borderId="6" xfId="2" applyFont="1" applyFill="1" applyBorder="1" applyAlignment="1">
      <alignment horizontal="center" vertical="center" wrapText="1"/>
    </xf>
  </cellXfs>
  <cellStyles count="5">
    <cellStyle name="Millares 2" xfId="2" xr:uid="{5ECBF4CE-3C59-4CC8-A484-FD5A186BC2FE}"/>
    <cellStyle name="Normal" xfId="0" builtinId="0"/>
    <cellStyle name="Normal 2" xfId="1" xr:uid="{D360D504-7A06-454F-9223-5734D47BC79E}"/>
    <cellStyle name="Normal 2 2" xfId="3" xr:uid="{2825E05D-8095-41A6-8190-5C8D852CEBA7}"/>
    <cellStyle name="Normal 3" xfId="4" xr:uid="{819B6F46-B6AF-4617-AFB0-C5E76C6D4C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A036D-99A2-4022-AA3D-A364D49B99DF}">
  <dimension ref="A1:I97"/>
  <sheetViews>
    <sheetView topLeftCell="A28" zoomScaleNormal="100" workbookViewId="0">
      <selection activeCell="J74" sqref="J74"/>
    </sheetView>
  </sheetViews>
  <sheetFormatPr baseColWidth="10" defaultRowHeight="15" x14ac:dyDescent="0.25"/>
  <cols>
    <col min="1" max="1" width="5.42578125" customWidth="1"/>
    <col min="2" max="2" width="48" customWidth="1"/>
    <col min="4" max="4" width="14" customWidth="1"/>
    <col min="5" max="5" width="15.85546875" customWidth="1"/>
    <col min="6" max="6" width="16.42578125" customWidth="1"/>
    <col min="7" max="7" width="16.85546875" customWidth="1"/>
    <col min="8" max="8" width="12" customWidth="1"/>
    <col min="9" max="9" width="15.42578125" customWidth="1"/>
  </cols>
  <sheetData>
    <row r="1" spans="1:9" ht="84.75" thickBot="1" x14ac:dyDescent="0.4">
      <c r="A1" s="1"/>
      <c r="B1" s="21" t="s">
        <v>1</v>
      </c>
      <c r="C1" s="22" t="s">
        <v>256</v>
      </c>
      <c r="D1" s="22" t="s">
        <v>2</v>
      </c>
      <c r="E1" s="15" t="s">
        <v>255</v>
      </c>
      <c r="F1" s="15" t="s">
        <v>259</v>
      </c>
      <c r="G1" s="2" t="s">
        <v>3</v>
      </c>
      <c r="H1" s="2" t="s">
        <v>4</v>
      </c>
      <c r="I1" s="2" t="s">
        <v>257</v>
      </c>
    </row>
    <row r="2" spans="1:9" ht="21.75" thickBot="1" x14ac:dyDescent="0.4">
      <c r="A2" s="21" t="s">
        <v>0</v>
      </c>
      <c r="B2" s="17" t="s">
        <v>5</v>
      </c>
      <c r="C2" s="18" t="s">
        <v>6</v>
      </c>
      <c r="D2" s="18" t="s">
        <v>7</v>
      </c>
      <c r="E2" s="3"/>
      <c r="F2" s="3"/>
      <c r="G2" s="3">
        <v>0</v>
      </c>
      <c r="H2" s="4">
        <v>12.752787</v>
      </c>
      <c r="I2" s="5">
        <v>7</v>
      </c>
    </row>
    <row r="3" spans="1:9" ht="19.5" thickBot="1" x14ac:dyDescent="0.35">
      <c r="A3" s="16">
        <v>1</v>
      </c>
      <c r="B3" s="17" t="s">
        <v>8</v>
      </c>
      <c r="C3" s="18" t="s">
        <v>9</v>
      </c>
      <c r="D3" s="18" t="s">
        <v>10</v>
      </c>
      <c r="E3" s="3">
        <v>99.88</v>
      </c>
      <c r="F3" s="3">
        <v>101.761</v>
      </c>
      <c r="G3" s="3">
        <f>SUM(F3-E3)</f>
        <v>1.8810000000000002</v>
      </c>
      <c r="H3" s="4">
        <v>12.752787</v>
      </c>
      <c r="I3" s="5">
        <f>(G3*H3)</f>
        <v>23.987992347000002</v>
      </c>
    </row>
    <row r="4" spans="1:9" ht="19.5" thickBot="1" x14ac:dyDescent="0.35">
      <c r="A4" s="16">
        <v>2</v>
      </c>
      <c r="B4" s="17" t="s">
        <v>11</v>
      </c>
      <c r="C4" s="18" t="s">
        <v>12</v>
      </c>
      <c r="D4" s="18" t="s">
        <v>13</v>
      </c>
      <c r="E4" s="3">
        <v>328.11</v>
      </c>
      <c r="F4" s="3">
        <v>335.904</v>
      </c>
      <c r="G4" s="3">
        <f t="shared" ref="G4:G67" si="0">SUM(F4-E4)</f>
        <v>7.7939999999999827</v>
      </c>
      <c r="H4" s="4">
        <v>12.752787</v>
      </c>
      <c r="I4" s="4">
        <f>SUM(G4*H4)</f>
        <v>99.395221877999774</v>
      </c>
    </row>
    <row r="5" spans="1:9" ht="19.5" thickBot="1" x14ac:dyDescent="0.35">
      <c r="A5" s="16">
        <v>3</v>
      </c>
      <c r="B5" s="23" t="s">
        <v>14</v>
      </c>
      <c r="C5" s="24" t="s">
        <v>15</v>
      </c>
      <c r="D5" s="24" t="s">
        <v>16</v>
      </c>
      <c r="E5" s="6"/>
      <c r="F5" s="6">
        <v>3.581</v>
      </c>
      <c r="G5" s="3">
        <f t="shared" si="0"/>
        <v>3.581</v>
      </c>
      <c r="H5" s="4">
        <v>12.752787</v>
      </c>
      <c r="I5" s="5">
        <f t="shared" ref="I5" si="1">SUM(G5*H5)</f>
        <v>45.667730247000001</v>
      </c>
    </row>
    <row r="6" spans="1:9" ht="19.5" thickBot="1" x14ac:dyDescent="0.35">
      <c r="A6" s="16">
        <v>4</v>
      </c>
      <c r="B6" s="25" t="s">
        <v>17</v>
      </c>
      <c r="C6" s="26" t="s">
        <v>18</v>
      </c>
      <c r="D6" s="26" t="s">
        <v>19</v>
      </c>
      <c r="E6" s="7"/>
      <c r="F6" s="7"/>
      <c r="G6" s="3">
        <f t="shared" si="0"/>
        <v>0</v>
      </c>
      <c r="H6" s="4">
        <v>12.752787</v>
      </c>
      <c r="I6" s="5">
        <v>7</v>
      </c>
    </row>
    <row r="7" spans="1:9" ht="19.5" thickBot="1" x14ac:dyDescent="0.35">
      <c r="A7" s="16">
        <v>5</v>
      </c>
      <c r="B7" s="17" t="s">
        <v>20</v>
      </c>
      <c r="C7" s="18" t="s">
        <v>21</v>
      </c>
      <c r="D7" s="18" t="s">
        <v>22</v>
      </c>
      <c r="E7" s="3">
        <v>443.72</v>
      </c>
      <c r="F7" s="3">
        <v>452.53</v>
      </c>
      <c r="G7" s="3">
        <f t="shared" si="0"/>
        <v>8.8099999999999454</v>
      </c>
      <c r="H7" s="4">
        <v>12.752787</v>
      </c>
      <c r="I7" s="4">
        <f>H7*G7</f>
        <v>112.3520534699993</v>
      </c>
    </row>
    <row r="8" spans="1:9" ht="19.5" thickBot="1" x14ac:dyDescent="0.35">
      <c r="A8" s="16">
        <v>6</v>
      </c>
      <c r="B8" s="17" t="s">
        <v>23</v>
      </c>
      <c r="C8" s="18" t="s">
        <v>24</v>
      </c>
      <c r="D8" s="18" t="s">
        <v>25</v>
      </c>
      <c r="E8" s="8">
        <v>177</v>
      </c>
      <c r="F8" s="8">
        <v>178.27</v>
      </c>
      <c r="G8" s="3">
        <f t="shared" si="0"/>
        <v>1.2700000000000102</v>
      </c>
      <c r="H8" s="4">
        <v>12.752787</v>
      </c>
      <c r="I8" s="4">
        <f t="shared" ref="I8:I34" si="2">H8*G8</f>
        <v>16.196039490000128</v>
      </c>
    </row>
    <row r="9" spans="1:9" ht="19.5" thickBot="1" x14ac:dyDescent="0.35">
      <c r="A9" s="16">
        <v>7</v>
      </c>
      <c r="B9" s="17" t="s">
        <v>26</v>
      </c>
      <c r="C9" s="18"/>
      <c r="D9" s="18"/>
      <c r="E9" s="8">
        <v>32.04</v>
      </c>
      <c r="F9" s="8">
        <v>32.822000000000003</v>
      </c>
      <c r="G9" s="3">
        <f t="shared" si="0"/>
        <v>0.78200000000000358</v>
      </c>
      <c r="H9" s="4">
        <v>12.752787</v>
      </c>
      <c r="I9" s="4">
        <f t="shared" si="2"/>
        <v>9.972679434000046</v>
      </c>
    </row>
    <row r="10" spans="1:9" ht="19.5" thickBot="1" x14ac:dyDescent="0.35">
      <c r="A10" s="16">
        <v>8</v>
      </c>
      <c r="B10" s="25" t="s">
        <v>27</v>
      </c>
      <c r="C10" s="26" t="s">
        <v>28</v>
      </c>
      <c r="D10" s="26" t="s">
        <v>29</v>
      </c>
      <c r="E10" s="7">
        <v>0.13900000000000001</v>
      </c>
      <c r="F10" s="7"/>
      <c r="G10" s="3">
        <f t="shared" si="0"/>
        <v>-0.13900000000000001</v>
      </c>
      <c r="H10" s="4">
        <v>12.752787</v>
      </c>
      <c r="I10" s="4">
        <v>6</v>
      </c>
    </row>
    <row r="11" spans="1:9" ht="19.5" thickBot="1" x14ac:dyDescent="0.35">
      <c r="A11" s="16">
        <v>9</v>
      </c>
      <c r="B11" s="17" t="s">
        <v>30</v>
      </c>
      <c r="C11" s="18" t="s">
        <v>31</v>
      </c>
      <c r="D11" s="18" t="s">
        <v>32</v>
      </c>
      <c r="E11" s="8">
        <v>73.88</v>
      </c>
      <c r="F11" s="8">
        <v>73.688999999999993</v>
      </c>
      <c r="G11" s="3">
        <f t="shared" si="0"/>
        <v>-0.1910000000000025</v>
      </c>
      <c r="H11" s="4">
        <v>12.752787</v>
      </c>
      <c r="I11" s="4">
        <v>6</v>
      </c>
    </row>
    <row r="12" spans="1:9" ht="19.5" thickBot="1" x14ac:dyDescent="0.35">
      <c r="A12" s="16">
        <v>10</v>
      </c>
      <c r="B12" s="17" t="s">
        <v>33</v>
      </c>
      <c r="C12" s="18"/>
      <c r="D12" s="18"/>
      <c r="E12" s="8">
        <v>28.47</v>
      </c>
      <c r="F12" s="8">
        <v>29.994</v>
      </c>
      <c r="G12" s="3">
        <f t="shared" si="0"/>
        <v>1.5240000000000009</v>
      </c>
      <c r="H12" s="4">
        <v>12.752787</v>
      </c>
      <c r="I12" s="4">
        <f t="shared" si="2"/>
        <v>19.435247388000011</v>
      </c>
    </row>
    <row r="13" spans="1:9" ht="19.5" thickBot="1" x14ac:dyDescent="0.35">
      <c r="A13" s="16">
        <v>11</v>
      </c>
      <c r="B13" s="17" t="s">
        <v>34</v>
      </c>
      <c r="C13" s="18"/>
      <c r="D13" s="18"/>
      <c r="E13" s="8">
        <v>13.19</v>
      </c>
      <c r="F13" s="8">
        <v>13.996</v>
      </c>
      <c r="G13" s="3">
        <f t="shared" si="0"/>
        <v>0.80600000000000094</v>
      </c>
      <c r="H13" s="4">
        <v>12.752787</v>
      </c>
      <c r="I13" s="4">
        <f t="shared" si="2"/>
        <v>10.278746322000012</v>
      </c>
    </row>
    <row r="14" spans="1:9" ht="19.5" thickBot="1" x14ac:dyDescent="0.35">
      <c r="A14" s="16">
        <v>12</v>
      </c>
      <c r="B14" s="17" t="s">
        <v>35</v>
      </c>
      <c r="C14" s="18" t="s">
        <v>36</v>
      </c>
      <c r="D14" s="18" t="s">
        <v>37</v>
      </c>
      <c r="E14" s="8">
        <v>64.959999999999994</v>
      </c>
      <c r="F14" s="8">
        <v>65.957999999999998</v>
      </c>
      <c r="G14" s="3">
        <f t="shared" si="0"/>
        <v>0.99800000000000466</v>
      </c>
      <c r="H14" s="4">
        <v>12.752787</v>
      </c>
      <c r="I14" s="4">
        <f t="shared" si="2"/>
        <v>12.72728142600006</v>
      </c>
    </row>
    <row r="15" spans="1:9" ht="19.5" thickBot="1" x14ac:dyDescent="0.35">
      <c r="A15" s="16">
        <v>13</v>
      </c>
      <c r="B15" s="17" t="s">
        <v>38</v>
      </c>
      <c r="C15" s="18" t="s">
        <v>39</v>
      </c>
      <c r="D15" s="18" t="s">
        <v>40</v>
      </c>
      <c r="E15" s="8">
        <v>18.036999999999999</v>
      </c>
      <c r="F15" s="8">
        <v>18.227</v>
      </c>
      <c r="G15" s="3">
        <f t="shared" si="0"/>
        <v>0.19000000000000128</v>
      </c>
      <c r="H15" s="4">
        <v>12.752787</v>
      </c>
      <c r="I15" s="4">
        <v>7</v>
      </c>
    </row>
    <row r="16" spans="1:9" ht="19.5" thickBot="1" x14ac:dyDescent="0.35">
      <c r="A16" s="16">
        <v>14</v>
      </c>
      <c r="B16" s="17" t="s">
        <v>41</v>
      </c>
      <c r="C16" s="18" t="s">
        <v>42</v>
      </c>
      <c r="D16" s="18" t="s">
        <v>43</v>
      </c>
      <c r="E16" s="3">
        <v>106.3</v>
      </c>
      <c r="F16" s="3">
        <v>108.276</v>
      </c>
      <c r="G16" s="3">
        <f t="shared" si="0"/>
        <v>1.9759999999999991</v>
      </c>
      <c r="H16" s="4">
        <v>12.752787</v>
      </c>
      <c r="I16" s="4">
        <f t="shared" si="2"/>
        <v>25.199507111999988</v>
      </c>
    </row>
    <row r="17" spans="1:9" ht="19.5" thickBot="1" x14ac:dyDescent="0.35">
      <c r="A17" s="16">
        <v>15</v>
      </c>
      <c r="B17" s="17" t="s">
        <v>44</v>
      </c>
      <c r="C17" s="18" t="s">
        <v>45</v>
      </c>
      <c r="D17" s="18" t="s">
        <v>46</v>
      </c>
      <c r="E17" s="3">
        <v>58.8</v>
      </c>
      <c r="F17" s="3">
        <v>59.774000000000001</v>
      </c>
      <c r="G17" s="3">
        <f t="shared" si="0"/>
        <v>0.97400000000000375</v>
      </c>
      <c r="H17" s="4">
        <v>12.752787</v>
      </c>
      <c r="I17" s="4">
        <f t="shared" si="2"/>
        <v>12.421214538000047</v>
      </c>
    </row>
    <row r="18" spans="1:9" ht="19.5" thickBot="1" x14ac:dyDescent="0.35">
      <c r="A18" s="16">
        <v>16</v>
      </c>
      <c r="B18" s="17" t="s">
        <v>47</v>
      </c>
      <c r="C18" s="18" t="s">
        <v>48</v>
      </c>
      <c r="D18" s="18" t="s">
        <v>49</v>
      </c>
      <c r="E18" s="3">
        <v>84.5</v>
      </c>
      <c r="F18" s="3">
        <v>86.545000000000002</v>
      </c>
      <c r="G18" s="3">
        <f t="shared" si="0"/>
        <v>2.0450000000000017</v>
      </c>
      <c r="H18" s="4">
        <v>12.752787</v>
      </c>
      <c r="I18" s="4">
        <f t="shared" si="2"/>
        <v>26.07944941500002</v>
      </c>
    </row>
    <row r="19" spans="1:9" ht="19.5" thickBot="1" x14ac:dyDescent="0.35">
      <c r="A19" s="16">
        <v>17</v>
      </c>
      <c r="B19" s="17" t="s">
        <v>50</v>
      </c>
      <c r="C19" s="18" t="s">
        <v>51</v>
      </c>
      <c r="E19" s="3">
        <v>288</v>
      </c>
      <c r="F19" s="3">
        <v>300.202</v>
      </c>
      <c r="G19" s="3">
        <f t="shared" si="0"/>
        <v>12.201999999999998</v>
      </c>
      <c r="H19" s="4">
        <v>12.752787</v>
      </c>
      <c r="I19" s="4">
        <f t="shared" si="2"/>
        <v>155.60950697399997</v>
      </c>
    </row>
    <row r="20" spans="1:9" ht="19.5" thickBot="1" x14ac:dyDescent="0.35">
      <c r="A20" s="16">
        <v>18</v>
      </c>
      <c r="B20" s="17" t="s">
        <v>52</v>
      </c>
      <c r="C20" s="18" t="s">
        <v>53</v>
      </c>
      <c r="D20" s="18" t="s">
        <v>54</v>
      </c>
      <c r="E20" s="3">
        <v>166.56</v>
      </c>
      <c r="F20" s="3">
        <v>169.685</v>
      </c>
      <c r="G20" s="3">
        <f t="shared" si="0"/>
        <v>3.125</v>
      </c>
      <c r="H20" s="4">
        <v>12.752787</v>
      </c>
      <c r="I20" s="4">
        <f t="shared" si="2"/>
        <v>39.852459375000002</v>
      </c>
    </row>
    <row r="21" spans="1:9" ht="19.5" thickBot="1" x14ac:dyDescent="0.35">
      <c r="A21" s="16">
        <v>19</v>
      </c>
      <c r="B21" s="17" t="s">
        <v>55</v>
      </c>
      <c r="C21" s="18" t="s">
        <v>56</v>
      </c>
      <c r="D21" s="18" t="s">
        <v>57</v>
      </c>
      <c r="E21" s="3">
        <v>73.38</v>
      </c>
      <c r="F21" s="3">
        <v>74.236000000000004</v>
      </c>
      <c r="G21" s="3">
        <f t="shared" si="0"/>
        <v>0.85600000000000875</v>
      </c>
      <c r="H21" s="4">
        <v>12.752787</v>
      </c>
      <c r="I21" s="4">
        <f t="shared" si="2"/>
        <v>10.916385672000111</v>
      </c>
    </row>
    <row r="22" spans="1:9" ht="19.5" thickBot="1" x14ac:dyDescent="0.35">
      <c r="A22" s="16">
        <v>20</v>
      </c>
      <c r="B22" s="17" t="s">
        <v>58</v>
      </c>
      <c r="C22" s="18" t="s">
        <v>59</v>
      </c>
      <c r="D22" s="18" t="s">
        <v>60</v>
      </c>
      <c r="E22" s="3">
        <v>196</v>
      </c>
      <c r="F22" s="3">
        <v>198.91499999999999</v>
      </c>
      <c r="G22" s="3">
        <f t="shared" si="0"/>
        <v>2.914999999999992</v>
      </c>
      <c r="H22" s="4">
        <v>12.752787</v>
      </c>
      <c r="I22" s="4">
        <f t="shared" si="2"/>
        <v>37.174374104999899</v>
      </c>
    </row>
    <row r="23" spans="1:9" ht="19.5" thickBot="1" x14ac:dyDescent="0.35">
      <c r="A23" s="16">
        <v>21</v>
      </c>
      <c r="B23" s="17" t="s">
        <v>61</v>
      </c>
      <c r="C23" s="18" t="s">
        <v>62</v>
      </c>
      <c r="D23" s="18" t="s">
        <v>63</v>
      </c>
      <c r="E23" s="3">
        <v>15.73</v>
      </c>
      <c r="F23" s="3">
        <v>22.19</v>
      </c>
      <c r="G23" s="3">
        <f t="shared" si="0"/>
        <v>6.4600000000000009</v>
      </c>
      <c r="H23" s="4">
        <v>12.752787</v>
      </c>
      <c r="I23" s="4">
        <f t="shared" si="2"/>
        <v>82.383004020000016</v>
      </c>
    </row>
    <row r="24" spans="1:9" ht="19.5" thickBot="1" x14ac:dyDescent="0.35">
      <c r="A24" s="16">
        <v>22</v>
      </c>
      <c r="B24" s="33" t="s">
        <v>64</v>
      </c>
      <c r="C24" s="34" t="s">
        <v>65</v>
      </c>
      <c r="D24" s="34" t="s">
        <v>66</v>
      </c>
      <c r="E24" s="35">
        <v>164.57</v>
      </c>
      <c r="F24" s="35">
        <v>166.83199999999999</v>
      </c>
      <c r="G24" s="35">
        <f t="shared" si="0"/>
        <v>2.2620000000000005</v>
      </c>
      <c r="H24" s="38">
        <v>12.752787</v>
      </c>
      <c r="I24" s="38">
        <f t="shared" si="2"/>
        <v>28.846804194000004</v>
      </c>
    </row>
    <row r="25" spans="1:9" ht="19.5" thickBot="1" x14ac:dyDescent="0.35">
      <c r="A25" s="16">
        <v>23</v>
      </c>
      <c r="B25" s="17" t="s">
        <v>67</v>
      </c>
      <c r="C25" s="18" t="s">
        <v>68</v>
      </c>
      <c r="D25" s="18" t="s">
        <v>69</v>
      </c>
      <c r="E25" s="8">
        <v>283.5</v>
      </c>
      <c r="F25" s="8">
        <v>289.07400000000001</v>
      </c>
      <c r="G25" s="3">
        <f t="shared" si="0"/>
        <v>5.5740000000000123</v>
      </c>
      <c r="H25" s="4">
        <v>12.752787</v>
      </c>
      <c r="I25" s="4">
        <f t="shared" si="2"/>
        <v>71.084034738000156</v>
      </c>
    </row>
    <row r="26" spans="1:9" ht="19.5" thickBot="1" x14ac:dyDescent="0.35">
      <c r="A26" s="16">
        <v>24</v>
      </c>
      <c r="B26" s="17" t="s">
        <v>70</v>
      </c>
      <c r="C26" s="18" t="s">
        <v>71</v>
      </c>
      <c r="D26" s="18" t="s">
        <v>72</v>
      </c>
      <c r="E26" s="3">
        <v>15.63</v>
      </c>
      <c r="F26" s="3">
        <v>23.3</v>
      </c>
      <c r="G26" s="3">
        <f t="shared" si="0"/>
        <v>7.67</v>
      </c>
      <c r="H26" s="4">
        <v>12.752787</v>
      </c>
      <c r="I26" s="4">
        <f t="shared" si="2"/>
        <v>97.813876289999996</v>
      </c>
    </row>
    <row r="27" spans="1:9" ht="19.5" thickBot="1" x14ac:dyDescent="0.35">
      <c r="A27" s="16">
        <v>25</v>
      </c>
      <c r="B27" s="17" t="s">
        <v>73</v>
      </c>
      <c r="C27" s="18" t="s">
        <v>74</v>
      </c>
      <c r="D27" s="18" t="s">
        <v>75</v>
      </c>
      <c r="E27" s="3">
        <v>123.99</v>
      </c>
      <c r="F27" s="3">
        <v>129.98500000000001</v>
      </c>
      <c r="G27" s="3">
        <f t="shared" si="0"/>
        <v>5.9950000000000188</v>
      </c>
      <c r="H27" s="4">
        <v>12.752787</v>
      </c>
      <c r="I27" s="4">
        <f t="shared" si="2"/>
        <v>76.452958065000232</v>
      </c>
    </row>
    <row r="28" spans="1:9" ht="19.5" thickBot="1" x14ac:dyDescent="0.35">
      <c r="A28" s="16">
        <v>26</v>
      </c>
      <c r="B28" s="17" t="s">
        <v>76</v>
      </c>
      <c r="C28" s="18" t="s">
        <v>77</v>
      </c>
      <c r="D28" s="18" t="s">
        <v>78</v>
      </c>
      <c r="E28" s="3">
        <v>135.5</v>
      </c>
      <c r="F28" s="3">
        <v>137.28</v>
      </c>
      <c r="G28" s="3">
        <f t="shared" si="0"/>
        <v>1.7800000000000011</v>
      </c>
      <c r="H28" s="4">
        <v>12.752787</v>
      </c>
      <c r="I28" s="4">
        <f t="shared" si="2"/>
        <v>22.699960860000015</v>
      </c>
    </row>
    <row r="29" spans="1:9" ht="19.5" thickBot="1" x14ac:dyDescent="0.35">
      <c r="A29" s="16">
        <v>27</v>
      </c>
      <c r="B29" s="17" t="s">
        <v>79</v>
      </c>
      <c r="C29" s="18" t="s">
        <v>80</v>
      </c>
      <c r="D29" s="18" t="s">
        <v>81</v>
      </c>
      <c r="E29" s="27">
        <v>788.53</v>
      </c>
      <c r="F29" s="27">
        <v>804.53800000000001</v>
      </c>
      <c r="G29" s="3">
        <f t="shared" si="0"/>
        <v>16.008000000000038</v>
      </c>
      <c r="H29" s="4">
        <v>12.752787</v>
      </c>
      <c r="I29" s="4">
        <f t="shared" si="2"/>
        <v>204.14661429600048</v>
      </c>
    </row>
    <row r="30" spans="1:9" ht="19.5" thickBot="1" x14ac:dyDescent="0.35">
      <c r="A30" s="16">
        <v>28</v>
      </c>
      <c r="B30" s="17" t="s">
        <v>82</v>
      </c>
      <c r="C30" s="18" t="s">
        <v>83</v>
      </c>
      <c r="D30" s="18" t="s">
        <v>84</v>
      </c>
      <c r="E30" s="8">
        <v>1012.88</v>
      </c>
      <c r="F30" s="8">
        <v>1024.886</v>
      </c>
      <c r="G30" s="3">
        <f t="shared" si="0"/>
        <v>12.005999999999972</v>
      </c>
      <c r="H30" s="4">
        <v>12.752787</v>
      </c>
      <c r="I30" s="4">
        <f t="shared" si="2"/>
        <v>153.10996072199964</v>
      </c>
    </row>
    <row r="31" spans="1:9" ht="19.5" thickBot="1" x14ac:dyDescent="0.35">
      <c r="A31" s="16">
        <v>29</v>
      </c>
      <c r="B31" s="17" t="s">
        <v>85</v>
      </c>
      <c r="C31" s="18" t="s">
        <v>86</v>
      </c>
      <c r="D31" s="18" t="s">
        <v>87</v>
      </c>
      <c r="E31" s="3">
        <v>268.55</v>
      </c>
      <c r="F31" s="3">
        <v>272.66500000000002</v>
      </c>
      <c r="G31" s="3">
        <f t="shared" si="0"/>
        <v>4.1150000000000091</v>
      </c>
      <c r="H31" s="4">
        <v>12.752787</v>
      </c>
      <c r="I31" s="4">
        <f t="shared" si="2"/>
        <v>52.477718505000112</v>
      </c>
    </row>
    <row r="32" spans="1:9" ht="19.5" thickBot="1" x14ac:dyDescent="0.35">
      <c r="A32" s="16">
        <v>30</v>
      </c>
      <c r="B32" s="17" t="s">
        <v>88</v>
      </c>
      <c r="C32" s="18"/>
      <c r="D32" s="18"/>
      <c r="E32" s="3">
        <v>341.65</v>
      </c>
      <c r="F32" s="3">
        <v>353.02300000000002</v>
      </c>
      <c r="G32" s="3">
        <f t="shared" si="0"/>
        <v>11.373000000000047</v>
      </c>
      <c r="H32" s="4">
        <v>12.752787</v>
      </c>
      <c r="I32" s="4">
        <f t="shared" si="2"/>
        <v>145.03744655100061</v>
      </c>
    </row>
    <row r="33" spans="1:9" ht="19.5" thickBot="1" x14ac:dyDescent="0.35">
      <c r="A33" s="16">
        <v>31</v>
      </c>
      <c r="B33" s="17" t="s">
        <v>89</v>
      </c>
      <c r="C33" s="18" t="s">
        <v>90</v>
      </c>
      <c r="D33" s="18" t="s">
        <v>91</v>
      </c>
      <c r="E33" s="3">
        <v>51.54</v>
      </c>
      <c r="F33" s="3">
        <v>52.375</v>
      </c>
      <c r="G33" s="3">
        <f t="shared" si="0"/>
        <v>0.83500000000000085</v>
      </c>
      <c r="H33" s="4">
        <v>12.752787</v>
      </c>
      <c r="I33" s="4">
        <f t="shared" si="2"/>
        <v>10.64857714500001</v>
      </c>
    </row>
    <row r="34" spans="1:9" ht="19.5" thickBot="1" x14ac:dyDescent="0.35">
      <c r="A34" s="16">
        <v>32</v>
      </c>
      <c r="B34" s="17" t="s">
        <v>92</v>
      </c>
      <c r="C34" s="18" t="s">
        <v>93</v>
      </c>
      <c r="D34" s="18" t="s">
        <v>94</v>
      </c>
      <c r="E34" s="3">
        <v>118.37</v>
      </c>
      <c r="F34" s="3">
        <v>119.858</v>
      </c>
      <c r="G34" s="3">
        <f t="shared" si="0"/>
        <v>1.4879999999999995</v>
      </c>
      <c r="H34" s="4">
        <v>12.752787</v>
      </c>
      <c r="I34" s="4">
        <f t="shared" si="2"/>
        <v>18.976147055999995</v>
      </c>
    </row>
    <row r="35" spans="1:9" ht="19.5" thickBot="1" x14ac:dyDescent="0.35">
      <c r="A35" s="16">
        <v>33</v>
      </c>
      <c r="B35" s="17" t="s">
        <v>95</v>
      </c>
      <c r="C35" s="18" t="s">
        <v>96</v>
      </c>
      <c r="D35" s="18" t="s">
        <v>97</v>
      </c>
      <c r="E35" s="3">
        <v>100.5</v>
      </c>
      <c r="F35" s="3">
        <v>100.5</v>
      </c>
      <c r="G35" s="3">
        <f t="shared" si="0"/>
        <v>0</v>
      </c>
      <c r="H35" s="4">
        <v>12.752787</v>
      </c>
      <c r="I35" s="28">
        <v>28</v>
      </c>
    </row>
    <row r="36" spans="1:9" ht="19.5" thickBot="1" x14ac:dyDescent="0.35">
      <c r="A36" s="16">
        <v>34</v>
      </c>
      <c r="B36" s="25" t="s">
        <v>98</v>
      </c>
      <c r="C36" s="26" t="s">
        <v>99</v>
      </c>
      <c r="D36" s="26" t="s">
        <v>100</v>
      </c>
      <c r="E36" s="7"/>
      <c r="F36" s="7"/>
      <c r="G36" s="3">
        <f t="shared" si="0"/>
        <v>0</v>
      </c>
      <c r="H36" s="4">
        <v>12.752787</v>
      </c>
      <c r="I36" s="5">
        <v>7</v>
      </c>
    </row>
    <row r="37" spans="1:9" ht="19.5" thickBot="1" x14ac:dyDescent="0.35">
      <c r="A37" s="16">
        <v>35</v>
      </c>
      <c r="B37" s="17" t="s">
        <v>101</v>
      </c>
      <c r="C37" s="18" t="s">
        <v>102</v>
      </c>
      <c r="D37" s="18" t="s">
        <v>103</v>
      </c>
      <c r="E37" s="3">
        <v>422.11</v>
      </c>
      <c r="F37" s="3">
        <v>431.10700000000003</v>
      </c>
      <c r="G37" s="3">
        <f t="shared" si="0"/>
        <v>8.9970000000000141</v>
      </c>
      <c r="H37" s="4">
        <v>12.752787</v>
      </c>
      <c r="I37" s="4">
        <f>H37*G37</f>
        <v>114.73682463900018</v>
      </c>
    </row>
    <row r="38" spans="1:9" ht="19.5" thickBot="1" x14ac:dyDescent="0.35">
      <c r="A38" s="16">
        <v>36</v>
      </c>
      <c r="B38" s="17" t="s">
        <v>104</v>
      </c>
      <c r="C38" s="18" t="s">
        <v>105</v>
      </c>
      <c r="D38" s="18" t="s">
        <v>106</v>
      </c>
      <c r="E38" s="9">
        <v>93.38</v>
      </c>
      <c r="F38" s="9">
        <v>93.399000000000001</v>
      </c>
      <c r="G38" s="3">
        <f t="shared" si="0"/>
        <v>1.9000000000005457E-2</v>
      </c>
      <c r="H38" s="4">
        <v>12.752787</v>
      </c>
      <c r="I38" s="28">
        <v>28</v>
      </c>
    </row>
    <row r="39" spans="1:9" ht="19.5" thickBot="1" x14ac:dyDescent="0.35">
      <c r="A39" s="16">
        <v>37</v>
      </c>
      <c r="B39" s="17" t="s">
        <v>107</v>
      </c>
      <c r="C39" s="18" t="s">
        <v>108</v>
      </c>
      <c r="D39" s="18" t="s">
        <v>109</v>
      </c>
      <c r="E39" s="3">
        <v>121.19</v>
      </c>
      <c r="F39" s="3">
        <v>123.17</v>
      </c>
      <c r="G39" s="3">
        <f t="shared" si="0"/>
        <v>1.980000000000004</v>
      </c>
      <c r="H39" s="4">
        <v>12.752787</v>
      </c>
      <c r="I39" s="4">
        <f t="shared" ref="I39:I41" si="3">H39*G39</f>
        <v>25.25051826000005</v>
      </c>
    </row>
    <row r="40" spans="1:9" ht="19.5" thickBot="1" x14ac:dyDescent="0.35">
      <c r="A40" s="16">
        <v>38</v>
      </c>
      <c r="B40" s="17" t="s">
        <v>110</v>
      </c>
      <c r="C40" s="18" t="s">
        <v>111</v>
      </c>
      <c r="D40" s="18" t="s">
        <v>112</v>
      </c>
      <c r="E40" s="3">
        <v>14.33</v>
      </c>
      <c r="F40" s="3">
        <v>14.4</v>
      </c>
      <c r="G40" s="3">
        <f t="shared" si="0"/>
        <v>7.0000000000000284E-2</v>
      </c>
      <c r="H40" s="4">
        <v>12.752787</v>
      </c>
      <c r="I40" s="4">
        <v>7</v>
      </c>
    </row>
    <row r="41" spans="1:9" ht="19.5" thickBot="1" x14ac:dyDescent="0.35">
      <c r="A41" s="16">
        <v>39</v>
      </c>
      <c r="B41" s="17" t="s">
        <v>113</v>
      </c>
      <c r="C41" s="18" t="s">
        <v>114</v>
      </c>
      <c r="D41" s="18" t="s">
        <v>115</v>
      </c>
      <c r="E41" s="3">
        <v>45.9</v>
      </c>
      <c r="F41" s="3">
        <v>46.875</v>
      </c>
      <c r="G41" s="3">
        <f t="shared" si="0"/>
        <v>0.97500000000000142</v>
      </c>
      <c r="H41" s="4">
        <v>12.752787</v>
      </c>
      <c r="I41" s="4">
        <f t="shared" si="3"/>
        <v>12.433967325000017</v>
      </c>
    </row>
    <row r="42" spans="1:9" ht="19.5" thickBot="1" x14ac:dyDescent="0.35">
      <c r="A42" s="16">
        <v>40</v>
      </c>
      <c r="B42" s="17" t="s">
        <v>116</v>
      </c>
      <c r="C42" s="18"/>
      <c r="D42" s="18"/>
      <c r="E42" s="3">
        <v>6.9989999999999997</v>
      </c>
      <c r="F42" s="3">
        <v>6.9989999999999997</v>
      </c>
      <c r="G42" s="3">
        <f t="shared" si="0"/>
        <v>0</v>
      </c>
      <c r="H42" s="4">
        <v>12.752787</v>
      </c>
      <c r="I42" s="5">
        <v>7</v>
      </c>
    </row>
    <row r="43" spans="1:9" ht="19.5" thickBot="1" x14ac:dyDescent="0.35">
      <c r="A43" s="16">
        <v>41</v>
      </c>
      <c r="B43" s="17" t="s">
        <v>117</v>
      </c>
      <c r="C43" s="18" t="s">
        <v>118</v>
      </c>
      <c r="D43" s="18" t="s">
        <v>119</v>
      </c>
      <c r="E43" s="3">
        <v>103.28</v>
      </c>
      <c r="F43" s="3">
        <v>105.255</v>
      </c>
      <c r="G43" s="3">
        <f t="shared" si="0"/>
        <v>1.9749999999999943</v>
      </c>
      <c r="H43" s="4">
        <v>12.752787</v>
      </c>
      <c r="I43" s="4">
        <f>H43*G43</f>
        <v>25.186754324999928</v>
      </c>
    </row>
    <row r="44" spans="1:9" ht="19.5" thickBot="1" x14ac:dyDescent="0.35">
      <c r="A44" s="16">
        <v>42</v>
      </c>
      <c r="B44" s="17" t="s">
        <v>120</v>
      </c>
      <c r="C44" s="18" t="s">
        <v>121</v>
      </c>
      <c r="D44" s="18" t="s">
        <v>122</v>
      </c>
      <c r="E44" s="3">
        <v>105.5</v>
      </c>
      <c r="F44" s="3">
        <v>108.44199999999999</v>
      </c>
      <c r="G44" s="3">
        <f t="shared" si="0"/>
        <v>2.9419999999999931</v>
      </c>
      <c r="H44" s="4">
        <v>12.752787</v>
      </c>
      <c r="I44" s="4">
        <f t="shared" ref="I44:I50" si="4">H44*G44</f>
        <v>37.518699353999914</v>
      </c>
    </row>
    <row r="45" spans="1:9" ht="19.5" thickBot="1" x14ac:dyDescent="0.35">
      <c r="A45" s="16">
        <v>43</v>
      </c>
      <c r="B45" s="17" t="s">
        <v>123</v>
      </c>
      <c r="C45" s="18" t="s">
        <v>124</v>
      </c>
      <c r="D45" s="18" t="s">
        <v>125</v>
      </c>
      <c r="E45" s="8">
        <v>808.01400000000001</v>
      </c>
      <c r="F45" s="8">
        <v>829.56600000000003</v>
      </c>
      <c r="G45" s="3">
        <f t="shared" si="0"/>
        <v>21.552000000000021</v>
      </c>
      <c r="H45" s="4">
        <v>12.752787</v>
      </c>
      <c r="I45" s="4">
        <f t="shared" si="4"/>
        <v>274.84806542400025</v>
      </c>
    </row>
    <row r="46" spans="1:9" ht="19.5" thickBot="1" x14ac:dyDescent="0.35">
      <c r="A46" s="16">
        <v>44</v>
      </c>
      <c r="B46" s="17" t="s">
        <v>126</v>
      </c>
      <c r="C46" s="18" t="s">
        <v>127</v>
      </c>
      <c r="D46" s="18" t="s">
        <v>128</v>
      </c>
      <c r="E46" s="3">
        <v>107.91</v>
      </c>
      <c r="F46" s="3">
        <v>109.636</v>
      </c>
      <c r="G46" s="3">
        <f t="shared" si="0"/>
        <v>1.7259999999999991</v>
      </c>
      <c r="H46" s="4">
        <v>12.752787</v>
      </c>
      <c r="I46" s="4">
        <f t="shared" si="4"/>
        <v>22.011310361999989</v>
      </c>
    </row>
    <row r="47" spans="1:9" ht="19.5" thickBot="1" x14ac:dyDescent="0.35">
      <c r="A47" s="16">
        <v>45</v>
      </c>
      <c r="B47" s="17" t="s">
        <v>129</v>
      </c>
      <c r="C47" s="18" t="s">
        <v>130</v>
      </c>
      <c r="D47" s="18" t="s">
        <v>131</v>
      </c>
      <c r="E47" s="3">
        <v>485.76</v>
      </c>
      <c r="F47" s="3">
        <v>501.87299999999999</v>
      </c>
      <c r="G47" s="3">
        <f t="shared" si="0"/>
        <v>16.113</v>
      </c>
      <c r="H47" s="4">
        <v>12.752787</v>
      </c>
      <c r="I47" s="4">
        <f t="shared" si="4"/>
        <v>205.48565693099999</v>
      </c>
    </row>
    <row r="48" spans="1:9" ht="19.5" thickBot="1" x14ac:dyDescent="0.35">
      <c r="A48" s="16">
        <v>46</v>
      </c>
      <c r="B48" s="17" t="s">
        <v>132</v>
      </c>
      <c r="C48" s="18" t="s">
        <v>133</v>
      </c>
      <c r="D48" s="18" t="s">
        <v>134</v>
      </c>
      <c r="E48" s="3">
        <v>280.03500000000003</v>
      </c>
      <c r="F48" s="3">
        <v>287.54300000000001</v>
      </c>
      <c r="G48" s="3">
        <f t="shared" si="0"/>
        <v>7.5079999999999814</v>
      </c>
      <c r="H48" s="4">
        <v>12.752787</v>
      </c>
      <c r="I48" s="4">
        <f t="shared" si="4"/>
        <v>95.747924795999765</v>
      </c>
    </row>
    <row r="49" spans="1:9" ht="19.5" thickBot="1" x14ac:dyDescent="0.35">
      <c r="A49" s="16">
        <v>47</v>
      </c>
      <c r="B49" s="17" t="s">
        <v>135</v>
      </c>
      <c r="C49" s="18" t="s">
        <v>136</v>
      </c>
      <c r="D49" s="18" t="s">
        <v>137</v>
      </c>
      <c r="E49" s="3">
        <v>74.400000000000006</v>
      </c>
      <c r="F49" s="3">
        <v>75.707999999999998</v>
      </c>
      <c r="G49" s="3">
        <f t="shared" si="0"/>
        <v>1.3079999999999927</v>
      </c>
      <c r="H49" s="4">
        <v>12.752787</v>
      </c>
      <c r="I49" s="4">
        <f t="shared" si="4"/>
        <v>16.680645395999907</v>
      </c>
    </row>
    <row r="50" spans="1:9" ht="19.5" thickBot="1" x14ac:dyDescent="0.35">
      <c r="A50" s="16">
        <v>48</v>
      </c>
      <c r="B50" s="33" t="s">
        <v>138</v>
      </c>
      <c r="C50" s="34" t="s">
        <v>139</v>
      </c>
      <c r="D50" s="34" t="s">
        <v>140</v>
      </c>
      <c r="E50" s="35">
        <v>268.2</v>
      </c>
      <c r="F50" s="35">
        <v>273.64999999999998</v>
      </c>
      <c r="G50" s="35">
        <f t="shared" si="0"/>
        <v>5.4499999999999886</v>
      </c>
      <c r="H50" s="38">
        <v>12.752787</v>
      </c>
      <c r="I50" s="38">
        <f t="shared" si="4"/>
        <v>69.502689149999853</v>
      </c>
    </row>
    <row r="51" spans="1:9" ht="19.5" thickBot="1" x14ac:dyDescent="0.35">
      <c r="A51" s="16">
        <v>49</v>
      </c>
      <c r="B51" s="23" t="s">
        <v>141</v>
      </c>
      <c r="C51" s="24" t="s">
        <v>142</v>
      </c>
      <c r="D51" s="24" t="s">
        <v>143</v>
      </c>
      <c r="E51" s="6"/>
      <c r="F51" s="6"/>
      <c r="G51" s="3">
        <f t="shared" si="0"/>
        <v>0</v>
      </c>
      <c r="H51" s="4">
        <v>12.752787</v>
      </c>
      <c r="I51" s="4">
        <v>7</v>
      </c>
    </row>
    <row r="52" spans="1:9" ht="19.5" thickBot="1" x14ac:dyDescent="0.35">
      <c r="A52" s="16">
        <v>50</v>
      </c>
      <c r="B52" s="17" t="s">
        <v>144</v>
      </c>
      <c r="C52" s="18" t="s">
        <v>145</v>
      </c>
      <c r="D52" s="18" t="s">
        <v>146</v>
      </c>
      <c r="E52" s="3">
        <v>84.49</v>
      </c>
      <c r="F52" s="3">
        <v>87.037999999999997</v>
      </c>
      <c r="G52" s="3">
        <f t="shared" si="0"/>
        <v>2.5480000000000018</v>
      </c>
      <c r="H52" s="4">
        <v>12.752787</v>
      </c>
      <c r="I52" s="4">
        <f>H52*G52</f>
        <v>32.494101276000023</v>
      </c>
    </row>
    <row r="53" spans="1:9" ht="19.5" thickBot="1" x14ac:dyDescent="0.35">
      <c r="A53" s="16">
        <v>51</v>
      </c>
      <c r="B53" s="17" t="s">
        <v>147</v>
      </c>
      <c r="C53" s="18" t="s">
        <v>148</v>
      </c>
      <c r="D53" s="18" t="s">
        <v>149</v>
      </c>
      <c r="E53" s="3">
        <v>27.209</v>
      </c>
      <c r="F53" s="3">
        <v>27.2</v>
      </c>
      <c r="G53" s="3">
        <f t="shared" si="0"/>
        <v>-9.0000000000003411E-3</v>
      </c>
      <c r="H53" s="4">
        <v>12.752787</v>
      </c>
      <c r="I53" s="28">
        <v>15</v>
      </c>
    </row>
    <row r="54" spans="1:9" ht="19.5" thickBot="1" x14ac:dyDescent="0.35">
      <c r="A54" s="16">
        <v>52</v>
      </c>
      <c r="B54" s="17" t="s">
        <v>150</v>
      </c>
      <c r="C54" s="18" t="s">
        <v>151</v>
      </c>
      <c r="D54" s="18" t="s">
        <v>152</v>
      </c>
      <c r="E54" s="3">
        <v>63.45</v>
      </c>
      <c r="F54" s="3">
        <v>64.418000000000006</v>
      </c>
      <c r="G54" s="3">
        <f t="shared" si="0"/>
        <v>0.96800000000000352</v>
      </c>
      <c r="H54" s="4">
        <v>12.752787</v>
      </c>
      <c r="I54" s="4">
        <f t="shared" ref="I54:I87" si="5">H54*G54</f>
        <v>12.344697816000044</v>
      </c>
    </row>
    <row r="55" spans="1:9" ht="19.5" thickBot="1" x14ac:dyDescent="0.35">
      <c r="A55" s="16">
        <v>53</v>
      </c>
      <c r="B55" s="17" t="s">
        <v>153</v>
      </c>
      <c r="C55" s="18" t="s">
        <v>154</v>
      </c>
      <c r="D55" s="18" t="s">
        <v>155</v>
      </c>
      <c r="E55" s="3">
        <v>62.03</v>
      </c>
      <c r="F55" s="3">
        <v>63.06</v>
      </c>
      <c r="G55" s="3">
        <f t="shared" si="0"/>
        <v>1.0300000000000011</v>
      </c>
      <c r="H55" s="4">
        <v>12.752787</v>
      </c>
      <c r="I55" s="4">
        <f t="shared" si="5"/>
        <v>13.135370610000015</v>
      </c>
    </row>
    <row r="56" spans="1:9" ht="19.5" thickBot="1" x14ac:dyDescent="0.35">
      <c r="A56" s="16">
        <v>54</v>
      </c>
      <c r="B56" s="17" t="s">
        <v>156</v>
      </c>
      <c r="C56" s="18" t="s">
        <v>157</v>
      </c>
      <c r="D56" s="18" t="s">
        <v>158</v>
      </c>
      <c r="E56" s="3">
        <v>198.529</v>
      </c>
      <c r="F56" s="3">
        <v>198.529</v>
      </c>
      <c r="G56" s="3">
        <f t="shared" si="0"/>
        <v>0</v>
      </c>
      <c r="H56" s="4">
        <v>12.752787</v>
      </c>
      <c r="I56" s="28">
        <v>55</v>
      </c>
    </row>
    <row r="57" spans="1:9" ht="19.5" thickBot="1" x14ac:dyDescent="0.35">
      <c r="A57" s="29">
        <v>55</v>
      </c>
      <c r="B57" s="30" t="s">
        <v>159</v>
      </c>
      <c r="C57" s="31" t="s">
        <v>160</v>
      </c>
      <c r="D57" s="31" t="s">
        <v>161</v>
      </c>
      <c r="E57" s="3">
        <v>41.5</v>
      </c>
      <c r="F57" s="3">
        <v>42.125</v>
      </c>
      <c r="G57" s="3">
        <f t="shared" si="0"/>
        <v>0.625</v>
      </c>
      <c r="H57" s="4">
        <v>12.752787</v>
      </c>
      <c r="I57" s="4">
        <f t="shared" si="5"/>
        <v>7.9704918749999996</v>
      </c>
    </row>
    <row r="58" spans="1:9" ht="19.5" thickBot="1" x14ac:dyDescent="0.35">
      <c r="A58" s="16">
        <v>56</v>
      </c>
      <c r="B58" s="17" t="s">
        <v>162</v>
      </c>
      <c r="C58" s="18" t="s">
        <v>163</v>
      </c>
      <c r="D58" s="18" t="s">
        <v>164</v>
      </c>
      <c r="E58" s="3">
        <v>357.73</v>
      </c>
      <c r="F58" s="3">
        <v>364.31900000000002</v>
      </c>
      <c r="G58" s="3">
        <f t="shared" si="0"/>
        <v>6.5889999999999986</v>
      </c>
      <c r="H58" s="4">
        <v>12.752787</v>
      </c>
      <c r="I58" s="4">
        <f t="shared" si="5"/>
        <v>84.028113542999975</v>
      </c>
    </row>
    <row r="59" spans="1:9" ht="19.5" thickBot="1" x14ac:dyDescent="0.35">
      <c r="A59" s="16">
        <v>57</v>
      </c>
      <c r="B59" s="17" t="s">
        <v>165</v>
      </c>
      <c r="C59" s="18" t="s">
        <v>166</v>
      </c>
      <c r="D59" s="18" t="s">
        <v>167</v>
      </c>
      <c r="E59" s="3">
        <v>405.07400000000001</v>
      </c>
      <c r="F59" s="3">
        <v>415.84800000000001</v>
      </c>
      <c r="G59" s="3">
        <f t="shared" si="0"/>
        <v>10.774000000000001</v>
      </c>
      <c r="H59" s="4">
        <v>12.752787</v>
      </c>
      <c r="I59" s="4">
        <f t="shared" si="5"/>
        <v>137.39852713800002</v>
      </c>
    </row>
    <row r="60" spans="1:9" ht="19.5" thickBot="1" x14ac:dyDescent="0.35">
      <c r="A60" s="29">
        <v>58</v>
      </c>
      <c r="B60" s="30" t="s">
        <v>168</v>
      </c>
      <c r="C60" s="31" t="s">
        <v>169</v>
      </c>
      <c r="D60" s="31" t="s">
        <v>170</v>
      </c>
      <c r="E60" s="3">
        <v>11.13</v>
      </c>
      <c r="F60" s="3">
        <v>11.396000000000001</v>
      </c>
      <c r="G60" s="3">
        <f t="shared" si="0"/>
        <v>0.26600000000000001</v>
      </c>
      <c r="H60" s="4">
        <v>12.752787</v>
      </c>
      <c r="I60" s="32">
        <v>7</v>
      </c>
    </row>
    <row r="61" spans="1:9" ht="19.5" thickBot="1" x14ac:dyDescent="0.35">
      <c r="A61" s="16">
        <v>59</v>
      </c>
      <c r="B61" s="17" t="s">
        <v>171</v>
      </c>
      <c r="C61" s="18" t="s">
        <v>172</v>
      </c>
      <c r="D61" s="18" t="s">
        <v>173</v>
      </c>
      <c r="E61" s="3">
        <v>123.91</v>
      </c>
      <c r="F61" s="3">
        <v>125.32</v>
      </c>
      <c r="G61" s="3">
        <f t="shared" si="0"/>
        <v>1.4099999999999966</v>
      </c>
      <c r="H61" s="4">
        <v>12.752787</v>
      </c>
      <c r="I61" s="4">
        <f t="shared" si="5"/>
        <v>17.981429669999955</v>
      </c>
    </row>
    <row r="62" spans="1:9" ht="19.5" thickBot="1" x14ac:dyDescent="0.35">
      <c r="A62" s="16">
        <v>60</v>
      </c>
      <c r="B62" s="17" t="s">
        <v>174</v>
      </c>
      <c r="C62" s="18" t="s">
        <v>175</v>
      </c>
      <c r="D62" s="18" t="s">
        <v>176</v>
      </c>
      <c r="E62" s="8">
        <v>69.03</v>
      </c>
      <c r="F62" s="8">
        <v>69.847999999999999</v>
      </c>
      <c r="G62" s="3">
        <f t="shared" si="0"/>
        <v>0.81799999999999784</v>
      </c>
      <c r="H62" s="4">
        <v>12.752787</v>
      </c>
      <c r="I62" s="4">
        <f t="shared" si="5"/>
        <v>10.431779765999972</v>
      </c>
    </row>
    <row r="63" spans="1:9" ht="19.5" thickBot="1" x14ac:dyDescent="0.35">
      <c r="A63" s="16">
        <v>61</v>
      </c>
      <c r="B63" s="17" t="s">
        <v>177</v>
      </c>
      <c r="C63" s="18" t="s">
        <v>178</v>
      </c>
      <c r="D63" s="18" t="s">
        <v>179</v>
      </c>
      <c r="E63" s="3">
        <v>69.09</v>
      </c>
      <c r="F63" s="3">
        <v>69.912999999999997</v>
      </c>
      <c r="G63" s="3">
        <f t="shared" si="0"/>
        <v>0.82299999999999329</v>
      </c>
      <c r="H63" s="4">
        <v>12.752787</v>
      </c>
      <c r="I63" s="4">
        <f t="shared" si="5"/>
        <v>10.495543700999914</v>
      </c>
    </row>
    <row r="64" spans="1:9" ht="19.5" thickBot="1" x14ac:dyDescent="0.35">
      <c r="A64" s="16">
        <v>62</v>
      </c>
      <c r="B64" s="17" t="s">
        <v>180</v>
      </c>
      <c r="C64" s="18" t="s">
        <v>181</v>
      </c>
      <c r="D64" s="18" t="s">
        <v>182</v>
      </c>
      <c r="E64" s="3">
        <v>95</v>
      </c>
      <c r="F64" s="3">
        <v>96.893000000000001</v>
      </c>
      <c r="G64" s="3">
        <f t="shared" si="0"/>
        <v>1.8930000000000007</v>
      </c>
      <c r="H64" s="4">
        <v>12.752787</v>
      </c>
      <c r="I64" s="4">
        <f t="shared" si="5"/>
        <v>24.141025791000008</v>
      </c>
    </row>
    <row r="65" spans="1:9" ht="19.5" thickBot="1" x14ac:dyDescent="0.35">
      <c r="A65" s="16">
        <v>63</v>
      </c>
      <c r="B65" s="17" t="s">
        <v>183</v>
      </c>
      <c r="C65" s="18" t="s">
        <v>184</v>
      </c>
      <c r="D65" s="18" t="s">
        <v>185</v>
      </c>
      <c r="E65" s="3">
        <v>119.62</v>
      </c>
      <c r="F65" s="3">
        <v>121.68600000000001</v>
      </c>
      <c r="G65" s="3">
        <f t="shared" si="0"/>
        <v>2.0660000000000025</v>
      </c>
      <c r="H65" s="4">
        <v>12.752787</v>
      </c>
      <c r="I65" s="4">
        <f t="shared" si="5"/>
        <v>26.347257942000031</v>
      </c>
    </row>
    <row r="66" spans="1:9" ht="19.5" thickBot="1" x14ac:dyDescent="0.35">
      <c r="A66" s="16">
        <v>64</v>
      </c>
      <c r="B66" s="17" t="s">
        <v>186</v>
      </c>
      <c r="C66" s="18" t="s">
        <v>187</v>
      </c>
      <c r="D66" s="18" t="s">
        <v>188</v>
      </c>
      <c r="E66" s="3">
        <v>144.19800000000001</v>
      </c>
      <c r="F66" s="3">
        <v>149.999</v>
      </c>
      <c r="G66" s="3">
        <f t="shared" si="0"/>
        <v>5.8009999999999877</v>
      </c>
      <c r="H66" s="4">
        <v>12.752787</v>
      </c>
      <c r="I66" s="4">
        <f t="shared" si="5"/>
        <v>73.978917386999839</v>
      </c>
    </row>
    <row r="67" spans="1:9" ht="19.5" thickBot="1" x14ac:dyDescent="0.35">
      <c r="A67" s="16">
        <v>65</v>
      </c>
      <c r="B67" s="33" t="s">
        <v>189</v>
      </c>
      <c r="C67" s="34" t="s">
        <v>190</v>
      </c>
      <c r="D67" s="34" t="s">
        <v>191</v>
      </c>
      <c r="E67" s="35">
        <v>463</v>
      </c>
      <c r="F67" s="35">
        <v>476.71800000000002</v>
      </c>
      <c r="G67" s="35">
        <f t="shared" si="0"/>
        <v>13.718000000000018</v>
      </c>
      <c r="H67" s="38">
        <v>12.752787</v>
      </c>
      <c r="I67" s="4">
        <f t="shared" si="5"/>
        <v>174.94273206600022</v>
      </c>
    </row>
    <row r="68" spans="1:9" ht="19.5" thickBot="1" x14ac:dyDescent="0.35">
      <c r="A68" s="16">
        <v>66</v>
      </c>
      <c r="B68" s="25" t="s">
        <v>192</v>
      </c>
      <c r="C68" s="26" t="s">
        <v>193</v>
      </c>
      <c r="D68" s="26" t="s">
        <v>194</v>
      </c>
      <c r="E68" s="7"/>
      <c r="F68" s="7"/>
      <c r="G68" s="3">
        <f t="shared" ref="G68:G90" si="6">SUM(F68-E68)</f>
        <v>0</v>
      </c>
      <c r="H68" s="4">
        <v>12.752787</v>
      </c>
      <c r="I68" s="5">
        <v>14</v>
      </c>
    </row>
    <row r="69" spans="1:9" ht="19.5" thickBot="1" x14ac:dyDescent="0.35">
      <c r="A69" s="16">
        <v>67</v>
      </c>
      <c r="B69" s="33" t="s">
        <v>195</v>
      </c>
      <c r="C69" s="34" t="s">
        <v>196</v>
      </c>
      <c r="D69" s="34" t="s">
        <v>197</v>
      </c>
      <c r="E69" s="35">
        <v>153.54</v>
      </c>
      <c r="F69" s="35">
        <v>155.05699999999999</v>
      </c>
      <c r="G69" s="35">
        <f t="shared" si="6"/>
        <v>1.5169999999999959</v>
      </c>
      <c r="H69" s="38">
        <v>12.752787</v>
      </c>
      <c r="I69" s="38">
        <f t="shared" si="5"/>
        <v>19.345977878999946</v>
      </c>
    </row>
    <row r="70" spans="1:9" ht="19.5" thickBot="1" x14ac:dyDescent="0.35">
      <c r="A70" s="16">
        <v>68</v>
      </c>
      <c r="B70" s="17" t="s">
        <v>198</v>
      </c>
      <c r="C70" s="18" t="s">
        <v>199</v>
      </c>
      <c r="D70" s="18" t="s">
        <v>200</v>
      </c>
      <c r="E70" s="3">
        <v>431.94</v>
      </c>
      <c r="F70" s="3">
        <v>456.15100000000001</v>
      </c>
      <c r="G70" s="3">
        <f t="shared" si="6"/>
        <v>24.211000000000013</v>
      </c>
      <c r="H70" s="4">
        <v>12.752787</v>
      </c>
      <c r="I70" s="4">
        <f t="shared" si="5"/>
        <v>308.75772605700013</v>
      </c>
    </row>
    <row r="71" spans="1:9" ht="19.5" thickBot="1" x14ac:dyDescent="0.35">
      <c r="A71" s="16">
        <v>69</v>
      </c>
      <c r="B71" s="17" t="s">
        <v>201</v>
      </c>
      <c r="C71" s="18" t="s">
        <v>202</v>
      </c>
      <c r="D71" s="18" t="s">
        <v>203</v>
      </c>
      <c r="E71" s="3">
        <v>234.3</v>
      </c>
      <c r="F71" s="3">
        <v>239.422</v>
      </c>
      <c r="G71" s="3">
        <f t="shared" si="6"/>
        <v>5.1219999999999857</v>
      </c>
      <c r="H71" s="4">
        <v>12.752787</v>
      </c>
      <c r="I71" s="4">
        <f t="shared" si="5"/>
        <v>65.319775013999816</v>
      </c>
    </row>
    <row r="72" spans="1:9" ht="19.5" thickBot="1" x14ac:dyDescent="0.35">
      <c r="A72" s="16">
        <v>70</v>
      </c>
      <c r="B72" s="17" t="s">
        <v>204</v>
      </c>
      <c r="C72" s="18" t="s">
        <v>205</v>
      </c>
      <c r="D72" s="18" t="s">
        <v>206</v>
      </c>
      <c r="E72" s="9">
        <v>521.80899999999997</v>
      </c>
      <c r="F72" s="9">
        <v>521.80899999999997</v>
      </c>
      <c r="G72" s="3">
        <f t="shared" si="6"/>
        <v>0</v>
      </c>
      <c r="H72" s="4">
        <v>12.752787</v>
      </c>
      <c r="I72" s="28">
        <v>78</v>
      </c>
    </row>
    <row r="73" spans="1:9" ht="19.5" thickBot="1" x14ac:dyDescent="0.35">
      <c r="A73" s="16">
        <v>71</v>
      </c>
      <c r="B73" s="17" t="s">
        <v>207</v>
      </c>
      <c r="C73" s="18" t="s">
        <v>208</v>
      </c>
      <c r="D73" s="18" t="s">
        <v>209</v>
      </c>
      <c r="E73" s="3">
        <v>124.73</v>
      </c>
      <c r="F73" s="3">
        <v>126.29</v>
      </c>
      <c r="G73" s="3">
        <f t="shared" si="6"/>
        <v>1.5600000000000023</v>
      </c>
      <c r="H73" s="4">
        <v>12.752787</v>
      </c>
      <c r="I73" s="4">
        <f t="shared" si="5"/>
        <v>19.894347720000027</v>
      </c>
    </row>
    <row r="74" spans="1:9" ht="19.5" thickBot="1" x14ac:dyDescent="0.35">
      <c r="A74" s="29">
        <v>72</v>
      </c>
      <c r="B74" s="30" t="s">
        <v>210</v>
      </c>
      <c r="C74" s="31" t="s">
        <v>211</v>
      </c>
      <c r="D74" s="31" t="s">
        <v>212</v>
      </c>
      <c r="E74" s="3">
        <v>98.11</v>
      </c>
      <c r="F74" s="3">
        <v>99.772000000000006</v>
      </c>
      <c r="G74" s="3">
        <f t="shared" si="6"/>
        <v>1.6620000000000061</v>
      </c>
      <c r="H74" s="4">
        <v>12.752787</v>
      </c>
      <c r="I74" s="32">
        <f t="shared" si="5"/>
        <v>21.195131994000079</v>
      </c>
    </row>
    <row r="75" spans="1:9" ht="19.5" thickBot="1" x14ac:dyDescent="0.35">
      <c r="A75" s="16">
        <v>73</v>
      </c>
      <c r="B75" s="17" t="s">
        <v>213</v>
      </c>
      <c r="C75" s="18" t="s">
        <v>214</v>
      </c>
      <c r="D75" s="18" t="s">
        <v>215</v>
      </c>
      <c r="E75" s="3">
        <v>36.74</v>
      </c>
      <c r="F75" s="3">
        <v>37.799999999999997</v>
      </c>
      <c r="G75" s="3">
        <f t="shared" si="6"/>
        <v>1.0599999999999952</v>
      </c>
      <c r="H75" s="4">
        <v>12.752787</v>
      </c>
      <c r="I75" s="4">
        <f t="shared" si="5"/>
        <v>13.517954219999938</v>
      </c>
    </row>
    <row r="76" spans="1:9" ht="19.5" thickBot="1" x14ac:dyDescent="0.35">
      <c r="A76" s="16">
        <v>74</v>
      </c>
      <c r="B76" s="17" t="s">
        <v>216</v>
      </c>
      <c r="C76" s="18" t="s">
        <v>217</v>
      </c>
      <c r="D76" s="18" t="s">
        <v>218</v>
      </c>
      <c r="E76" s="3">
        <v>158.04</v>
      </c>
      <c r="F76" s="3">
        <v>158.04</v>
      </c>
      <c r="G76" s="3">
        <f t="shared" si="6"/>
        <v>0</v>
      </c>
      <c r="H76" s="4">
        <v>12.752787</v>
      </c>
      <c r="I76" s="28">
        <v>45</v>
      </c>
    </row>
    <row r="77" spans="1:9" ht="19.5" thickBot="1" x14ac:dyDescent="0.35">
      <c r="A77" s="16">
        <v>75</v>
      </c>
      <c r="B77" s="17" t="s">
        <v>219</v>
      </c>
      <c r="C77" s="18" t="s">
        <v>220</v>
      </c>
      <c r="D77" s="18" t="s">
        <v>221</v>
      </c>
      <c r="E77" s="3">
        <v>40.799999999999997</v>
      </c>
      <c r="F77" s="3">
        <v>41.512</v>
      </c>
      <c r="G77" s="3">
        <f t="shared" si="6"/>
        <v>0.7120000000000033</v>
      </c>
      <c r="H77" s="4">
        <v>12.752787</v>
      </c>
      <c r="I77" s="4">
        <f t="shared" si="5"/>
        <v>9.0799843440000423</v>
      </c>
    </row>
    <row r="78" spans="1:9" ht="19.5" thickBot="1" x14ac:dyDescent="0.35">
      <c r="A78" s="16">
        <v>76</v>
      </c>
      <c r="B78" s="17" t="s">
        <v>222</v>
      </c>
      <c r="C78" s="18" t="s">
        <v>223</v>
      </c>
      <c r="D78" s="18" t="s">
        <v>224</v>
      </c>
      <c r="E78" s="3">
        <v>258.7</v>
      </c>
      <c r="F78" s="3">
        <v>265.18900000000002</v>
      </c>
      <c r="G78" s="3">
        <f t="shared" si="6"/>
        <v>6.4890000000000327</v>
      </c>
      <c r="H78" s="4">
        <v>12.752787</v>
      </c>
      <c r="I78" s="4">
        <f t="shared" si="5"/>
        <v>82.752834843000414</v>
      </c>
    </row>
    <row r="79" spans="1:9" ht="19.5" thickBot="1" x14ac:dyDescent="0.35">
      <c r="A79" s="16">
        <v>77</v>
      </c>
      <c r="B79" s="33" t="s">
        <v>225</v>
      </c>
      <c r="C79" s="34" t="s">
        <v>226</v>
      </c>
      <c r="D79" s="34" t="s">
        <v>227</v>
      </c>
      <c r="E79" s="35">
        <v>272.5</v>
      </c>
      <c r="F79" s="35">
        <v>276.60300000000001</v>
      </c>
      <c r="G79" s="3">
        <f t="shared" si="6"/>
        <v>4.1030000000000086</v>
      </c>
      <c r="H79" s="4">
        <v>12.752787</v>
      </c>
      <c r="I79" s="4">
        <f t="shared" si="5"/>
        <v>52.32468506100011</v>
      </c>
    </row>
    <row r="80" spans="1:9" ht="19.5" thickBot="1" x14ac:dyDescent="0.35">
      <c r="A80" s="16">
        <v>78</v>
      </c>
      <c r="B80" s="17" t="s">
        <v>228</v>
      </c>
      <c r="C80" s="18" t="s">
        <v>229</v>
      </c>
      <c r="D80" s="18" t="s">
        <v>230</v>
      </c>
      <c r="E80" s="3">
        <v>70.682000000000002</v>
      </c>
      <c r="F80" s="3">
        <v>70.680000000000007</v>
      </c>
      <c r="G80" s="3">
        <f t="shared" si="6"/>
        <v>-1.9999999999953388E-3</v>
      </c>
      <c r="H80" s="4">
        <v>12.752787</v>
      </c>
      <c r="I80" s="4">
        <v>10</v>
      </c>
    </row>
    <row r="81" spans="1:9" ht="19.5" thickBot="1" x14ac:dyDescent="0.35">
      <c r="A81" s="16">
        <v>79</v>
      </c>
      <c r="B81" s="17" t="s">
        <v>231</v>
      </c>
      <c r="C81" s="18" t="s">
        <v>232</v>
      </c>
      <c r="D81" s="18" t="s">
        <v>233</v>
      </c>
      <c r="E81" s="3">
        <v>28.58</v>
      </c>
      <c r="F81" s="3">
        <v>29.003</v>
      </c>
      <c r="G81" s="3">
        <f t="shared" si="6"/>
        <v>0.42300000000000182</v>
      </c>
      <c r="H81" s="4">
        <v>12.752787</v>
      </c>
      <c r="I81" s="4">
        <v>7</v>
      </c>
    </row>
    <row r="82" spans="1:9" ht="19.5" thickBot="1" x14ac:dyDescent="0.35">
      <c r="A82" s="16">
        <v>80</v>
      </c>
      <c r="B82" s="17" t="s">
        <v>234</v>
      </c>
      <c r="C82" s="18" t="s">
        <v>235</v>
      </c>
      <c r="D82" s="18" t="s">
        <v>236</v>
      </c>
      <c r="E82" s="3">
        <v>115.7</v>
      </c>
      <c r="F82" s="3">
        <v>118.2</v>
      </c>
      <c r="G82" s="3">
        <f t="shared" si="6"/>
        <v>2.5</v>
      </c>
      <c r="H82" s="4">
        <v>12.752787</v>
      </c>
      <c r="I82" s="4">
        <f t="shared" si="5"/>
        <v>31.881967499999998</v>
      </c>
    </row>
    <row r="83" spans="1:9" ht="19.5" thickBot="1" x14ac:dyDescent="0.35">
      <c r="A83" s="16">
        <v>81</v>
      </c>
      <c r="B83" s="17" t="s">
        <v>237</v>
      </c>
      <c r="C83" s="18" t="s">
        <v>238</v>
      </c>
      <c r="D83" s="18" t="s">
        <v>239</v>
      </c>
      <c r="E83" s="3">
        <v>808.5</v>
      </c>
      <c r="F83" s="3">
        <v>827.31500000000005</v>
      </c>
      <c r="G83" s="3">
        <f t="shared" si="6"/>
        <v>18.815000000000055</v>
      </c>
      <c r="H83" s="4">
        <v>12.752787</v>
      </c>
      <c r="I83" s="4">
        <f t="shared" si="5"/>
        <v>239.9436874050007</v>
      </c>
    </row>
    <row r="84" spans="1:9" ht="19.5" thickBot="1" x14ac:dyDescent="0.35">
      <c r="A84" s="16">
        <v>82</v>
      </c>
      <c r="B84" s="17" t="s">
        <v>240</v>
      </c>
      <c r="C84" s="18" t="s">
        <v>241</v>
      </c>
      <c r="D84" s="18" t="s">
        <v>242</v>
      </c>
      <c r="E84" s="9">
        <v>89.759</v>
      </c>
      <c r="F84" s="9">
        <v>89.759</v>
      </c>
      <c r="G84" s="3">
        <f t="shared" si="6"/>
        <v>0</v>
      </c>
      <c r="H84" s="4">
        <v>12.752787</v>
      </c>
      <c r="I84" s="28">
        <v>20</v>
      </c>
    </row>
    <row r="85" spans="1:9" ht="19.5" thickBot="1" x14ac:dyDescent="0.35">
      <c r="A85" s="16">
        <v>83</v>
      </c>
      <c r="B85" s="17" t="s">
        <v>243</v>
      </c>
      <c r="C85" s="19"/>
      <c r="D85" s="18" t="s">
        <v>244</v>
      </c>
      <c r="E85" s="3"/>
      <c r="F85" s="3"/>
      <c r="G85" s="3">
        <f t="shared" si="6"/>
        <v>0</v>
      </c>
      <c r="H85" s="4">
        <v>12.752787</v>
      </c>
      <c r="I85" s="5">
        <v>7</v>
      </c>
    </row>
    <row r="86" spans="1:9" ht="19.5" thickBot="1" x14ac:dyDescent="0.35">
      <c r="A86" s="16">
        <v>84</v>
      </c>
      <c r="B86" s="17" t="s">
        <v>245</v>
      </c>
      <c r="C86" s="19" t="s">
        <v>246</v>
      </c>
      <c r="D86" s="18"/>
      <c r="E86" s="3">
        <v>21.611000000000001</v>
      </c>
      <c r="F86" s="3">
        <v>22.443000000000001</v>
      </c>
      <c r="G86" s="3">
        <f t="shared" si="6"/>
        <v>0.83200000000000074</v>
      </c>
      <c r="H86" s="4">
        <v>12.752787</v>
      </c>
      <c r="I86" s="4">
        <f t="shared" si="5"/>
        <v>10.610318784000009</v>
      </c>
    </row>
    <row r="87" spans="1:9" ht="19.5" thickBot="1" x14ac:dyDescent="0.35">
      <c r="A87" s="16">
        <v>85</v>
      </c>
      <c r="B87" s="17" t="s">
        <v>247</v>
      </c>
      <c r="C87" s="19"/>
      <c r="D87" s="18"/>
      <c r="E87" s="3">
        <v>12.7</v>
      </c>
      <c r="F87" s="3">
        <v>13.733000000000001</v>
      </c>
      <c r="G87" s="3">
        <f t="shared" si="6"/>
        <v>1.0330000000000013</v>
      </c>
      <c r="H87" s="4">
        <v>12.752787</v>
      </c>
      <c r="I87" s="4">
        <f t="shared" si="5"/>
        <v>13.173628971000015</v>
      </c>
    </row>
    <row r="88" spans="1:9" ht="19.5" thickBot="1" x14ac:dyDescent="0.35">
      <c r="A88" s="16">
        <v>86</v>
      </c>
      <c r="B88" s="17" t="s">
        <v>248</v>
      </c>
      <c r="C88" s="19"/>
      <c r="D88" s="18"/>
      <c r="E88" s="3">
        <v>3.11</v>
      </c>
      <c r="F88" s="3">
        <v>3.4929999999999999</v>
      </c>
      <c r="G88" s="3">
        <f t="shared" si="6"/>
        <v>0.38300000000000001</v>
      </c>
      <c r="H88" s="4">
        <v>12.752787</v>
      </c>
      <c r="I88" s="4">
        <v>8</v>
      </c>
    </row>
    <row r="89" spans="1:9" ht="19.5" thickBot="1" x14ac:dyDescent="0.35">
      <c r="A89" s="16"/>
      <c r="B89" s="39" t="s">
        <v>258</v>
      </c>
      <c r="C89" s="19"/>
      <c r="D89" s="18"/>
      <c r="E89" s="3"/>
      <c r="F89" s="3"/>
      <c r="G89" s="3"/>
      <c r="H89" s="4"/>
      <c r="I89" s="40">
        <f>SUM(I2:I88)</f>
        <v>4416.8340559700009</v>
      </c>
    </row>
    <row r="90" spans="1:9" ht="19.5" thickBot="1" x14ac:dyDescent="0.35">
      <c r="A90" s="16">
        <v>87</v>
      </c>
      <c r="B90" s="17" t="s">
        <v>249</v>
      </c>
      <c r="C90" s="20"/>
      <c r="D90" s="18"/>
      <c r="E90" s="3">
        <v>5810.0929999999998</v>
      </c>
      <c r="F90" s="3">
        <v>6065.7160000000003</v>
      </c>
      <c r="G90" s="3">
        <f t="shared" si="6"/>
        <v>255.6230000000005</v>
      </c>
      <c r="H90" s="4">
        <v>12.752787</v>
      </c>
      <c r="I90" s="40">
        <v>3259.9</v>
      </c>
    </row>
    <row r="91" spans="1:9" ht="21.75" thickBot="1" x14ac:dyDescent="0.4">
      <c r="A91" s="16"/>
      <c r="I91" s="37"/>
    </row>
    <row r="93" spans="1:9" x14ac:dyDescent="0.25">
      <c r="E93" s="10" t="s">
        <v>250</v>
      </c>
      <c r="F93" s="10"/>
      <c r="G93" s="10"/>
    </row>
    <row r="94" spans="1:9" ht="15.75" thickBot="1" x14ac:dyDescent="0.3">
      <c r="E94" s="10"/>
      <c r="F94" s="10"/>
      <c r="G94" s="10"/>
    </row>
    <row r="95" spans="1:9" ht="24" thickBot="1" x14ac:dyDescent="0.4">
      <c r="B95" s="11" t="s">
        <v>251</v>
      </c>
      <c r="C95" s="12" t="s">
        <v>252</v>
      </c>
      <c r="E95" s="10"/>
      <c r="F95" s="10"/>
      <c r="G95" s="10"/>
    </row>
    <row r="96" spans="1:9" ht="21.75" thickBot="1" x14ac:dyDescent="0.4">
      <c r="B96" s="13" t="s">
        <v>253</v>
      </c>
      <c r="C96" s="36"/>
      <c r="E96" s="10"/>
      <c r="F96" s="10"/>
      <c r="G96" s="10"/>
    </row>
    <row r="97" spans="2:7" ht="21.75" thickBot="1" x14ac:dyDescent="0.4">
      <c r="B97" s="13" t="s">
        <v>254</v>
      </c>
      <c r="C97" s="14"/>
      <c r="E97" s="10"/>
      <c r="F97" s="10"/>
      <c r="G97" s="10"/>
    </row>
  </sheetData>
  <pageMargins left="0.11811023622047245" right="0" top="0.74803149606299213" bottom="0.74803149606299213" header="0.31496062992125984" footer="0.31496062992125984"/>
  <pageSetup paperSize="9"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088C8-7B6E-4A42-9D9E-5BF92F50761B}">
  <dimension ref="A1:F258"/>
  <sheetViews>
    <sheetView topLeftCell="A232" workbookViewId="0">
      <selection activeCell="H9" sqref="H9"/>
    </sheetView>
  </sheetViews>
  <sheetFormatPr baseColWidth="10" defaultRowHeight="15" x14ac:dyDescent="0.25"/>
  <cols>
    <col min="1" max="1" width="7.28515625" customWidth="1"/>
    <col min="2" max="2" width="40.5703125" customWidth="1"/>
    <col min="3" max="3" width="11.28515625" customWidth="1"/>
    <col min="4" max="4" width="9.42578125" customWidth="1"/>
  </cols>
  <sheetData>
    <row r="1" spans="1:6" x14ac:dyDescent="0.25">
      <c r="A1" s="41"/>
      <c r="B1" s="41"/>
      <c r="C1" s="42"/>
      <c r="D1" s="42"/>
      <c r="E1" s="42"/>
      <c r="F1" s="42"/>
    </row>
    <row r="2" spans="1:6" x14ac:dyDescent="0.25">
      <c r="A2" s="81" t="s">
        <v>260</v>
      </c>
      <c r="B2" s="81"/>
      <c r="C2" s="81"/>
      <c r="D2" s="81"/>
      <c r="E2" s="81"/>
      <c r="F2" s="81"/>
    </row>
    <row r="3" spans="1:6" x14ac:dyDescent="0.25">
      <c r="A3" s="81"/>
      <c r="B3" s="81"/>
      <c r="C3" s="81"/>
      <c r="D3" s="81"/>
      <c r="E3" s="81"/>
      <c r="F3" s="81"/>
    </row>
    <row r="4" spans="1:6" x14ac:dyDescent="0.25">
      <c r="A4" s="41"/>
      <c r="B4" s="41"/>
      <c r="C4" s="42"/>
      <c r="D4" s="42"/>
      <c r="E4" s="42"/>
      <c r="F4" s="42"/>
    </row>
    <row r="5" spans="1:6" x14ac:dyDescent="0.25">
      <c r="A5" s="82" t="s">
        <v>0</v>
      </c>
      <c r="B5" s="84" t="s">
        <v>1</v>
      </c>
      <c r="C5" s="85" t="s">
        <v>261</v>
      </c>
      <c r="D5" s="86" t="s">
        <v>262</v>
      </c>
      <c r="E5" s="88" t="s">
        <v>263</v>
      </c>
      <c r="F5" s="85" t="s">
        <v>264</v>
      </c>
    </row>
    <row r="6" spans="1:6" x14ac:dyDescent="0.25">
      <c r="A6" s="83"/>
      <c r="B6" s="84"/>
      <c r="C6" s="85"/>
      <c r="D6" s="87"/>
      <c r="E6" s="88"/>
      <c r="F6" s="85"/>
    </row>
    <row r="7" spans="1:6" ht="15.75" x14ac:dyDescent="0.25">
      <c r="A7" s="43">
        <v>1</v>
      </c>
      <c r="B7" s="44" t="s">
        <v>265</v>
      </c>
      <c r="C7" s="45">
        <v>7</v>
      </c>
      <c r="D7" s="46"/>
      <c r="E7" s="47">
        <f>+D7+C7</f>
        <v>7</v>
      </c>
      <c r="F7" s="48">
        <f>+ROUND(E7,1)</f>
        <v>7</v>
      </c>
    </row>
    <row r="8" spans="1:6" ht="15.75" x14ac:dyDescent="0.25">
      <c r="A8" s="49">
        <v>2</v>
      </c>
      <c r="B8" s="50" t="s">
        <v>266</v>
      </c>
      <c r="C8" s="45">
        <v>7</v>
      </c>
      <c r="D8" s="46"/>
      <c r="E8" s="47">
        <f>+D8+C8</f>
        <v>7</v>
      </c>
      <c r="F8" s="48">
        <f t="shared" ref="F8:F71" si="0">+ROUND(E8,1)</f>
        <v>7</v>
      </c>
    </row>
    <row r="9" spans="1:6" ht="15.75" x14ac:dyDescent="0.25">
      <c r="A9" s="49">
        <v>3</v>
      </c>
      <c r="B9" s="51" t="s">
        <v>267</v>
      </c>
      <c r="C9" s="45">
        <v>7</v>
      </c>
      <c r="D9" s="46"/>
      <c r="E9" s="47">
        <f>+D9+C9</f>
        <v>7</v>
      </c>
      <c r="F9" s="48">
        <f t="shared" si="0"/>
        <v>7</v>
      </c>
    </row>
    <row r="10" spans="1:6" ht="15.75" x14ac:dyDescent="0.25">
      <c r="A10" s="43">
        <v>4</v>
      </c>
      <c r="B10" s="52" t="s">
        <v>268</v>
      </c>
      <c r="C10" s="53">
        <v>24</v>
      </c>
      <c r="D10" s="46"/>
      <c r="E10" s="47">
        <f>+D10+C10</f>
        <v>24</v>
      </c>
      <c r="F10" s="48">
        <f t="shared" si="0"/>
        <v>24</v>
      </c>
    </row>
    <row r="11" spans="1:6" ht="15.75" x14ac:dyDescent="0.25">
      <c r="A11" s="49">
        <v>5</v>
      </c>
      <c r="B11" s="51" t="s">
        <v>269</v>
      </c>
      <c r="C11" s="46">
        <v>7</v>
      </c>
      <c r="D11" s="46"/>
      <c r="E11" s="47">
        <f>+D11+C11</f>
        <v>7</v>
      </c>
      <c r="F11" s="48">
        <f t="shared" si="0"/>
        <v>7</v>
      </c>
    </row>
    <row r="12" spans="1:6" ht="15.75" x14ac:dyDescent="0.25">
      <c r="A12" s="49">
        <v>6</v>
      </c>
      <c r="B12" s="51" t="s">
        <v>270</v>
      </c>
      <c r="C12" s="46">
        <v>7</v>
      </c>
      <c r="D12" s="46"/>
      <c r="E12" s="47">
        <f>+D12+C12</f>
        <v>7</v>
      </c>
      <c r="F12" s="48">
        <f t="shared" si="0"/>
        <v>7</v>
      </c>
    </row>
    <row r="13" spans="1:6" ht="15.75" x14ac:dyDescent="0.25">
      <c r="A13" s="43">
        <v>7</v>
      </c>
      <c r="B13" s="51" t="s">
        <v>271</v>
      </c>
      <c r="C13" s="46">
        <v>7</v>
      </c>
      <c r="D13" s="46"/>
      <c r="E13" s="47">
        <f>+D13+C13</f>
        <v>7</v>
      </c>
      <c r="F13" s="48">
        <f t="shared" si="0"/>
        <v>7</v>
      </c>
    </row>
    <row r="14" spans="1:6" ht="15.75" x14ac:dyDescent="0.25">
      <c r="A14" s="49">
        <v>8</v>
      </c>
      <c r="B14" s="51" t="s">
        <v>272</v>
      </c>
      <c r="C14" s="46">
        <v>7</v>
      </c>
      <c r="D14" s="46"/>
      <c r="E14" s="47">
        <f>+D14+C14</f>
        <v>7</v>
      </c>
      <c r="F14" s="48">
        <f t="shared" si="0"/>
        <v>7</v>
      </c>
    </row>
    <row r="15" spans="1:6" ht="15.75" x14ac:dyDescent="0.25">
      <c r="A15" s="49">
        <v>9</v>
      </c>
      <c r="B15" s="51" t="s">
        <v>273</v>
      </c>
      <c r="C15" s="46">
        <v>7</v>
      </c>
      <c r="D15" s="46"/>
      <c r="E15" s="47">
        <f>+D15+C15</f>
        <v>7</v>
      </c>
      <c r="F15" s="48">
        <f t="shared" si="0"/>
        <v>7</v>
      </c>
    </row>
    <row r="16" spans="1:6" ht="15.75" x14ac:dyDescent="0.25">
      <c r="A16" s="43">
        <v>10</v>
      </c>
      <c r="B16" s="51" t="s">
        <v>274</v>
      </c>
      <c r="C16" s="46">
        <v>7</v>
      </c>
      <c r="D16" s="46"/>
      <c r="E16" s="47">
        <f>+D16+C16</f>
        <v>7</v>
      </c>
      <c r="F16" s="48">
        <f t="shared" si="0"/>
        <v>7</v>
      </c>
    </row>
    <row r="17" spans="1:6" ht="15.75" x14ac:dyDescent="0.25">
      <c r="A17" s="49">
        <v>11</v>
      </c>
      <c r="B17" s="51" t="s">
        <v>275</v>
      </c>
      <c r="C17" s="46">
        <v>7</v>
      </c>
      <c r="D17" s="46"/>
      <c r="E17" s="47">
        <f>+D17+C17</f>
        <v>7</v>
      </c>
      <c r="F17" s="48">
        <f t="shared" si="0"/>
        <v>7</v>
      </c>
    </row>
    <row r="18" spans="1:6" ht="15.75" x14ac:dyDescent="0.25">
      <c r="A18" s="49">
        <v>12</v>
      </c>
      <c r="B18" s="51" t="s">
        <v>276</v>
      </c>
      <c r="C18" s="46">
        <v>7</v>
      </c>
      <c r="D18" s="46"/>
      <c r="E18" s="47">
        <f>+D18+C18</f>
        <v>7</v>
      </c>
      <c r="F18" s="48">
        <f t="shared" si="0"/>
        <v>7</v>
      </c>
    </row>
    <row r="19" spans="1:6" ht="15.75" x14ac:dyDescent="0.25">
      <c r="A19" s="43">
        <v>13</v>
      </c>
      <c r="B19" s="51" t="s">
        <v>277</v>
      </c>
      <c r="C19" s="46">
        <v>7</v>
      </c>
      <c r="D19" s="46"/>
      <c r="E19" s="47">
        <f>+D19+C19</f>
        <v>7</v>
      </c>
      <c r="F19" s="48">
        <f t="shared" si="0"/>
        <v>7</v>
      </c>
    </row>
    <row r="20" spans="1:6" ht="15.75" x14ac:dyDescent="0.25">
      <c r="A20" s="49">
        <v>14</v>
      </c>
      <c r="B20" s="51" t="s">
        <v>278</v>
      </c>
      <c r="C20" s="46">
        <v>10</v>
      </c>
      <c r="D20" s="46"/>
      <c r="E20" s="47">
        <f>+D20+C20</f>
        <v>10</v>
      </c>
      <c r="F20" s="48">
        <f t="shared" si="0"/>
        <v>10</v>
      </c>
    </row>
    <row r="21" spans="1:6" ht="15.75" x14ac:dyDescent="0.25">
      <c r="A21" s="49">
        <v>15</v>
      </c>
      <c r="B21" s="52" t="s">
        <v>11</v>
      </c>
      <c r="C21" s="53">
        <v>53.8</v>
      </c>
      <c r="D21" s="46"/>
      <c r="E21" s="47">
        <f>+D21+C21</f>
        <v>53.8</v>
      </c>
      <c r="F21" s="48">
        <f t="shared" si="0"/>
        <v>53.8</v>
      </c>
    </row>
    <row r="22" spans="1:6" ht="15.75" x14ac:dyDescent="0.25">
      <c r="A22" s="43">
        <v>16</v>
      </c>
      <c r="B22" s="51" t="s">
        <v>279</v>
      </c>
      <c r="C22" s="46">
        <v>7</v>
      </c>
      <c r="D22" s="46"/>
      <c r="E22" s="47">
        <f>+D22+C22</f>
        <v>7</v>
      </c>
      <c r="F22" s="48">
        <f t="shared" si="0"/>
        <v>7</v>
      </c>
    </row>
    <row r="23" spans="1:6" ht="15.75" x14ac:dyDescent="0.25">
      <c r="A23" s="49">
        <v>17</v>
      </c>
      <c r="B23" s="51" t="s">
        <v>280</v>
      </c>
      <c r="C23" s="46">
        <v>7</v>
      </c>
      <c r="D23" s="46"/>
      <c r="E23" s="47">
        <f>+D23+C23</f>
        <v>7</v>
      </c>
      <c r="F23" s="48">
        <f t="shared" si="0"/>
        <v>7</v>
      </c>
    </row>
    <row r="24" spans="1:6" ht="15.75" x14ac:dyDescent="0.25">
      <c r="A24" s="49">
        <v>18</v>
      </c>
      <c r="B24" s="54" t="s">
        <v>14</v>
      </c>
      <c r="C24" s="46">
        <v>7</v>
      </c>
      <c r="D24" s="46"/>
      <c r="E24" s="47">
        <f>+D24+C24</f>
        <v>7</v>
      </c>
      <c r="F24" s="48">
        <f t="shared" si="0"/>
        <v>7</v>
      </c>
    </row>
    <row r="25" spans="1:6" ht="15.75" x14ac:dyDescent="0.25">
      <c r="A25" s="43">
        <v>19</v>
      </c>
      <c r="B25" s="54" t="s">
        <v>17</v>
      </c>
      <c r="C25" s="46">
        <v>7</v>
      </c>
      <c r="D25" s="46"/>
      <c r="E25" s="47">
        <f>+D25+C25</f>
        <v>7</v>
      </c>
      <c r="F25" s="48">
        <f t="shared" si="0"/>
        <v>7</v>
      </c>
    </row>
    <row r="26" spans="1:6" ht="15.75" x14ac:dyDescent="0.25">
      <c r="A26" s="49">
        <v>20</v>
      </c>
      <c r="B26" s="52" t="s">
        <v>281</v>
      </c>
      <c r="C26" s="53">
        <v>112.35</v>
      </c>
      <c r="D26" s="46"/>
      <c r="E26" s="47">
        <f>+D26+C26</f>
        <v>112.35</v>
      </c>
      <c r="F26" s="48">
        <f t="shared" si="0"/>
        <v>112.4</v>
      </c>
    </row>
    <row r="27" spans="1:6" ht="15.75" x14ac:dyDescent="0.25">
      <c r="A27" s="49">
        <v>21</v>
      </c>
      <c r="B27" s="51" t="s">
        <v>282</v>
      </c>
      <c r="C27" s="46">
        <v>7</v>
      </c>
      <c r="D27" s="46"/>
      <c r="E27" s="47">
        <f>+D27+C27</f>
        <v>7</v>
      </c>
      <c r="F27" s="48">
        <f t="shared" si="0"/>
        <v>7</v>
      </c>
    </row>
    <row r="28" spans="1:6" ht="15.75" x14ac:dyDescent="0.25">
      <c r="A28" s="43">
        <v>22</v>
      </c>
      <c r="B28" s="51" t="s">
        <v>283</v>
      </c>
      <c r="C28" s="46">
        <v>7</v>
      </c>
      <c r="D28" s="46"/>
      <c r="E28" s="47">
        <f>+D28+C28</f>
        <v>7</v>
      </c>
      <c r="F28" s="48">
        <f t="shared" si="0"/>
        <v>7</v>
      </c>
    </row>
    <row r="29" spans="1:6" ht="15.75" x14ac:dyDescent="0.25">
      <c r="A29" s="49">
        <v>23</v>
      </c>
      <c r="B29" s="54" t="s">
        <v>284</v>
      </c>
      <c r="C29" s="55">
        <v>16.2</v>
      </c>
      <c r="D29" s="46"/>
      <c r="E29" s="47">
        <f>+D29+C29</f>
        <v>16.2</v>
      </c>
      <c r="F29" s="48">
        <f t="shared" si="0"/>
        <v>16.2</v>
      </c>
    </row>
    <row r="30" spans="1:6" ht="15.75" x14ac:dyDescent="0.25">
      <c r="A30" s="49">
        <v>24</v>
      </c>
      <c r="B30" s="51" t="s">
        <v>285</v>
      </c>
      <c r="C30" s="46">
        <v>7</v>
      </c>
      <c r="D30" s="46"/>
      <c r="E30" s="47">
        <f>+D30+C30</f>
        <v>7</v>
      </c>
      <c r="F30" s="48">
        <f t="shared" si="0"/>
        <v>7</v>
      </c>
    </row>
    <row r="31" spans="1:6" ht="15.75" x14ac:dyDescent="0.25">
      <c r="A31" s="43">
        <v>25</v>
      </c>
      <c r="B31" s="51" t="s">
        <v>286</v>
      </c>
      <c r="C31" s="46">
        <v>7</v>
      </c>
      <c r="D31" s="46"/>
      <c r="E31" s="47">
        <f>+D31+C31</f>
        <v>7</v>
      </c>
      <c r="F31" s="48">
        <f t="shared" si="0"/>
        <v>7</v>
      </c>
    </row>
    <row r="32" spans="1:6" ht="15.75" x14ac:dyDescent="0.25">
      <c r="A32" s="56">
        <v>26</v>
      </c>
      <c r="B32" s="52" t="s">
        <v>26</v>
      </c>
      <c r="C32" s="48">
        <v>10</v>
      </c>
      <c r="D32" s="46"/>
      <c r="E32" s="47">
        <f>+D32+C32</f>
        <v>10</v>
      </c>
      <c r="F32" s="48">
        <f t="shared" si="0"/>
        <v>10</v>
      </c>
    </row>
    <row r="33" spans="1:6" ht="15.75" x14ac:dyDescent="0.25">
      <c r="A33" s="49">
        <v>27</v>
      </c>
      <c r="B33" s="54" t="s">
        <v>287</v>
      </c>
      <c r="C33" s="46">
        <v>7</v>
      </c>
      <c r="D33" s="46"/>
      <c r="E33" s="47">
        <f>+D33+C33</f>
        <v>7</v>
      </c>
      <c r="F33" s="48">
        <f t="shared" si="0"/>
        <v>7</v>
      </c>
    </row>
    <row r="34" spans="1:6" ht="15.75" x14ac:dyDescent="0.25">
      <c r="A34" s="43">
        <v>28</v>
      </c>
      <c r="B34" s="51" t="s">
        <v>288</v>
      </c>
      <c r="C34" s="46">
        <v>7</v>
      </c>
      <c r="D34" s="46"/>
      <c r="E34" s="47">
        <f>+D34+C34</f>
        <v>7</v>
      </c>
      <c r="F34" s="48">
        <f t="shared" si="0"/>
        <v>7</v>
      </c>
    </row>
    <row r="35" spans="1:6" ht="15.75" x14ac:dyDescent="0.25">
      <c r="A35" s="49">
        <v>29</v>
      </c>
      <c r="B35" s="52" t="s">
        <v>30</v>
      </c>
      <c r="C35" s="48">
        <v>7</v>
      </c>
      <c r="D35" s="46"/>
      <c r="E35" s="47">
        <f>+D35+C35</f>
        <v>7</v>
      </c>
      <c r="F35" s="48">
        <f t="shared" si="0"/>
        <v>7</v>
      </c>
    </row>
    <row r="36" spans="1:6" ht="15.75" x14ac:dyDescent="0.25">
      <c r="A36" s="49">
        <v>30</v>
      </c>
      <c r="B36" s="52" t="s">
        <v>289</v>
      </c>
      <c r="C36" s="48">
        <v>19.440000000000001</v>
      </c>
      <c r="D36" s="46"/>
      <c r="E36" s="47">
        <f>+D36+C36</f>
        <v>19.440000000000001</v>
      </c>
      <c r="F36" s="48">
        <f t="shared" si="0"/>
        <v>19.399999999999999</v>
      </c>
    </row>
    <row r="37" spans="1:6" ht="15.75" x14ac:dyDescent="0.25">
      <c r="A37" s="43">
        <v>31</v>
      </c>
      <c r="B37" s="52" t="s">
        <v>290</v>
      </c>
      <c r="C37" s="48">
        <v>10.28</v>
      </c>
      <c r="D37" s="46"/>
      <c r="E37" s="47">
        <f>+D37+C37</f>
        <v>10.28</v>
      </c>
      <c r="F37" s="48">
        <f t="shared" si="0"/>
        <v>10.3</v>
      </c>
    </row>
    <row r="38" spans="1:6" ht="15.75" x14ac:dyDescent="0.25">
      <c r="A38" s="49">
        <v>32</v>
      </c>
      <c r="B38" s="51" t="s">
        <v>291</v>
      </c>
      <c r="C38" s="46">
        <v>7</v>
      </c>
      <c r="D38" s="46"/>
      <c r="E38" s="47">
        <f>+D38+C38</f>
        <v>7</v>
      </c>
      <c r="F38" s="48">
        <f t="shared" si="0"/>
        <v>7</v>
      </c>
    </row>
    <row r="39" spans="1:6" ht="15.75" x14ac:dyDescent="0.25">
      <c r="A39" s="49">
        <v>33</v>
      </c>
      <c r="B39" s="52" t="s">
        <v>292</v>
      </c>
      <c r="C39" s="48">
        <v>12.73</v>
      </c>
      <c r="D39" s="46"/>
      <c r="E39" s="47">
        <f>+D39+C39</f>
        <v>12.73</v>
      </c>
      <c r="F39" s="48">
        <f t="shared" si="0"/>
        <v>12.7</v>
      </c>
    </row>
    <row r="40" spans="1:6" ht="15.75" x14ac:dyDescent="0.25">
      <c r="A40" s="43">
        <v>34</v>
      </c>
      <c r="B40" s="51" t="s">
        <v>293</v>
      </c>
      <c r="C40" s="46">
        <v>7</v>
      </c>
      <c r="D40" s="46"/>
      <c r="E40" s="47">
        <f>+D40+C40</f>
        <v>7</v>
      </c>
      <c r="F40" s="48">
        <f t="shared" si="0"/>
        <v>7</v>
      </c>
    </row>
    <row r="41" spans="1:6" ht="15.75" x14ac:dyDescent="0.25">
      <c r="A41" s="49">
        <v>35</v>
      </c>
      <c r="B41" s="51" t="s">
        <v>294</v>
      </c>
      <c r="C41" s="46">
        <v>7</v>
      </c>
      <c r="D41" s="46"/>
      <c r="E41" s="47">
        <f>+D41+C41</f>
        <v>7</v>
      </c>
      <c r="F41" s="48">
        <f t="shared" si="0"/>
        <v>7</v>
      </c>
    </row>
    <row r="42" spans="1:6" ht="15.75" x14ac:dyDescent="0.25">
      <c r="A42" s="49">
        <v>36</v>
      </c>
      <c r="B42" s="57" t="s">
        <v>38</v>
      </c>
      <c r="C42" s="58">
        <v>7</v>
      </c>
      <c r="D42" s="46"/>
      <c r="E42" s="47">
        <f>+D42+C42</f>
        <v>7</v>
      </c>
      <c r="F42" s="48">
        <f t="shared" si="0"/>
        <v>7</v>
      </c>
    </row>
    <row r="43" spans="1:6" ht="15.75" x14ac:dyDescent="0.25">
      <c r="A43" s="43">
        <v>37</v>
      </c>
      <c r="B43" s="51" t="s">
        <v>295</v>
      </c>
      <c r="C43" s="46">
        <v>7</v>
      </c>
      <c r="D43" s="46"/>
      <c r="E43" s="47">
        <f>+D43+C43</f>
        <v>7</v>
      </c>
      <c r="F43" s="48">
        <f t="shared" si="0"/>
        <v>7</v>
      </c>
    </row>
    <row r="44" spans="1:6" ht="15.75" x14ac:dyDescent="0.25">
      <c r="A44" s="49">
        <v>38</v>
      </c>
      <c r="B44" s="51" t="s">
        <v>296</v>
      </c>
      <c r="C44" s="46">
        <v>7</v>
      </c>
      <c r="D44" s="46"/>
      <c r="E44" s="47">
        <f>+D44+C44</f>
        <v>7</v>
      </c>
      <c r="F44" s="48">
        <f t="shared" si="0"/>
        <v>7</v>
      </c>
    </row>
    <row r="45" spans="1:6" ht="15.75" x14ac:dyDescent="0.25">
      <c r="A45" s="49">
        <v>39</v>
      </c>
      <c r="B45" s="51" t="s">
        <v>297</v>
      </c>
      <c r="C45" s="46">
        <v>7</v>
      </c>
      <c r="D45" s="46"/>
      <c r="E45" s="47">
        <f>+D45+C45</f>
        <v>7</v>
      </c>
      <c r="F45" s="48">
        <f t="shared" si="0"/>
        <v>7</v>
      </c>
    </row>
    <row r="46" spans="1:6" ht="15.75" x14ac:dyDescent="0.25">
      <c r="A46" s="43">
        <v>40</v>
      </c>
      <c r="B46" s="52" t="s">
        <v>298</v>
      </c>
      <c r="C46" s="53">
        <v>25.2</v>
      </c>
      <c r="D46" s="46"/>
      <c r="E46" s="47">
        <f>+D46+C46</f>
        <v>25.2</v>
      </c>
      <c r="F46" s="48">
        <f t="shared" si="0"/>
        <v>25.2</v>
      </c>
    </row>
    <row r="47" spans="1:6" ht="15.75" x14ac:dyDescent="0.25">
      <c r="A47" s="49">
        <v>41</v>
      </c>
      <c r="B47" s="52" t="s">
        <v>299</v>
      </c>
      <c r="C47" s="48">
        <v>12.42</v>
      </c>
      <c r="D47" s="46"/>
      <c r="E47" s="47">
        <f>+D47+C47</f>
        <v>12.42</v>
      </c>
      <c r="F47" s="48">
        <f t="shared" si="0"/>
        <v>12.4</v>
      </c>
    </row>
    <row r="48" spans="1:6" ht="15.75" x14ac:dyDescent="0.25">
      <c r="A48" s="49">
        <v>42</v>
      </c>
      <c r="B48" s="51" t="s">
        <v>300</v>
      </c>
      <c r="C48" s="46">
        <v>7</v>
      </c>
      <c r="D48" s="46"/>
      <c r="E48" s="47">
        <f>+D48+C48</f>
        <v>7</v>
      </c>
      <c r="F48" s="48">
        <f t="shared" si="0"/>
        <v>7</v>
      </c>
    </row>
    <row r="49" spans="1:6" ht="15.75" x14ac:dyDescent="0.25">
      <c r="A49" s="43">
        <v>43</v>
      </c>
      <c r="B49" s="52" t="s">
        <v>47</v>
      </c>
      <c r="C49" s="53">
        <v>26.08</v>
      </c>
      <c r="D49" s="46"/>
      <c r="E49" s="47">
        <f>+D49+C49</f>
        <v>26.08</v>
      </c>
      <c r="F49" s="48">
        <f t="shared" si="0"/>
        <v>26.1</v>
      </c>
    </row>
    <row r="50" spans="1:6" ht="15.75" x14ac:dyDescent="0.25">
      <c r="A50" s="49">
        <v>44</v>
      </c>
      <c r="B50" s="51" t="s">
        <v>301</v>
      </c>
      <c r="C50" s="46">
        <v>7</v>
      </c>
      <c r="D50" s="46"/>
      <c r="E50" s="47">
        <f>+D50+C50</f>
        <v>7</v>
      </c>
      <c r="F50" s="48">
        <f t="shared" si="0"/>
        <v>7</v>
      </c>
    </row>
    <row r="51" spans="1:6" ht="15.75" x14ac:dyDescent="0.25">
      <c r="A51" s="49">
        <v>45</v>
      </c>
      <c r="B51" s="51" t="s">
        <v>302</v>
      </c>
      <c r="C51" s="46">
        <v>7</v>
      </c>
      <c r="D51" s="46"/>
      <c r="E51" s="47">
        <f>+D51+C51</f>
        <v>7</v>
      </c>
      <c r="F51" s="48">
        <f t="shared" si="0"/>
        <v>7</v>
      </c>
    </row>
    <row r="52" spans="1:6" ht="15.75" x14ac:dyDescent="0.25">
      <c r="A52" s="43">
        <v>46</v>
      </c>
      <c r="B52" s="52" t="s">
        <v>303</v>
      </c>
      <c r="C52" s="53">
        <v>155.61000000000001</v>
      </c>
      <c r="D52" s="46"/>
      <c r="E52" s="47">
        <f>+D52+C52</f>
        <v>155.61000000000001</v>
      </c>
      <c r="F52" s="48">
        <f t="shared" si="0"/>
        <v>155.6</v>
      </c>
    </row>
    <row r="53" spans="1:6" ht="15.75" x14ac:dyDescent="0.25">
      <c r="A53" s="49">
        <v>47</v>
      </c>
      <c r="B53" s="51" t="s">
        <v>304</v>
      </c>
      <c r="C53" s="46">
        <v>7</v>
      </c>
      <c r="D53" s="46"/>
      <c r="E53" s="47">
        <f>+D53+C53</f>
        <v>7</v>
      </c>
      <c r="F53" s="48">
        <f t="shared" si="0"/>
        <v>7</v>
      </c>
    </row>
    <row r="54" spans="1:6" ht="15.75" x14ac:dyDescent="0.25">
      <c r="A54" s="49">
        <v>48</v>
      </c>
      <c r="B54" s="51" t="s">
        <v>305</v>
      </c>
      <c r="C54" s="46">
        <v>7</v>
      </c>
      <c r="D54" s="46"/>
      <c r="E54" s="47">
        <f>+D54+C54</f>
        <v>7</v>
      </c>
      <c r="F54" s="48">
        <f t="shared" si="0"/>
        <v>7</v>
      </c>
    </row>
    <row r="55" spans="1:6" ht="15.75" x14ac:dyDescent="0.25">
      <c r="A55" s="43">
        <v>49</v>
      </c>
      <c r="B55" s="51" t="s">
        <v>306</v>
      </c>
      <c r="C55" s="46">
        <v>7</v>
      </c>
      <c r="D55" s="46"/>
      <c r="E55" s="47">
        <f>+D55+C55</f>
        <v>7</v>
      </c>
      <c r="F55" s="48">
        <f t="shared" si="0"/>
        <v>7</v>
      </c>
    </row>
    <row r="56" spans="1:6" ht="15.75" x14ac:dyDescent="0.25">
      <c r="A56" s="49">
        <v>50</v>
      </c>
      <c r="B56" s="51" t="s">
        <v>307</v>
      </c>
      <c r="C56" s="46">
        <v>7</v>
      </c>
      <c r="D56" s="46"/>
      <c r="E56" s="47">
        <f>+D56+C56</f>
        <v>7</v>
      </c>
      <c r="F56" s="48">
        <f t="shared" si="0"/>
        <v>7</v>
      </c>
    </row>
    <row r="57" spans="1:6" ht="15.75" x14ac:dyDescent="0.25">
      <c r="A57" s="49">
        <v>51</v>
      </c>
      <c r="B57" s="52" t="s">
        <v>308</v>
      </c>
      <c r="C57" s="53">
        <v>39.85</v>
      </c>
      <c r="D57" s="46"/>
      <c r="E57" s="47">
        <f>+D57+C57</f>
        <v>39.85</v>
      </c>
      <c r="F57" s="48">
        <f t="shared" si="0"/>
        <v>39.9</v>
      </c>
    </row>
    <row r="58" spans="1:6" ht="15.75" x14ac:dyDescent="0.25">
      <c r="A58" s="43">
        <v>52</v>
      </c>
      <c r="B58" s="51" t="s">
        <v>309</v>
      </c>
      <c r="C58" s="46">
        <v>7</v>
      </c>
      <c r="D58" s="46"/>
      <c r="E58" s="47">
        <f>+D58+C58</f>
        <v>7</v>
      </c>
      <c r="F58" s="48">
        <f t="shared" si="0"/>
        <v>7</v>
      </c>
    </row>
    <row r="59" spans="1:6" ht="15.75" x14ac:dyDescent="0.25">
      <c r="A59" s="49">
        <v>53</v>
      </c>
      <c r="B59" s="51" t="s">
        <v>310</v>
      </c>
      <c r="C59" s="46">
        <v>7</v>
      </c>
      <c r="D59" s="46"/>
      <c r="E59" s="47">
        <f>+D59+C59</f>
        <v>7</v>
      </c>
      <c r="F59" s="48">
        <f t="shared" si="0"/>
        <v>7</v>
      </c>
    </row>
    <row r="60" spans="1:6" ht="15.75" x14ac:dyDescent="0.25">
      <c r="A60" s="49">
        <v>54</v>
      </c>
      <c r="B60" s="51" t="s">
        <v>311</v>
      </c>
      <c r="C60" s="46">
        <v>7</v>
      </c>
      <c r="D60" s="46"/>
      <c r="E60" s="47">
        <f>+D60+C60</f>
        <v>7</v>
      </c>
      <c r="F60" s="48">
        <f t="shared" si="0"/>
        <v>7</v>
      </c>
    </row>
    <row r="61" spans="1:6" ht="15.75" x14ac:dyDescent="0.25">
      <c r="A61" s="43">
        <v>55</v>
      </c>
      <c r="B61" s="52" t="s">
        <v>312</v>
      </c>
      <c r="C61" s="53">
        <v>10.92</v>
      </c>
      <c r="D61" s="46"/>
      <c r="E61" s="47">
        <f>+D61+C61</f>
        <v>10.92</v>
      </c>
      <c r="F61" s="48">
        <f t="shared" si="0"/>
        <v>10.9</v>
      </c>
    </row>
    <row r="62" spans="1:6" ht="15.75" x14ac:dyDescent="0.25">
      <c r="A62" s="49">
        <v>56</v>
      </c>
      <c r="B62" s="51" t="s">
        <v>313</v>
      </c>
      <c r="C62" s="46">
        <v>7</v>
      </c>
      <c r="D62" s="46"/>
      <c r="E62" s="47">
        <f>+D62+C62</f>
        <v>7</v>
      </c>
      <c r="F62" s="48">
        <f t="shared" si="0"/>
        <v>7</v>
      </c>
    </row>
    <row r="63" spans="1:6" ht="15.75" x14ac:dyDescent="0.25">
      <c r="A63" s="49">
        <v>57</v>
      </c>
      <c r="B63" s="52" t="s">
        <v>58</v>
      </c>
      <c r="C63" s="53">
        <v>37.17</v>
      </c>
      <c r="D63" s="46"/>
      <c r="E63" s="47">
        <f>+D63+C63</f>
        <v>37.17</v>
      </c>
      <c r="F63" s="48">
        <f t="shared" si="0"/>
        <v>37.200000000000003</v>
      </c>
    </row>
    <row r="64" spans="1:6" ht="15.75" x14ac:dyDescent="0.25">
      <c r="A64" s="43">
        <v>58</v>
      </c>
      <c r="B64" s="52" t="s">
        <v>314</v>
      </c>
      <c r="C64" s="53">
        <v>82.38</v>
      </c>
      <c r="D64" s="46"/>
      <c r="E64" s="47">
        <f>+D64+C64</f>
        <v>82.38</v>
      </c>
      <c r="F64" s="48">
        <f t="shared" si="0"/>
        <v>82.4</v>
      </c>
    </row>
    <row r="65" spans="1:6" ht="15.75" x14ac:dyDescent="0.25">
      <c r="A65" s="49">
        <v>59</v>
      </c>
      <c r="B65" s="51" t="s">
        <v>315</v>
      </c>
      <c r="C65" s="46">
        <v>7</v>
      </c>
      <c r="D65" s="46"/>
      <c r="E65" s="47">
        <f>+D65+C65</f>
        <v>7</v>
      </c>
      <c r="F65" s="48">
        <f t="shared" si="0"/>
        <v>7</v>
      </c>
    </row>
    <row r="66" spans="1:6" ht="15.75" x14ac:dyDescent="0.25">
      <c r="A66" s="49">
        <v>60</v>
      </c>
      <c r="B66" s="52" t="s">
        <v>316</v>
      </c>
      <c r="C66" s="53">
        <v>71.08</v>
      </c>
      <c r="D66" s="46"/>
      <c r="E66" s="47">
        <f>+D66+C66</f>
        <v>71.08</v>
      </c>
      <c r="F66" s="48">
        <f t="shared" si="0"/>
        <v>71.099999999999994</v>
      </c>
    </row>
    <row r="67" spans="1:6" ht="15.75" x14ac:dyDescent="0.25">
      <c r="A67" s="43">
        <v>61</v>
      </c>
      <c r="B67" s="52" t="s">
        <v>317</v>
      </c>
      <c r="C67" s="53">
        <v>97.81</v>
      </c>
      <c r="D67" s="46"/>
      <c r="E67" s="47">
        <f>+D67+C67</f>
        <v>97.81</v>
      </c>
      <c r="F67" s="48">
        <f t="shared" si="0"/>
        <v>97.8</v>
      </c>
    </row>
    <row r="68" spans="1:6" ht="15.75" x14ac:dyDescent="0.25">
      <c r="A68" s="49">
        <v>62</v>
      </c>
      <c r="B68" s="51" t="s">
        <v>318</v>
      </c>
      <c r="C68" s="46">
        <v>7</v>
      </c>
      <c r="D68" s="46"/>
      <c r="E68" s="47">
        <f>+D68+C68</f>
        <v>7</v>
      </c>
      <c r="F68" s="48">
        <f t="shared" si="0"/>
        <v>7</v>
      </c>
    </row>
    <row r="69" spans="1:6" ht="15.75" x14ac:dyDescent="0.25">
      <c r="A69" s="49">
        <v>63</v>
      </c>
      <c r="B69" s="52" t="s">
        <v>73</v>
      </c>
      <c r="C69" s="53">
        <v>76.45</v>
      </c>
      <c r="D69" s="46"/>
      <c r="E69" s="47">
        <f>+D69+C69</f>
        <v>76.45</v>
      </c>
      <c r="F69" s="48">
        <f t="shared" si="0"/>
        <v>76.5</v>
      </c>
    </row>
    <row r="70" spans="1:6" ht="15.75" x14ac:dyDescent="0.25">
      <c r="A70" s="43">
        <v>64</v>
      </c>
      <c r="B70" s="59" t="s">
        <v>76</v>
      </c>
      <c r="C70" s="53">
        <v>22.7</v>
      </c>
      <c r="D70" s="46"/>
      <c r="E70" s="47">
        <f>+D70+C70</f>
        <v>22.7</v>
      </c>
      <c r="F70" s="48">
        <f t="shared" si="0"/>
        <v>22.7</v>
      </c>
    </row>
    <row r="71" spans="1:6" ht="15.75" x14ac:dyDescent="0.25">
      <c r="A71" s="49">
        <v>65</v>
      </c>
      <c r="B71" s="52" t="s">
        <v>79</v>
      </c>
      <c r="C71" s="60">
        <v>127.7</v>
      </c>
      <c r="D71" s="46"/>
      <c r="E71" s="47">
        <f>+D71+C71</f>
        <v>127.7</v>
      </c>
      <c r="F71" s="48">
        <f t="shared" si="0"/>
        <v>127.7</v>
      </c>
    </row>
    <row r="72" spans="1:6" ht="15.75" x14ac:dyDescent="0.25">
      <c r="A72" s="49">
        <v>66</v>
      </c>
      <c r="B72" s="61" t="s">
        <v>319</v>
      </c>
      <c r="C72" s="46">
        <v>7</v>
      </c>
      <c r="D72" s="46"/>
      <c r="E72" s="47">
        <f>+D72+C72</f>
        <v>7</v>
      </c>
      <c r="F72" s="48">
        <f t="shared" ref="F72:F135" si="1">+ROUND(E72,1)</f>
        <v>7</v>
      </c>
    </row>
    <row r="73" spans="1:6" ht="15.75" x14ac:dyDescent="0.25">
      <c r="A73" s="43">
        <v>67</v>
      </c>
      <c r="B73" s="51" t="s">
        <v>320</v>
      </c>
      <c r="C73" s="46">
        <v>7</v>
      </c>
      <c r="D73" s="46"/>
      <c r="E73" s="47">
        <f>+D73+C73</f>
        <v>7</v>
      </c>
      <c r="F73" s="48">
        <f t="shared" si="1"/>
        <v>7</v>
      </c>
    </row>
    <row r="74" spans="1:6" ht="15.75" x14ac:dyDescent="0.25">
      <c r="A74" s="49">
        <v>68</v>
      </c>
      <c r="B74" s="52" t="s">
        <v>321</v>
      </c>
      <c r="C74" s="48">
        <v>153.11000000000001</v>
      </c>
      <c r="D74" s="46"/>
      <c r="E74" s="47">
        <f>+D74+C74</f>
        <v>153.11000000000001</v>
      </c>
      <c r="F74" s="48">
        <f t="shared" si="1"/>
        <v>153.1</v>
      </c>
    </row>
    <row r="75" spans="1:6" ht="15.75" x14ac:dyDescent="0.25">
      <c r="A75" s="49">
        <v>69</v>
      </c>
      <c r="B75" s="52" t="s">
        <v>231</v>
      </c>
      <c r="C75" s="48">
        <v>7</v>
      </c>
      <c r="D75" s="46"/>
      <c r="E75" s="47">
        <f>+D75+C75</f>
        <v>7</v>
      </c>
      <c r="F75" s="48">
        <f t="shared" si="1"/>
        <v>7</v>
      </c>
    </row>
    <row r="76" spans="1:6" ht="15.75" x14ac:dyDescent="0.25">
      <c r="A76" s="43">
        <v>70</v>
      </c>
      <c r="B76" s="51" t="s">
        <v>322</v>
      </c>
      <c r="C76" s="46">
        <v>7</v>
      </c>
      <c r="D76" s="46"/>
      <c r="E76" s="47">
        <f>+D76+C76</f>
        <v>7</v>
      </c>
      <c r="F76" s="48">
        <f t="shared" si="1"/>
        <v>7</v>
      </c>
    </row>
    <row r="77" spans="1:6" ht="15.75" x14ac:dyDescent="0.25">
      <c r="A77" s="49">
        <v>71</v>
      </c>
      <c r="B77" s="51" t="s">
        <v>323</v>
      </c>
      <c r="C77" s="46">
        <v>7</v>
      </c>
      <c r="D77" s="46"/>
      <c r="E77" s="47">
        <f>+D77+C77</f>
        <v>7</v>
      </c>
      <c r="F77" s="48">
        <f t="shared" si="1"/>
        <v>7</v>
      </c>
    </row>
    <row r="78" spans="1:6" ht="15.75" x14ac:dyDescent="0.25">
      <c r="A78" s="49">
        <v>72</v>
      </c>
      <c r="B78" s="51" t="s">
        <v>324</v>
      </c>
      <c r="C78" s="46">
        <v>7</v>
      </c>
      <c r="D78" s="46"/>
      <c r="E78" s="47">
        <f>+D78+C78</f>
        <v>7</v>
      </c>
      <c r="F78" s="48">
        <f t="shared" si="1"/>
        <v>7</v>
      </c>
    </row>
    <row r="79" spans="1:6" ht="15.75" x14ac:dyDescent="0.25">
      <c r="A79" s="43">
        <v>73</v>
      </c>
      <c r="B79" s="52" t="s">
        <v>85</v>
      </c>
      <c r="C79" s="53">
        <v>52.48</v>
      </c>
      <c r="D79" s="46"/>
      <c r="E79" s="47">
        <f>+D79+C79</f>
        <v>52.48</v>
      </c>
      <c r="F79" s="48">
        <f t="shared" si="1"/>
        <v>52.5</v>
      </c>
    </row>
    <row r="80" spans="1:6" ht="15.75" x14ac:dyDescent="0.25">
      <c r="A80" s="49">
        <v>74</v>
      </c>
      <c r="B80" s="51" t="s">
        <v>325</v>
      </c>
      <c r="C80" s="46">
        <v>7</v>
      </c>
      <c r="D80" s="46"/>
      <c r="E80" s="47">
        <f>+D80+C80</f>
        <v>7</v>
      </c>
      <c r="F80" s="48">
        <f t="shared" si="1"/>
        <v>7</v>
      </c>
    </row>
    <row r="81" spans="1:6" ht="15.75" x14ac:dyDescent="0.25">
      <c r="A81" s="49">
        <v>75</v>
      </c>
      <c r="B81" s="51" t="s">
        <v>326</v>
      </c>
      <c r="C81" s="46">
        <v>7</v>
      </c>
      <c r="D81" s="46"/>
      <c r="E81" s="47">
        <f>+D81+C81</f>
        <v>7</v>
      </c>
      <c r="F81" s="48">
        <f t="shared" si="1"/>
        <v>7</v>
      </c>
    </row>
    <row r="82" spans="1:6" ht="15.75" x14ac:dyDescent="0.25">
      <c r="A82" s="43">
        <v>76</v>
      </c>
      <c r="B82" s="51" t="s">
        <v>327</v>
      </c>
      <c r="C82" s="46">
        <v>7</v>
      </c>
      <c r="D82" s="46"/>
      <c r="E82" s="47">
        <f>+D82+C82</f>
        <v>7</v>
      </c>
      <c r="F82" s="48">
        <f t="shared" si="1"/>
        <v>7</v>
      </c>
    </row>
    <row r="83" spans="1:6" ht="15.75" x14ac:dyDescent="0.25">
      <c r="A83" s="49">
        <v>77</v>
      </c>
      <c r="B83" s="52" t="s">
        <v>328</v>
      </c>
      <c r="C83" s="48">
        <v>145.04</v>
      </c>
      <c r="D83" s="46"/>
      <c r="E83" s="47">
        <f>+D83+C83</f>
        <v>145.04</v>
      </c>
      <c r="F83" s="48">
        <f t="shared" si="1"/>
        <v>145</v>
      </c>
    </row>
    <row r="84" spans="1:6" ht="15.75" x14ac:dyDescent="0.25">
      <c r="A84" s="49">
        <v>78</v>
      </c>
      <c r="B84" s="51" t="s">
        <v>329</v>
      </c>
      <c r="C84" s="46">
        <v>7</v>
      </c>
      <c r="D84" s="46"/>
      <c r="E84" s="47">
        <f>+D84+C84</f>
        <v>7</v>
      </c>
      <c r="F84" s="48">
        <f t="shared" si="1"/>
        <v>7</v>
      </c>
    </row>
    <row r="85" spans="1:6" ht="15.75" x14ac:dyDescent="0.25">
      <c r="A85" s="43">
        <v>79</v>
      </c>
      <c r="B85" s="51" t="s">
        <v>330</v>
      </c>
      <c r="C85" s="46">
        <v>7</v>
      </c>
      <c r="D85" s="46"/>
      <c r="E85" s="47">
        <f>+D85+C85</f>
        <v>7</v>
      </c>
      <c r="F85" s="48">
        <f t="shared" si="1"/>
        <v>7</v>
      </c>
    </row>
    <row r="86" spans="1:6" ht="15.75" x14ac:dyDescent="0.25">
      <c r="A86" s="49">
        <v>80</v>
      </c>
      <c r="B86" s="52" t="s">
        <v>331</v>
      </c>
      <c r="C86" s="53">
        <v>10.65</v>
      </c>
      <c r="D86" s="46"/>
      <c r="E86" s="47">
        <f>+D86+C86</f>
        <v>10.65</v>
      </c>
      <c r="F86" s="48">
        <f t="shared" si="1"/>
        <v>10.7</v>
      </c>
    </row>
    <row r="87" spans="1:6" ht="15.75" x14ac:dyDescent="0.25">
      <c r="A87" s="49">
        <v>81</v>
      </c>
      <c r="B87" s="52" t="s">
        <v>332</v>
      </c>
      <c r="C87" s="53">
        <v>18.98</v>
      </c>
      <c r="D87" s="46"/>
      <c r="E87" s="47">
        <f>+D87+C87</f>
        <v>18.98</v>
      </c>
      <c r="F87" s="48">
        <f t="shared" si="1"/>
        <v>19</v>
      </c>
    </row>
    <row r="88" spans="1:6" ht="15.75" x14ac:dyDescent="0.25">
      <c r="A88" s="43">
        <v>82</v>
      </c>
      <c r="B88" s="52" t="s">
        <v>333</v>
      </c>
      <c r="C88" s="53">
        <v>30</v>
      </c>
      <c r="D88" s="46"/>
      <c r="E88" s="47">
        <f>+D88+C88</f>
        <v>30</v>
      </c>
      <c r="F88" s="48">
        <f t="shared" si="1"/>
        <v>30</v>
      </c>
    </row>
    <row r="89" spans="1:6" ht="15.75" x14ac:dyDescent="0.25">
      <c r="A89" s="49">
        <v>83</v>
      </c>
      <c r="B89" s="51" t="s">
        <v>334</v>
      </c>
      <c r="C89" s="46">
        <v>7</v>
      </c>
      <c r="D89" s="46"/>
      <c r="E89" s="47">
        <f>+D89+C89</f>
        <v>7</v>
      </c>
      <c r="F89" s="48">
        <f t="shared" si="1"/>
        <v>7</v>
      </c>
    </row>
    <row r="90" spans="1:6" ht="15.75" x14ac:dyDescent="0.25">
      <c r="A90" s="49">
        <v>84</v>
      </c>
      <c r="B90" s="54" t="s">
        <v>335</v>
      </c>
      <c r="C90" s="46">
        <v>7</v>
      </c>
      <c r="D90" s="46"/>
      <c r="E90" s="47">
        <f>+D90+C90</f>
        <v>7</v>
      </c>
      <c r="F90" s="48">
        <f t="shared" si="1"/>
        <v>7</v>
      </c>
    </row>
    <row r="91" spans="1:6" ht="15.75" x14ac:dyDescent="0.25">
      <c r="A91" s="43">
        <v>85</v>
      </c>
      <c r="B91" s="51" t="s">
        <v>336</v>
      </c>
      <c r="C91" s="46">
        <v>7</v>
      </c>
      <c r="D91" s="46"/>
      <c r="E91" s="47">
        <f>+D91+C91</f>
        <v>7</v>
      </c>
      <c r="F91" s="48">
        <f t="shared" si="1"/>
        <v>7</v>
      </c>
    </row>
    <row r="92" spans="1:6" ht="15.75" x14ac:dyDescent="0.25">
      <c r="A92" s="49">
        <v>86</v>
      </c>
      <c r="B92" s="52" t="s">
        <v>101</v>
      </c>
      <c r="C92" s="53">
        <v>114.74</v>
      </c>
      <c r="D92" s="46"/>
      <c r="E92" s="47">
        <f>+D92+C92</f>
        <v>114.74</v>
      </c>
      <c r="F92" s="48">
        <f t="shared" si="1"/>
        <v>114.7</v>
      </c>
    </row>
    <row r="93" spans="1:6" ht="15.75" x14ac:dyDescent="0.25">
      <c r="A93" s="49">
        <v>87</v>
      </c>
      <c r="B93" s="51" t="s">
        <v>337</v>
      </c>
      <c r="C93" s="46">
        <v>7</v>
      </c>
      <c r="D93" s="46"/>
      <c r="E93" s="47">
        <f>+D93+C93</f>
        <v>7</v>
      </c>
      <c r="F93" s="48">
        <f t="shared" si="1"/>
        <v>7</v>
      </c>
    </row>
    <row r="94" spans="1:6" ht="15.75" x14ac:dyDescent="0.25">
      <c r="A94" s="43">
        <v>88</v>
      </c>
      <c r="B94" s="51" t="s">
        <v>338</v>
      </c>
      <c r="C94" s="46">
        <v>7</v>
      </c>
      <c r="D94" s="46"/>
      <c r="E94" s="47">
        <f>+D94+C94</f>
        <v>7</v>
      </c>
      <c r="F94" s="48">
        <f t="shared" si="1"/>
        <v>7</v>
      </c>
    </row>
    <row r="95" spans="1:6" ht="15.75" x14ac:dyDescent="0.25">
      <c r="A95" s="49">
        <v>89</v>
      </c>
      <c r="B95" s="52" t="s">
        <v>339</v>
      </c>
      <c r="C95" s="53">
        <v>35</v>
      </c>
      <c r="D95" s="46"/>
      <c r="E95" s="47">
        <f>+D95+C95</f>
        <v>35</v>
      </c>
      <c r="F95" s="48">
        <f t="shared" si="1"/>
        <v>35</v>
      </c>
    </row>
    <row r="96" spans="1:6" ht="15.75" x14ac:dyDescent="0.25">
      <c r="A96" s="49">
        <v>90</v>
      </c>
      <c r="B96" s="52" t="s">
        <v>107</v>
      </c>
      <c r="C96" s="53">
        <v>25.25</v>
      </c>
      <c r="D96" s="46"/>
      <c r="E96" s="47">
        <f>+D96+C96</f>
        <v>25.25</v>
      </c>
      <c r="F96" s="48">
        <f t="shared" si="1"/>
        <v>25.3</v>
      </c>
    </row>
    <row r="97" spans="1:6" ht="15.75" x14ac:dyDescent="0.25">
      <c r="A97" s="43">
        <v>91</v>
      </c>
      <c r="B97" s="52" t="s">
        <v>110</v>
      </c>
      <c r="C97" s="53">
        <v>7</v>
      </c>
      <c r="D97" s="46"/>
      <c r="E97" s="47">
        <f>+D97+C97</f>
        <v>7</v>
      </c>
      <c r="F97" s="48">
        <f t="shared" si="1"/>
        <v>7</v>
      </c>
    </row>
    <row r="98" spans="1:6" ht="15.75" x14ac:dyDescent="0.25">
      <c r="A98" s="49">
        <v>92</v>
      </c>
      <c r="B98" s="52" t="s">
        <v>113</v>
      </c>
      <c r="C98" s="53">
        <v>12.43</v>
      </c>
      <c r="D98" s="46"/>
      <c r="E98" s="47">
        <f>+D98+C98</f>
        <v>12.43</v>
      </c>
      <c r="F98" s="48">
        <f t="shared" si="1"/>
        <v>12.4</v>
      </c>
    </row>
    <row r="99" spans="1:6" ht="15.75" x14ac:dyDescent="0.25">
      <c r="A99" s="49">
        <v>93</v>
      </c>
      <c r="B99" s="52" t="s">
        <v>340</v>
      </c>
      <c r="C99" s="53">
        <v>84.03</v>
      </c>
      <c r="D99" s="46"/>
      <c r="E99" s="47">
        <f>+D99+C99</f>
        <v>84.03</v>
      </c>
      <c r="F99" s="48">
        <f t="shared" si="1"/>
        <v>84</v>
      </c>
    </row>
    <row r="100" spans="1:6" ht="15.75" x14ac:dyDescent="0.25">
      <c r="A100" s="43">
        <v>94</v>
      </c>
      <c r="B100" s="51" t="s">
        <v>341</v>
      </c>
      <c r="C100" s="46">
        <v>7</v>
      </c>
      <c r="D100" s="46"/>
      <c r="E100" s="47">
        <f>+D100+C100</f>
        <v>7</v>
      </c>
      <c r="F100" s="48">
        <f t="shared" si="1"/>
        <v>7</v>
      </c>
    </row>
    <row r="101" spans="1:6" ht="15.75" x14ac:dyDescent="0.25">
      <c r="A101" s="49">
        <v>95</v>
      </c>
      <c r="B101" s="51" t="s">
        <v>342</v>
      </c>
      <c r="C101" s="46">
        <v>7</v>
      </c>
      <c r="D101" s="46"/>
      <c r="E101" s="47">
        <f>+D101+C101</f>
        <v>7</v>
      </c>
      <c r="F101" s="48">
        <f t="shared" si="1"/>
        <v>7</v>
      </c>
    </row>
    <row r="102" spans="1:6" ht="15.75" x14ac:dyDescent="0.25">
      <c r="A102" s="49">
        <v>96</v>
      </c>
      <c r="B102" s="51" t="s">
        <v>116</v>
      </c>
      <c r="C102" s="46">
        <v>7</v>
      </c>
      <c r="D102" s="46"/>
      <c r="E102" s="47">
        <f>+D102+C102</f>
        <v>7</v>
      </c>
      <c r="F102" s="48">
        <f t="shared" si="1"/>
        <v>7</v>
      </c>
    </row>
    <row r="103" spans="1:6" ht="15.75" x14ac:dyDescent="0.25">
      <c r="A103" s="43">
        <v>97</v>
      </c>
      <c r="B103" s="52" t="s">
        <v>343</v>
      </c>
      <c r="C103" s="53">
        <v>25.19</v>
      </c>
      <c r="D103" s="46"/>
      <c r="E103" s="47">
        <f>+D103+C103</f>
        <v>25.19</v>
      </c>
      <c r="F103" s="48">
        <f t="shared" si="1"/>
        <v>25.2</v>
      </c>
    </row>
    <row r="104" spans="1:6" ht="15.75" x14ac:dyDescent="0.25">
      <c r="A104" s="49">
        <v>98</v>
      </c>
      <c r="B104" s="52" t="s">
        <v>120</v>
      </c>
      <c r="C104" s="53">
        <v>37.520000000000003</v>
      </c>
      <c r="D104" s="46"/>
      <c r="E104" s="47">
        <f>+D104+C104</f>
        <v>37.520000000000003</v>
      </c>
      <c r="F104" s="48">
        <f t="shared" si="1"/>
        <v>37.5</v>
      </c>
    </row>
    <row r="105" spans="1:6" ht="15.75" x14ac:dyDescent="0.25">
      <c r="A105" s="49">
        <v>99</v>
      </c>
      <c r="B105" s="51" t="s">
        <v>344</v>
      </c>
      <c r="C105" s="46">
        <v>12</v>
      </c>
      <c r="D105" s="46"/>
      <c r="E105" s="47">
        <f>+D105+C105</f>
        <v>12</v>
      </c>
      <c r="F105" s="48">
        <f t="shared" si="1"/>
        <v>12</v>
      </c>
    </row>
    <row r="106" spans="1:6" ht="15.75" x14ac:dyDescent="0.25">
      <c r="A106" s="43">
        <v>100</v>
      </c>
      <c r="B106" s="52" t="s">
        <v>345</v>
      </c>
      <c r="C106" s="48">
        <v>274.85000000000002</v>
      </c>
      <c r="D106" s="46"/>
      <c r="E106" s="47">
        <f>+D106+C106</f>
        <v>274.85000000000002</v>
      </c>
      <c r="F106" s="48">
        <f t="shared" si="1"/>
        <v>274.89999999999998</v>
      </c>
    </row>
    <row r="107" spans="1:6" ht="15.75" x14ac:dyDescent="0.25">
      <c r="A107" s="56">
        <v>101</v>
      </c>
      <c r="B107" s="52" t="s">
        <v>132</v>
      </c>
      <c r="C107" s="48">
        <v>95.75</v>
      </c>
      <c r="D107" s="46"/>
      <c r="E107" s="47">
        <f>+D107+C107</f>
        <v>95.75</v>
      </c>
      <c r="F107" s="48">
        <f t="shared" si="1"/>
        <v>95.8</v>
      </c>
    </row>
    <row r="108" spans="1:6" ht="15.75" x14ac:dyDescent="0.25">
      <c r="A108" s="49">
        <v>102</v>
      </c>
      <c r="B108" s="51" t="s">
        <v>346</v>
      </c>
      <c r="C108" s="46">
        <v>7</v>
      </c>
      <c r="D108" s="46"/>
      <c r="E108" s="47">
        <f>+D108+C108</f>
        <v>7</v>
      </c>
      <c r="F108" s="48">
        <f t="shared" si="1"/>
        <v>7</v>
      </c>
    </row>
    <row r="109" spans="1:6" ht="15.75" x14ac:dyDescent="0.25">
      <c r="A109" s="43">
        <v>103</v>
      </c>
      <c r="B109" s="52" t="s">
        <v>347</v>
      </c>
      <c r="C109" s="53">
        <v>22.01</v>
      </c>
      <c r="D109" s="46"/>
      <c r="E109" s="47">
        <f>+D109+C109</f>
        <v>22.01</v>
      </c>
      <c r="F109" s="48">
        <f t="shared" si="1"/>
        <v>22</v>
      </c>
    </row>
    <row r="110" spans="1:6" ht="15.75" x14ac:dyDescent="0.25">
      <c r="A110" s="49">
        <v>104</v>
      </c>
      <c r="B110" s="51" t="s">
        <v>348</v>
      </c>
      <c r="C110" s="46">
        <v>7</v>
      </c>
      <c r="D110" s="46"/>
      <c r="E110" s="47">
        <f>+D110+C110</f>
        <v>7</v>
      </c>
      <c r="F110" s="48">
        <f t="shared" si="1"/>
        <v>7</v>
      </c>
    </row>
    <row r="111" spans="1:6" ht="15.75" x14ac:dyDescent="0.25">
      <c r="A111" s="49">
        <v>105</v>
      </c>
      <c r="B111" s="52" t="s">
        <v>129</v>
      </c>
      <c r="C111" s="53">
        <v>205.49</v>
      </c>
      <c r="D111" s="46"/>
      <c r="E111" s="47">
        <f>+D111+C111</f>
        <v>205.49</v>
      </c>
      <c r="F111" s="48">
        <f t="shared" si="1"/>
        <v>205.5</v>
      </c>
    </row>
    <row r="112" spans="1:6" ht="15.75" x14ac:dyDescent="0.25">
      <c r="A112" s="43">
        <v>106</v>
      </c>
      <c r="B112" s="51" t="s">
        <v>349</v>
      </c>
      <c r="C112" s="46">
        <v>7</v>
      </c>
      <c r="D112" s="46"/>
      <c r="E112" s="47">
        <f>+D112+C112</f>
        <v>7</v>
      </c>
      <c r="F112" s="48">
        <f t="shared" si="1"/>
        <v>7</v>
      </c>
    </row>
    <row r="113" spans="1:6" ht="15.75" x14ac:dyDescent="0.25">
      <c r="A113" s="49">
        <v>107</v>
      </c>
      <c r="B113" s="52" t="s">
        <v>135</v>
      </c>
      <c r="C113" s="48">
        <v>16.68</v>
      </c>
      <c r="D113" s="46"/>
      <c r="E113" s="47">
        <f>+D113+C113</f>
        <v>16.68</v>
      </c>
      <c r="F113" s="48">
        <f t="shared" si="1"/>
        <v>16.7</v>
      </c>
    </row>
    <row r="114" spans="1:6" ht="15.75" x14ac:dyDescent="0.25">
      <c r="A114" s="49">
        <v>108</v>
      </c>
      <c r="B114" s="51" t="s">
        <v>350</v>
      </c>
      <c r="C114" s="46">
        <v>7</v>
      </c>
      <c r="D114" s="46"/>
      <c r="E114" s="47">
        <f>+D114+C114</f>
        <v>7</v>
      </c>
      <c r="F114" s="48">
        <f t="shared" si="1"/>
        <v>7</v>
      </c>
    </row>
    <row r="115" spans="1:6" ht="15.75" x14ac:dyDescent="0.25">
      <c r="A115" s="43">
        <v>109</v>
      </c>
      <c r="B115" s="52" t="s">
        <v>138</v>
      </c>
      <c r="C115" s="53">
        <v>69.5</v>
      </c>
      <c r="D115" s="46"/>
      <c r="E115" s="47">
        <f>+D115+C115</f>
        <v>69.5</v>
      </c>
      <c r="F115" s="48">
        <f t="shared" si="1"/>
        <v>69.5</v>
      </c>
    </row>
    <row r="116" spans="1:6" ht="15.75" x14ac:dyDescent="0.25">
      <c r="A116" s="49">
        <v>110</v>
      </c>
      <c r="B116" s="52" t="s">
        <v>141</v>
      </c>
      <c r="C116" s="48">
        <v>7</v>
      </c>
      <c r="D116" s="46"/>
      <c r="E116" s="47">
        <f>+D116+C116</f>
        <v>7</v>
      </c>
      <c r="F116" s="48">
        <f t="shared" si="1"/>
        <v>7</v>
      </c>
    </row>
    <row r="117" spans="1:6" ht="15.75" x14ac:dyDescent="0.25">
      <c r="A117" s="49">
        <v>111</v>
      </c>
      <c r="B117" s="52" t="s">
        <v>351</v>
      </c>
      <c r="C117" s="53">
        <v>32.49</v>
      </c>
      <c r="D117" s="46"/>
      <c r="E117" s="47">
        <f>+D117+C117</f>
        <v>32.49</v>
      </c>
      <c r="F117" s="48">
        <f t="shared" si="1"/>
        <v>32.5</v>
      </c>
    </row>
    <row r="118" spans="1:6" ht="15.75" x14ac:dyDescent="0.25">
      <c r="A118" s="43">
        <v>112</v>
      </c>
      <c r="B118" s="51" t="s">
        <v>352</v>
      </c>
      <c r="C118" s="46">
        <v>7</v>
      </c>
      <c r="D118" s="46"/>
      <c r="E118" s="47">
        <f>+D118+C118</f>
        <v>7</v>
      </c>
      <c r="F118" s="48">
        <f t="shared" si="1"/>
        <v>7</v>
      </c>
    </row>
    <row r="119" spans="1:6" ht="15.75" x14ac:dyDescent="0.25">
      <c r="A119" s="49">
        <v>113</v>
      </c>
      <c r="B119" s="51" t="s">
        <v>353</v>
      </c>
      <c r="C119" s="46">
        <v>7</v>
      </c>
      <c r="D119" s="46"/>
      <c r="E119" s="47">
        <f>+D119+C119</f>
        <v>7</v>
      </c>
      <c r="F119" s="48">
        <f t="shared" si="1"/>
        <v>7</v>
      </c>
    </row>
    <row r="120" spans="1:6" ht="15.75" x14ac:dyDescent="0.25">
      <c r="A120" s="49">
        <v>114</v>
      </c>
      <c r="B120" s="51" t="s">
        <v>354</v>
      </c>
      <c r="C120" s="46">
        <v>7</v>
      </c>
      <c r="D120" s="46"/>
      <c r="E120" s="47">
        <f>+D120+C120</f>
        <v>7</v>
      </c>
      <c r="F120" s="48">
        <f t="shared" si="1"/>
        <v>7</v>
      </c>
    </row>
    <row r="121" spans="1:6" ht="15.75" x14ac:dyDescent="0.25">
      <c r="A121" s="43">
        <v>115</v>
      </c>
      <c r="B121" s="51" t="s">
        <v>355</v>
      </c>
      <c r="C121" s="46">
        <v>7</v>
      </c>
      <c r="D121" s="46"/>
      <c r="E121" s="47">
        <f>+D121+C121</f>
        <v>7</v>
      </c>
      <c r="F121" s="48">
        <f t="shared" si="1"/>
        <v>7</v>
      </c>
    </row>
    <row r="122" spans="1:6" ht="15.75" x14ac:dyDescent="0.25">
      <c r="A122" s="49">
        <v>116</v>
      </c>
      <c r="B122" s="51" t="s">
        <v>356</v>
      </c>
      <c r="C122" s="46">
        <v>7</v>
      </c>
      <c r="D122" s="46"/>
      <c r="E122" s="47">
        <f>+D122+C122</f>
        <v>7</v>
      </c>
      <c r="F122" s="48">
        <f t="shared" si="1"/>
        <v>7</v>
      </c>
    </row>
    <row r="123" spans="1:6" ht="15.75" x14ac:dyDescent="0.25">
      <c r="A123" s="49">
        <v>117</v>
      </c>
      <c r="B123" s="51" t="s">
        <v>357</v>
      </c>
      <c r="C123" s="46">
        <v>7</v>
      </c>
      <c r="D123" s="46"/>
      <c r="E123" s="47">
        <f>+D123+C123</f>
        <v>7</v>
      </c>
      <c r="F123" s="48">
        <f t="shared" si="1"/>
        <v>7</v>
      </c>
    </row>
    <row r="124" spans="1:6" ht="15.75" x14ac:dyDescent="0.25">
      <c r="A124" s="43">
        <v>118</v>
      </c>
      <c r="B124" s="51" t="s">
        <v>358</v>
      </c>
      <c r="C124" s="46">
        <v>7</v>
      </c>
      <c r="D124" s="46"/>
      <c r="E124" s="47">
        <f>+D124+C124</f>
        <v>7</v>
      </c>
      <c r="F124" s="48">
        <f t="shared" si="1"/>
        <v>7</v>
      </c>
    </row>
    <row r="125" spans="1:6" ht="15.75" x14ac:dyDescent="0.25">
      <c r="A125" s="49">
        <v>119</v>
      </c>
      <c r="B125" s="51" t="s">
        <v>359</v>
      </c>
      <c r="C125" s="46">
        <v>7</v>
      </c>
      <c r="D125" s="46"/>
      <c r="E125" s="47">
        <f>+D125+C125</f>
        <v>7</v>
      </c>
      <c r="F125" s="48">
        <f t="shared" si="1"/>
        <v>7</v>
      </c>
    </row>
    <row r="126" spans="1:6" ht="15.75" x14ac:dyDescent="0.25">
      <c r="A126" s="49">
        <v>120</v>
      </c>
      <c r="B126" s="51" t="s">
        <v>360</v>
      </c>
      <c r="C126" s="46">
        <v>7</v>
      </c>
      <c r="D126" s="46"/>
      <c r="E126" s="47">
        <f>+D126+C126</f>
        <v>7</v>
      </c>
      <c r="F126" s="48">
        <f t="shared" si="1"/>
        <v>7</v>
      </c>
    </row>
    <row r="127" spans="1:6" ht="15.75" x14ac:dyDescent="0.25">
      <c r="A127" s="43">
        <v>121</v>
      </c>
      <c r="B127" s="52" t="s">
        <v>147</v>
      </c>
      <c r="C127" s="53">
        <v>17</v>
      </c>
      <c r="D127" s="46"/>
      <c r="E127" s="47">
        <f>+D127+C127</f>
        <v>17</v>
      </c>
      <c r="F127" s="48">
        <f t="shared" si="1"/>
        <v>17</v>
      </c>
    </row>
    <row r="128" spans="1:6" ht="15.75" x14ac:dyDescent="0.25">
      <c r="A128" s="49">
        <v>122</v>
      </c>
      <c r="B128" s="52" t="s">
        <v>150</v>
      </c>
      <c r="C128" s="53">
        <v>17</v>
      </c>
      <c r="D128" s="46"/>
      <c r="E128" s="47">
        <f>+D128+C128</f>
        <v>17</v>
      </c>
      <c r="F128" s="48">
        <f t="shared" si="1"/>
        <v>17</v>
      </c>
    </row>
    <row r="129" spans="1:6" ht="15.75" x14ac:dyDescent="0.25">
      <c r="A129" s="49">
        <v>123</v>
      </c>
      <c r="B129" s="52" t="s">
        <v>361</v>
      </c>
      <c r="C129" s="53">
        <v>13.2</v>
      </c>
      <c r="D129" s="46"/>
      <c r="E129" s="47">
        <f>+D129+C129</f>
        <v>13.2</v>
      </c>
      <c r="F129" s="48">
        <f t="shared" si="1"/>
        <v>13.2</v>
      </c>
    </row>
    <row r="130" spans="1:6" ht="15.75" x14ac:dyDescent="0.25">
      <c r="A130" s="62">
        <v>124</v>
      </c>
      <c r="B130" s="51" t="s">
        <v>362</v>
      </c>
      <c r="C130" s="46">
        <v>7</v>
      </c>
      <c r="D130" s="46"/>
      <c r="E130" s="47">
        <f>+D130+C130</f>
        <v>7</v>
      </c>
      <c r="F130" s="48">
        <f t="shared" si="1"/>
        <v>7</v>
      </c>
    </row>
    <row r="131" spans="1:6" ht="15.75" x14ac:dyDescent="0.25">
      <c r="A131" s="49">
        <v>125</v>
      </c>
      <c r="B131" s="52" t="s">
        <v>156</v>
      </c>
      <c r="C131" s="58">
        <v>18</v>
      </c>
      <c r="D131" s="46"/>
      <c r="E131" s="47">
        <f>+D131+C131</f>
        <v>18</v>
      </c>
      <c r="F131" s="48">
        <f t="shared" si="1"/>
        <v>18</v>
      </c>
    </row>
    <row r="132" spans="1:6" ht="15.75" x14ac:dyDescent="0.25">
      <c r="A132" s="49">
        <v>126</v>
      </c>
      <c r="B132" s="54" t="s">
        <v>363</v>
      </c>
      <c r="C132" s="55">
        <v>8</v>
      </c>
      <c r="D132" s="46"/>
      <c r="E132" s="47">
        <f>+D132+C132</f>
        <v>8</v>
      </c>
      <c r="F132" s="48">
        <f t="shared" si="1"/>
        <v>8</v>
      </c>
    </row>
    <row r="133" spans="1:6" ht="15.75" x14ac:dyDescent="0.25">
      <c r="A133" s="43">
        <v>127</v>
      </c>
      <c r="B133" s="51" t="s">
        <v>364</v>
      </c>
      <c r="C133" s="46">
        <v>7</v>
      </c>
      <c r="D133" s="46"/>
      <c r="E133" s="47">
        <f>+D133+C133</f>
        <v>7</v>
      </c>
      <c r="F133" s="48">
        <f t="shared" si="1"/>
        <v>7</v>
      </c>
    </row>
    <row r="134" spans="1:6" ht="15.75" x14ac:dyDescent="0.25">
      <c r="A134" s="49">
        <v>128</v>
      </c>
      <c r="B134" s="52" t="s">
        <v>165</v>
      </c>
      <c r="C134" s="53">
        <v>137.4</v>
      </c>
      <c r="D134" s="46"/>
      <c r="E134" s="47">
        <f>+D134+C134</f>
        <v>137.4</v>
      </c>
      <c r="F134" s="48">
        <f t="shared" si="1"/>
        <v>137.4</v>
      </c>
    </row>
    <row r="135" spans="1:6" ht="15.75" x14ac:dyDescent="0.25">
      <c r="A135" s="49">
        <v>129</v>
      </c>
      <c r="B135" s="54" t="s">
        <v>168</v>
      </c>
      <c r="C135" s="46">
        <v>7</v>
      </c>
      <c r="D135" s="46"/>
      <c r="E135" s="47">
        <f>+D135+C135</f>
        <v>7</v>
      </c>
      <c r="F135" s="48">
        <f t="shared" si="1"/>
        <v>7</v>
      </c>
    </row>
    <row r="136" spans="1:6" ht="15.75" x14ac:dyDescent="0.25">
      <c r="A136" s="43">
        <v>130</v>
      </c>
      <c r="B136" s="63" t="s">
        <v>365</v>
      </c>
      <c r="C136" s="46">
        <v>7</v>
      </c>
      <c r="D136" s="46"/>
      <c r="E136" s="47">
        <f>+D136+C136</f>
        <v>7</v>
      </c>
      <c r="F136" s="48">
        <f t="shared" ref="F136:F199" si="2">+ROUND(E136,1)</f>
        <v>7</v>
      </c>
    </row>
    <row r="137" spans="1:6" ht="15.75" x14ac:dyDescent="0.25">
      <c r="A137" s="49">
        <v>131</v>
      </c>
      <c r="B137" s="51" t="s">
        <v>366</v>
      </c>
      <c r="C137" s="46">
        <v>7</v>
      </c>
      <c r="D137" s="46"/>
      <c r="E137" s="47">
        <f>+D137+C137</f>
        <v>7</v>
      </c>
      <c r="F137" s="48">
        <f t="shared" si="2"/>
        <v>7</v>
      </c>
    </row>
    <row r="138" spans="1:6" ht="15.75" x14ac:dyDescent="0.25">
      <c r="A138" s="49">
        <v>132</v>
      </c>
      <c r="B138" s="51" t="s">
        <v>367</v>
      </c>
      <c r="C138" s="46">
        <v>7</v>
      </c>
      <c r="D138" s="46"/>
      <c r="E138" s="47">
        <f>+D138+C138</f>
        <v>7</v>
      </c>
      <c r="F138" s="48">
        <f t="shared" si="2"/>
        <v>7</v>
      </c>
    </row>
    <row r="139" spans="1:6" ht="15.75" x14ac:dyDescent="0.25">
      <c r="A139" s="43">
        <v>133</v>
      </c>
      <c r="B139" s="52" t="s">
        <v>368</v>
      </c>
      <c r="C139" s="53">
        <v>18</v>
      </c>
      <c r="D139" s="46"/>
      <c r="E139" s="47">
        <f>+D139+C139</f>
        <v>18</v>
      </c>
      <c r="F139" s="48">
        <f t="shared" si="2"/>
        <v>18</v>
      </c>
    </row>
    <row r="140" spans="1:6" ht="15.75" x14ac:dyDescent="0.25">
      <c r="A140" s="49">
        <v>134</v>
      </c>
      <c r="B140" s="51" t="s">
        <v>369</v>
      </c>
      <c r="C140" s="46">
        <v>7</v>
      </c>
      <c r="D140" s="46"/>
      <c r="E140" s="47">
        <f>+D140+C140</f>
        <v>7</v>
      </c>
      <c r="F140" s="48">
        <f t="shared" si="2"/>
        <v>7</v>
      </c>
    </row>
    <row r="141" spans="1:6" ht="15.75" x14ac:dyDescent="0.25">
      <c r="A141" s="49">
        <v>135</v>
      </c>
      <c r="B141" s="51" t="s">
        <v>370</v>
      </c>
      <c r="C141" s="46">
        <v>7</v>
      </c>
      <c r="D141" s="46"/>
      <c r="E141" s="47">
        <f>+D141+C141</f>
        <v>7</v>
      </c>
      <c r="F141" s="48">
        <f t="shared" si="2"/>
        <v>7</v>
      </c>
    </row>
    <row r="142" spans="1:6" ht="15.75" x14ac:dyDescent="0.25">
      <c r="A142" s="43">
        <v>136</v>
      </c>
      <c r="B142" s="51" t="s">
        <v>371</v>
      </c>
      <c r="C142" s="46">
        <v>7</v>
      </c>
      <c r="D142" s="46"/>
      <c r="E142" s="47">
        <f>+D142+C142</f>
        <v>7</v>
      </c>
      <c r="F142" s="48">
        <f t="shared" si="2"/>
        <v>7</v>
      </c>
    </row>
    <row r="143" spans="1:6" ht="15.75" x14ac:dyDescent="0.25">
      <c r="A143" s="49">
        <v>137</v>
      </c>
      <c r="B143" s="52" t="s">
        <v>174</v>
      </c>
      <c r="C143" s="53">
        <v>10.43</v>
      </c>
      <c r="D143" s="46"/>
      <c r="E143" s="47">
        <f>+D143+C143</f>
        <v>10.43</v>
      </c>
      <c r="F143" s="48">
        <f t="shared" si="2"/>
        <v>10.4</v>
      </c>
    </row>
    <row r="144" spans="1:6" ht="15.75" x14ac:dyDescent="0.25">
      <c r="A144" s="49">
        <v>138</v>
      </c>
      <c r="B144" s="52" t="s">
        <v>372</v>
      </c>
      <c r="C144" s="53">
        <v>10.5</v>
      </c>
      <c r="D144" s="46"/>
      <c r="E144" s="47">
        <f>+D144+C144</f>
        <v>10.5</v>
      </c>
      <c r="F144" s="48">
        <f t="shared" si="2"/>
        <v>10.5</v>
      </c>
    </row>
    <row r="145" spans="1:6" ht="15.75" x14ac:dyDescent="0.25">
      <c r="A145" s="43">
        <v>139</v>
      </c>
      <c r="B145" s="51" t="s">
        <v>373</v>
      </c>
      <c r="C145" s="46">
        <v>7</v>
      </c>
      <c r="D145" s="46"/>
      <c r="E145" s="47">
        <f>+D145+C145</f>
        <v>7</v>
      </c>
      <c r="F145" s="48">
        <f t="shared" si="2"/>
        <v>7</v>
      </c>
    </row>
    <row r="146" spans="1:6" ht="15.75" x14ac:dyDescent="0.25">
      <c r="A146" s="49">
        <v>140</v>
      </c>
      <c r="B146" s="64" t="s">
        <v>374</v>
      </c>
      <c r="C146" s="65">
        <v>28.85</v>
      </c>
      <c r="D146" s="46"/>
      <c r="E146" s="47">
        <f>+D146+C146</f>
        <v>28.85</v>
      </c>
      <c r="F146" s="48">
        <f t="shared" si="2"/>
        <v>28.9</v>
      </c>
    </row>
    <row r="147" spans="1:6" ht="15.75" x14ac:dyDescent="0.25">
      <c r="A147" s="49">
        <v>141</v>
      </c>
      <c r="B147" s="51" t="s">
        <v>375</v>
      </c>
      <c r="C147" s="46">
        <v>7</v>
      </c>
      <c r="D147" s="46"/>
      <c r="E147" s="47">
        <f>+D147+C147</f>
        <v>7</v>
      </c>
      <c r="F147" s="48">
        <f t="shared" si="2"/>
        <v>7</v>
      </c>
    </row>
    <row r="148" spans="1:6" ht="15.75" x14ac:dyDescent="0.25">
      <c r="A148" s="43">
        <v>142</v>
      </c>
      <c r="B148" s="64" t="s">
        <v>376</v>
      </c>
      <c r="C148" s="53">
        <v>24.14</v>
      </c>
      <c r="D148" s="46"/>
      <c r="E148" s="47">
        <f>+D148+C148</f>
        <v>24.14</v>
      </c>
      <c r="F148" s="48">
        <f t="shared" si="2"/>
        <v>24.1</v>
      </c>
    </row>
    <row r="149" spans="1:6" ht="15.75" x14ac:dyDescent="0.25">
      <c r="A149" s="49">
        <v>143</v>
      </c>
      <c r="B149" s="64" t="s">
        <v>377</v>
      </c>
      <c r="C149" s="53">
        <v>26.35</v>
      </c>
      <c r="D149" s="46"/>
      <c r="E149" s="47">
        <f>+D149+C149</f>
        <v>26.35</v>
      </c>
      <c r="F149" s="48">
        <f t="shared" si="2"/>
        <v>26.4</v>
      </c>
    </row>
    <row r="150" spans="1:6" ht="15.75" x14ac:dyDescent="0.25">
      <c r="A150" s="49">
        <v>144</v>
      </c>
      <c r="B150" s="52" t="s">
        <v>186</v>
      </c>
      <c r="C150" s="53">
        <v>73.98</v>
      </c>
      <c r="D150" s="46"/>
      <c r="E150" s="47">
        <f>+D150+C150</f>
        <v>73.98</v>
      </c>
      <c r="F150" s="48">
        <f t="shared" si="2"/>
        <v>74</v>
      </c>
    </row>
    <row r="151" spans="1:6" ht="15.75" x14ac:dyDescent="0.25">
      <c r="A151" s="43">
        <v>145</v>
      </c>
      <c r="B151" s="51" t="s">
        <v>378</v>
      </c>
      <c r="C151" s="46">
        <v>7</v>
      </c>
      <c r="D151" s="46"/>
      <c r="E151" s="47">
        <f>+D151+C151</f>
        <v>7</v>
      </c>
      <c r="F151" s="48">
        <f t="shared" si="2"/>
        <v>7</v>
      </c>
    </row>
    <row r="152" spans="1:6" ht="15.75" x14ac:dyDescent="0.25">
      <c r="A152" s="49">
        <v>146</v>
      </c>
      <c r="B152" s="51" t="s">
        <v>379</v>
      </c>
      <c r="C152" s="46">
        <v>7</v>
      </c>
      <c r="D152" s="46"/>
      <c r="E152" s="47">
        <f>+D152+C152</f>
        <v>7</v>
      </c>
      <c r="F152" s="48">
        <f t="shared" si="2"/>
        <v>7</v>
      </c>
    </row>
    <row r="153" spans="1:6" ht="15.75" x14ac:dyDescent="0.25">
      <c r="A153" s="49">
        <v>147</v>
      </c>
      <c r="B153" s="51" t="s">
        <v>380</v>
      </c>
      <c r="C153" s="46">
        <v>7</v>
      </c>
      <c r="D153" s="46"/>
      <c r="E153" s="47">
        <f>+D153+C153</f>
        <v>7</v>
      </c>
      <c r="F153" s="48">
        <f t="shared" si="2"/>
        <v>7</v>
      </c>
    </row>
    <row r="154" spans="1:6" ht="15.75" x14ac:dyDescent="0.25">
      <c r="A154" s="43">
        <v>148</v>
      </c>
      <c r="B154" s="52" t="s">
        <v>189</v>
      </c>
      <c r="C154" s="53">
        <v>174.94</v>
      </c>
      <c r="D154" s="46"/>
      <c r="E154" s="47">
        <f>+D154+C154</f>
        <v>174.94</v>
      </c>
      <c r="F154" s="48">
        <f t="shared" si="2"/>
        <v>174.9</v>
      </c>
    </row>
    <row r="155" spans="1:6" ht="15.75" x14ac:dyDescent="0.25">
      <c r="A155" s="49">
        <v>149</v>
      </c>
      <c r="B155" s="51" t="s">
        <v>381</v>
      </c>
      <c r="C155" s="46">
        <v>7</v>
      </c>
      <c r="D155" s="46"/>
      <c r="E155" s="47">
        <f>+D155+C155</f>
        <v>7</v>
      </c>
      <c r="F155" s="48">
        <f t="shared" si="2"/>
        <v>7</v>
      </c>
    </row>
    <row r="156" spans="1:6" ht="15.75" x14ac:dyDescent="0.25">
      <c r="A156" s="49">
        <v>150</v>
      </c>
      <c r="B156" s="51" t="s">
        <v>382</v>
      </c>
      <c r="C156" s="46">
        <v>7</v>
      </c>
      <c r="D156" s="46"/>
      <c r="E156" s="47">
        <f>+D156+C156</f>
        <v>7</v>
      </c>
      <c r="F156" s="48">
        <f t="shared" si="2"/>
        <v>7</v>
      </c>
    </row>
    <row r="157" spans="1:6" ht="15.75" x14ac:dyDescent="0.25">
      <c r="A157" s="43">
        <v>151</v>
      </c>
      <c r="B157" s="51" t="s">
        <v>383</v>
      </c>
      <c r="C157" s="46">
        <v>7</v>
      </c>
      <c r="D157" s="46"/>
      <c r="E157" s="47">
        <f>+D157+C157</f>
        <v>7</v>
      </c>
      <c r="F157" s="48">
        <f t="shared" si="2"/>
        <v>7</v>
      </c>
    </row>
    <row r="158" spans="1:6" ht="15.75" x14ac:dyDescent="0.25">
      <c r="A158" s="49">
        <v>152</v>
      </c>
      <c r="B158" s="51" t="s">
        <v>384</v>
      </c>
      <c r="C158" s="46">
        <v>7</v>
      </c>
      <c r="D158" s="46"/>
      <c r="E158" s="47">
        <f>+D158+C158</f>
        <v>7</v>
      </c>
      <c r="F158" s="48">
        <f t="shared" si="2"/>
        <v>7</v>
      </c>
    </row>
    <row r="159" spans="1:6" ht="15.75" x14ac:dyDescent="0.25">
      <c r="A159" s="49">
        <v>153</v>
      </c>
      <c r="B159" s="52" t="s">
        <v>192</v>
      </c>
      <c r="C159" s="53">
        <v>13</v>
      </c>
      <c r="D159" s="46"/>
      <c r="E159" s="47">
        <f>+D159+C159</f>
        <v>13</v>
      </c>
      <c r="F159" s="48">
        <f t="shared" si="2"/>
        <v>13</v>
      </c>
    </row>
    <row r="160" spans="1:6" ht="15.75" x14ac:dyDescent="0.25">
      <c r="A160" s="43">
        <v>154</v>
      </c>
      <c r="B160" s="51" t="s">
        <v>385</v>
      </c>
      <c r="C160" s="46">
        <v>7</v>
      </c>
      <c r="D160" s="46"/>
      <c r="E160" s="47">
        <f>+D160+C160</f>
        <v>7</v>
      </c>
      <c r="F160" s="48">
        <f t="shared" si="2"/>
        <v>7</v>
      </c>
    </row>
    <row r="161" spans="1:6" ht="15.75" x14ac:dyDescent="0.25">
      <c r="A161" s="49">
        <v>155</v>
      </c>
      <c r="B161" s="51" t="s">
        <v>386</v>
      </c>
      <c r="C161" s="46">
        <v>7</v>
      </c>
      <c r="D161" s="46"/>
      <c r="E161" s="47">
        <f>+D161+C161</f>
        <v>7</v>
      </c>
      <c r="F161" s="48">
        <f t="shared" si="2"/>
        <v>7</v>
      </c>
    </row>
    <row r="162" spans="1:6" ht="15.75" x14ac:dyDescent="0.25">
      <c r="A162" s="49">
        <v>156</v>
      </c>
      <c r="B162" s="51" t="s">
        <v>387</v>
      </c>
      <c r="C162" s="46">
        <v>7</v>
      </c>
      <c r="D162" s="46"/>
      <c r="E162" s="47">
        <f>+D162+C162</f>
        <v>7</v>
      </c>
      <c r="F162" s="48">
        <f t="shared" si="2"/>
        <v>7</v>
      </c>
    </row>
    <row r="163" spans="1:6" ht="15.75" x14ac:dyDescent="0.25">
      <c r="A163" s="43">
        <v>157</v>
      </c>
      <c r="B163" s="51" t="s">
        <v>388</v>
      </c>
      <c r="C163" s="46">
        <v>7</v>
      </c>
      <c r="D163" s="46"/>
      <c r="E163" s="47">
        <f>+D163+C163</f>
        <v>7</v>
      </c>
      <c r="F163" s="48">
        <f t="shared" si="2"/>
        <v>7</v>
      </c>
    </row>
    <row r="164" spans="1:6" ht="15.75" x14ac:dyDescent="0.25">
      <c r="A164" s="49">
        <v>158</v>
      </c>
      <c r="B164" s="51" t="s">
        <v>389</v>
      </c>
      <c r="C164" s="46">
        <v>7</v>
      </c>
      <c r="D164" s="46"/>
      <c r="E164" s="47">
        <f>+D164+C164</f>
        <v>7</v>
      </c>
      <c r="F164" s="48">
        <f t="shared" si="2"/>
        <v>7</v>
      </c>
    </row>
    <row r="165" spans="1:6" ht="15.75" x14ac:dyDescent="0.25">
      <c r="A165" s="49">
        <v>159</v>
      </c>
      <c r="B165" s="51" t="s">
        <v>390</v>
      </c>
      <c r="C165" s="46">
        <v>7</v>
      </c>
      <c r="D165" s="46"/>
      <c r="E165" s="47">
        <f>+D165+C165</f>
        <v>7</v>
      </c>
      <c r="F165" s="48">
        <f t="shared" si="2"/>
        <v>7</v>
      </c>
    </row>
    <row r="166" spans="1:6" ht="15.75" x14ac:dyDescent="0.25">
      <c r="A166" s="43">
        <v>160</v>
      </c>
      <c r="B166" s="51" t="s">
        <v>391</v>
      </c>
      <c r="C166" s="46">
        <v>7</v>
      </c>
      <c r="D166" s="46"/>
      <c r="E166" s="47">
        <f>+D166+C166</f>
        <v>7</v>
      </c>
      <c r="F166" s="48">
        <f t="shared" si="2"/>
        <v>7</v>
      </c>
    </row>
    <row r="167" spans="1:6" ht="15.75" x14ac:dyDescent="0.25">
      <c r="A167" s="49">
        <v>161</v>
      </c>
      <c r="B167" s="52" t="s">
        <v>198</v>
      </c>
      <c r="C167" s="65">
        <v>86.9</v>
      </c>
      <c r="D167" s="46"/>
      <c r="E167" s="47">
        <f>+D167+C167</f>
        <v>86.9</v>
      </c>
      <c r="F167" s="48">
        <f t="shared" si="2"/>
        <v>86.9</v>
      </c>
    </row>
    <row r="168" spans="1:6" ht="15.75" x14ac:dyDescent="0.25">
      <c r="A168" s="49">
        <v>162</v>
      </c>
      <c r="B168" s="52" t="s">
        <v>392</v>
      </c>
      <c r="C168" s="53">
        <v>19.350000000000001</v>
      </c>
      <c r="D168" s="46"/>
      <c r="E168" s="47">
        <f>+D168+C168</f>
        <v>19.350000000000001</v>
      </c>
      <c r="F168" s="48">
        <f t="shared" si="2"/>
        <v>19.399999999999999</v>
      </c>
    </row>
    <row r="169" spans="1:6" ht="15.75" x14ac:dyDescent="0.25">
      <c r="A169" s="43">
        <v>163</v>
      </c>
      <c r="B169" s="51" t="s">
        <v>393</v>
      </c>
      <c r="C169" s="46">
        <v>7</v>
      </c>
      <c r="D169" s="46"/>
      <c r="E169" s="47">
        <f>+D169+C169</f>
        <v>7</v>
      </c>
      <c r="F169" s="48">
        <f t="shared" si="2"/>
        <v>7</v>
      </c>
    </row>
    <row r="170" spans="1:6" ht="15.75" x14ac:dyDescent="0.25">
      <c r="A170" s="49">
        <v>164</v>
      </c>
      <c r="B170" s="52" t="s">
        <v>394</v>
      </c>
      <c r="C170" s="53">
        <v>65.319999999999993</v>
      </c>
      <c r="D170" s="46"/>
      <c r="E170" s="47">
        <f>+D170+C170</f>
        <v>65.319999999999993</v>
      </c>
      <c r="F170" s="48">
        <f t="shared" si="2"/>
        <v>65.3</v>
      </c>
    </row>
    <row r="171" spans="1:6" ht="15.75" x14ac:dyDescent="0.25">
      <c r="A171" s="49">
        <v>165</v>
      </c>
      <c r="B171" s="51" t="s">
        <v>395</v>
      </c>
      <c r="C171" s="46">
        <v>7</v>
      </c>
      <c r="D171" s="46"/>
      <c r="E171" s="47">
        <f>+D171+C171</f>
        <v>7</v>
      </c>
      <c r="F171" s="48">
        <f t="shared" si="2"/>
        <v>7</v>
      </c>
    </row>
    <row r="172" spans="1:6" ht="15.75" x14ac:dyDescent="0.25">
      <c r="A172" s="43">
        <v>166</v>
      </c>
      <c r="B172" s="52" t="s">
        <v>204</v>
      </c>
      <c r="C172" s="53">
        <v>78</v>
      </c>
      <c r="D172" s="46"/>
      <c r="E172" s="47">
        <f>+D172+C172</f>
        <v>78</v>
      </c>
      <c r="F172" s="48">
        <f t="shared" si="2"/>
        <v>78</v>
      </c>
    </row>
    <row r="173" spans="1:6" ht="15.75" x14ac:dyDescent="0.25">
      <c r="A173" s="49">
        <v>167</v>
      </c>
      <c r="B173" s="52" t="s">
        <v>396</v>
      </c>
      <c r="C173" s="53">
        <v>19.89</v>
      </c>
      <c r="D173" s="46"/>
      <c r="E173" s="47">
        <f>+D173+C173</f>
        <v>19.89</v>
      </c>
      <c r="F173" s="48">
        <f t="shared" si="2"/>
        <v>19.899999999999999</v>
      </c>
    </row>
    <row r="174" spans="1:6" ht="15.75" x14ac:dyDescent="0.25">
      <c r="A174" s="49">
        <v>168</v>
      </c>
      <c r="B174" s="51" t="s">
        <v>397</v>
      </c>
      <c r="C174" s="46">
        <v>7</v>
      </c>
      <c r="D174" s="46"/>
      <c r="E174" s="47">
        <f>+D174+C174</f>
        <v>7</v>
      </c>
      <c r="F174" s="48">
        <f t="shared" si="2"/>
        <v>7</v>
      </c>
    </row>
    <row r="175" spans="1:6" ht="15.75" x14ac:dyDescent="0.25">
      <c r="A175" s="43">
        <v>169</v>
      </c>
      <c r="B175" s="52" t="s">
        <v>398</v>
      </c>
      <c r="C175" s="48">
        <v>21.2</v>
      </c>
      <c r="D175" s="46"/>
      <c r="E175" s="47">
        <f>+D175+C175</f>
        <v>21.2</v>
      </c>
      <c r="F175" s="48">
        <f t="shared" si="2"/>
        <v>21.2</v>
      </c>
    </row>
    <row r="176" spans="1:6" ht="15.75" x14ac:dyDescent="0.25">
      <c r="A176" s="49">
        <v>170</v>
      </c>
      <c r="B176" s="52" t="s">
        <v>213</v>
      </c>
      <c r="C176" s="53">
        <v>13.52</v>
      </c>
      <c r="D176" s="46"/>
      <c r="E176" s="47">
        <f>+D176+C176</f>
        <v>13.52</v>
      </c>
      <c r="F176" s="48">
        <f t="shared" si="2"/>
        <v>13.5</v>
      </c>
    </row>
    <row r="177" spans="1:6" ht="15.75" x14ac:dyDescent="0.25">
      <c r="A177" s="49">
        <v>171</v>
      </c>
      <c r="B177" s="51" t="s">
        <v>399</v>
      </c>
      <c r="C177" s="46">
        <v>7</v>
      </c>
      <c r="D177" s="46"/>
      <c r="E177" s="47">
        <f>+D177+C177</f>
        <v>7</v>
      </c>
      <c r="F177" s="48">
        <f t="shared" si="2"/>
        <v>7</v>
      </c>
    </row>
    <row r="178" spans="1:6" ht="15.75" x14ac:dyDescent="0.25">
      <c r="A178" s="43">
        <v>172</v>
      </c>
      <c r="B178" s="51" t="s">
        <v>400</v>
      </c>
      <c r="C178" s="46">
        <v>7</v>
      </c>
      <c r="D178" s="46"/>
      <c r="E178" s="47">
        <f>+D178+C178</f>
        <v>7</v>
      </c>
      <c r="F178" s="48">
        <f t="shared" si="2"/>
        <v>7</v>
      </c>
    </row>
    <row r="179" spans="1:6" ht="15.75" x14ac:dyDescent="0.25">
      <c r="A179" s="49">
        <v>173</v>
      </c>
      <c r="B179" s="51" t="s">
        <v>401</v>
      </c>
      <c r="C179" s="46">
        <v>7</v>
      </c>
      <c r="D179" s="46"/>
      <c r="E179" s="47">
        <f>+D179+C179</f>
        <v>7</v>
      </c>
      <c r="F179" s="48">
        <f t="shared" si="2"/>
        <v>7</v>
      </c>
    </row>
    <row r="180" spans="1:6" ht="15.75" x14ac:dyDescent="0.25">
      <c r="A180" s="49">
        <v>174</v>
      </c>
      <c r="B180" s="52" t="s">
        <v>216</v>
      </c>
      <c r="C180" s="53">
        <v>45</v>
      </c>
      <c r="D180" s="46"/>
      <c r="E180" s="47">
        <f>+D180+C180</f>
        <v>45</v>
      </c>
      <c r="F180" s="48">
        <f t="shared" si="2"/>
        <v>45</v>
      </c>
    </row>
    <row r="181" spans="1:6" ht="15.75" x14ac:dyDescent="0.25">
      <c r="A181" s="43">
        <v>175</v>
      </c>
      <c r="B181" s="51" t="s">
        <v>402</v>
      </c>
      <c r="C181" s="46">
        <v>7</v>
      </c>
      <c r="D181" s="46"/>
      <c r="E181" s="47">
        <f>+D181+C181</f>
        <v>7</v>
      </c>
      <c r="F181" s="48">
        <f t="shared" si="2"/>
        <v>7</v>
      </c>
    </row>
    <row r="182" spans="1:6" ht="15.75" x14ac:dyDescent="0.25">
      <c r="A182" s="49">
        <v>176</v>
      </c>
      <c r="B182" s="52" t="s">
        <v>403</v>
      </c>
      <c r="C182" s="53">
        <v>9.08</v>
      </c>
      <c r="D182" s="46"/>
      <c r="E182" s="47">
        <f>+D182+C182</f>
        <v>9.08</v>
      </c>
      <c r="F182" s="48">
        <f t="shared" si="2"/>
        <v>9.1</v>
      </c>
    </row>
    <row r="183" spans="1:6" ht="15.75" x14ac:dyDescent="0.25">
      <c r="A183" s="49">
        <v>177</v>
      </c>
      <c r="B183" s="52" t="s">
        <v>404</v>
      </c>
      <c r="C183" s="53">
        <v>82.75</v>
      </c>
      <c r="D183" s="46"/>
      <c r="E183" s="47">
        <f>+D183+C183</f>
        <v>82.75</v>
      </c>
      <c r="F183" s="48">
        <f t="shared" si="2"/>
        <v>82.8</v>
      </c>
    </row>
    <row r="184" spans="1:6" ht="15.75" x14ac:dyDescent="0.25">
      <c r="A184" s="43">
        <v>178</v>
      </c>
      <c r="B184" s="51" t="s">
        <v>405</v>
      </c>
      <c r="C184" s="46">
        <v>7</v>
      </c>
      <c r="D184" s="46"/>
      <c r="E184" s="47">
        <f>+D184+C184</f>
        <v>7</v>
      </c>
      <c r="F184" s="48">
        <f t="shared" si="2"/>
        <v>7</v>
      </c>
    </row>
    <row r="185" spans="1:6" ht="15.75" x14ac:dyDescent="0.25">
      <c r="A185" s="49">
        <v>179</v>
      </c>
      <c r="B185" s="52" t="s">
        <v>406</v>
      </c>
      <c r="C185" s="53">
        <v>52.32</v>
      </c>
      <c r="D185" s="46"/>
      <c r="E185" s="47">
        <f>+D185+C185</f>
        <v>52.32</v>
      </c>
      <c r="F185" s="48">
        <f t="shared" si="2"/>
        <v>52.3</v>
      </c>
    </row>
    <row r="186" spans="1:6" ht="15.75" x14ac:dyDescent="0.25">
      <c r="A186" s="49">
        <v>180</v>
      </c>
      <c r="B186" s="51" t="s">
        <v>407</v>
      </c>
      <c r="C186" s="46">
        <v>7</v>
      </c>
      <c r="D186" s="46"/>
      <c r="E186" s="47">
        <f>+D186+C186</f>
        <v>7</v>
      </c>
      <c r="F186" s="48">
        <f t="shared" si="2"/>
        <v>7</v>
      </c>
    </row>
    <row r="187" spans="1:6" ht="15.75" x14ac:dyDescent="0.25">
      <c r="A187" s="43">
        <v>181</v>
      </c>
      <c r="B187" s="51" t="s">
        <v>408</v>
      </c>
      <c r="C187" s="46">
        <v>4</v>
      </c>
      <c r="D187" s="46"/>
      <c r="E187" s="47">
        <f>+D187+C187</f>
        <v>4</v>
      </c>
      <c r="F187" s="48">
        <f t="shared" si="2"/>
        <v>4</v>
      </c>
    </row>
    <row r="188" spans="1:6" ht="15.75" x14ac:dyDescent="0.25">
      <c r="A188" s="49">
        <v>182</v>
      </c>
      <c r="B188" s="52" t="s">
        <v>228</v>
      </c>
      <c r="C188" s="53">
        <v>10</v>
      </c>
      <c r="D188" s="46"/>
      <c r="E188" s="47">
        <f>+D188+C188</f>
        <v>10</v>
      </c>
      <c r="F188" s="48">
        <f t="shared" si="2"/>
        <v>10</v>
      </c>
    </row>
    <row r="189" spans="1:6" ht="15.75" x14ac:dyDescent="0.25">
      <c r="A189" s="49">
        <v>183</v>
      </c>
      <c r="B189" s="51" t="s">
        <v>409</v>
      </c>
      <c r="C189" s="46">
        <v>7</v>
      </c>
      <c r="D189" s="46"/>
      <c r="E189" s="47">
        <f>+D189+C189</f>
        <v>7</v>
      </c>
      <c r="F189" s="48">
        <f t="shared" si="2"/>
        <v>7</v>
      </c>
    </row>
    <row r="190" spans="1:6" ht="15.75" x14ac:dyDescent="0.25">
      <c r="A190" s="43">
        <v>184</v>
      </c>
      <c r="B190" s="52" t="s">
        <v>237</v>
      </c>
      <c r="C190" s="53">
        <v>239.94</v>
      </c>
      <c r="D190" s="46"/>
      <c r="E190" s="47">
        <f>+D190+C190</f>
        <v>239.94</v>
      </c>
      <c r="F190" s="48">
        <f t="shared" si="2"/>
        <v>239.9</v>
      </c>
    </row>
    <row r="191" spans="1:6" ht="15.75" x14ac:dyDescent="0.25">
      <c r="A191" s="49">
        <v>185</v>
      </c>
      <c r="B191" s="52" t="s">
        <v>240</v>
      </c>
      <c r="C191" s="53">
        <v>20</v>
      </c>
      <c r="D191" s="46"/>
      <c r="E191" s="47">
        <f>+D191+C191</f>
        <v>20</v>
      </c>
      <c r="F191" s="48">
        <f t="shared" si="2"/>
        <v>20</v>
      </c>
    </row>
    <row r="192" spans="1:6" x14ac:dyDescent="0.25">
      <c r="A192" s="66"/>
      <c r="B192" s="67" t="s">
        <v>410</v>
      </c>
      <c r="C192" s="46"/>
      <c r="D192" s="46"/>
      <c r="E192" s="47"/>
      <c r="F192" s="48">
        <f t="shared" si="2"/>
        <v>0</v>
      </c>
    </row>
    <row r="193" spans="1:6" ht="15.75" x14ac:dyDescent="0.25">
      <c r="A193" s="49">
        <v>1</v>
      </c>
      <c r="B193" s="51" t="s">
        <v>411</v>
      </c>
      <c r="C193" s="46">
        <v>12</v>
      </c>
      <c r="D193" s="46"/>
      <c r="E193" s="47">
        <f>+D193+C193</f>
        <v>12</v>
      </c>
      <c r="F193" s="48">
        <f t="shared" si="2"/>
        <v>12</v>
      </c>
    </row>
    <row r="194" spans="1:6" ht="15.75" x14ac:dyDescent="0.25">
      <c r="A194" s="49">
        <v>2</v>
      </c>
      <c r="B194" s="51" t="s">
        <v>412</v>
      </c>
      <c r="C194" s="46">
        <v>15</v>
      </c>
      <c r="D194" s="46"/>
      <c r="E194" s="47">
        <f>+D194+C194</f>
        <v>15</v>
      </c>
      <c r="F194" s="48">
        <f t="shared" si="2"/>
        <v>15</v>
      </c>
    </row>
    <row r="195" spans="1:6" ht="15.75" x14ac:dyDescent="0.25">
      <c r="A195" s="49">
        <v>3</v>
      </c>
      <c r="B195" s="51" t="s">
        <v>413</v>
      </c>
      <c r="C195" s="46">
        <v>6</v>
      </c>
      <c r="D195" s="46"/>
      <c r="E195" s="47">
        <f>+D195+C195</f>
        <v>6</v>
      </c>
      <c r="F195" s="48">
        <f t="shared" si="2"/>
        <v>6</v>
      </c>
    </row>
    <row r="196" spans="1:6" ht="15.75" x14ac:dyDescent="0.25">
      <c r="A196" s="49">
        <v>4</v>
      </c>
      <c r="B196" s="51" t="s">
        <v>414</v>
      </c>
      <c r="C196" s="46">
        <v>6</v>
      </c>
      <c r="D196" s="46"/>
      <c r="E196" s="47">
        <f>+D196+C196</f>
        <v>6</v>
      </c>
      <c r="F196" s="48">
        <f t="shared" si="2"/>
        <v>6</v>
      </c>
    </row>
    <row r="197" spans="1:6" ht="15.75" x14ac:dyDescent="0.25">
      <c r="A197" s="49">
        <v>5</v>
      </c>
      <c r="B197" s="51" t="s">
        <v>415</v>
      </c>
      <c r="C197" s="46">
        <v>6</v>
      </c>
      <c r="D197" s="46"/>
      <c r="E197" s="47">
        <f>+D197+C197</f>
        <v>6</v>
      </c>
      <c r="F197" s="48">
        <f t="shared" si="2"/>
        <v>6</v>
      </c>
    </row>
    <row r="198" spans="1:6" ht="15.75" x14ac:dyDescent="0.25">
      <c r="A198" s="49">
        <v>6</v>
      </c>
      <c r="B198" s="52" t="s">
        <v>416</v>
      </c>
      <c r="C198" s="46">
        <v>6</v>
      </c>
      <c r="D198" s="46"/>
      <c r="E198" s="47">
        <f>+D198+C198</f>
        <v>6</v>
      </c>
      <c r="F198" s="48">
        <f t="shared" si="2"/>
        <v>6</v>
      </c>
    </row>
    <row r="199" spans="1:6" ht="15.75" x14ac:dyDescent="0.25">
      <c r="A199" s="49">
        <v>7</v>
      </c>
      <c r="B199" s="51" t="s">
        <v>417</v>
      </c>
      <c r="C199" s="46">
        <v>6</v>
      </c>
      <c r="D199" s="46"/>
      <c r="E199" s="47">
        <f>+D199+C199</f>
        <v>6</v>
      </c>
      <c r="F199" s="48">
        <f t="shared" si="2"/>
        <v>6</v>
      </c>
    </row>
    <row r="200" spans="1:6" ht="15.75" x14ac:dyDescent="0.25">
      <c r="A200" s="49">
        <v>8</v>
      </c>
      <c r="B200" s="51" t="s">
        <v>418</v>
      </c>
      <c r="C200" s="46">
        <v>6</v>
      </c>
      <c r="D200" s="46"/>
      <c r="E200" s="47">
        <f>+D200+C200</f>
        <v>6</v>
      </c>
      <c r="F200" s="48">
        <f t="shared" ref="F200:F255" si="3">+ROUND(E200,1)</f>
        <v>6</v>
      </c>
    </row>
    <row r="201" spans="1:6" ht="15.75" x14ac:dyDescent="0.25">
      <c r="A201" s="49">
        <v>9</v>
      </c>
      <c r="B201" s="51" t="s">
        <v>419</v>
      </c>
      <c r="C201" s="46">
        <v>6</v>
      </c>
      <c r="D201" s="46"/>
      <c r="E201" s="47">
        <f>+D201+C201</f>
        <v>6</v>
      </c>
      <c r="F201" s="48">
        <f t="shared" si="3"/>
        <v>6</v>
      </c>
    </row>
    <row r="202" spans="1:6" ht="15.75" x14ac:dyDescent="0.25">
      <c r="A202" s="49">
        <v>10</v>
      </c>
      <c r="B202" s="51" t="s">
        <v>420</v>
      </c>
      <c r="C202" s="46">
        <v>6</v>
      </c>
      <c r="D202" s="46"/>
      <c r="E202" s="47">
        <f>+D202+C202</f>
        <v>6</v>
      </c>
      <c r="F202" s="48">
        <f t="shared" si="3"/>
        <v>6</v>
      </c>
    </row>
    <row r="203" spans="1:6" ht="15.75" x14ac:dyDescent="0.25">
      <c r="A203" s="49">
        <v>11</v>
      </c>
      <c r="B203" s="51" t="s">
        <v>421</v>
      </c>
      <c r="C203" s="46">
        <v>6</v>
      </c>
      <c r="D203" s="46"/>
      <c r="E203" s="47">
        <f>+D203+C203</f>
        <v>6</v>
      </c>
      <c r="F203" s="48">
        <f t="shared" si="3"/>
        <v>6</v>
      </c>
    </row>
    <row r="204" spans="1:6" ht="15.75" x14ac:dyDescent="0.25">
      <c r="A204" s="49">
        <v>12</v>
      </c>
      <c r="B204" s="51" t="s">
        <v>422</v>
      </c>
      <c r="C204" s="46">
        <v>6</v>
      </c>
      <c r="D204" s="46"/>
      <c r="E204" s="47">
        <f>+D204+C204</f>
        <v>6</v>
      </c>
      <c r="F204" s="48">
        <f t="shared" si="3"/>
        <v>6</v>
      </c>
    </row>
    <row r="205" spans="1:6" ht="15.75" x14ac:dyDescent="0.25">
      <c r="A205" s="49">
        <v>13</v>
      </c>
      <c r="B205" s="51" t="s">
        <v>423</v>
      </c>
      <c r="C205" s="46">
        <v>6</v>
      </c>
      <c r="D205" s="46"/>
      <c r="E205" s="47">
        <f>+D205+C205</f>
        <v>6</v>
      </c>
      <c r="F205" s="48">
        <f t="shared" si="3"/>
        <v>6</v>
      </c>
    </row>
    <row r="206" spans="1:6" ht="15.75" x14ac:dyDescent="0.25">
      <c r="A206" s="49">
        <v>14</v>
      </c>
      <c r="B206" s="52" t="s">
        <v>234</v>
      </c>
      <c r="C206" s="48">
        <v>31.88</v>
      </c>
      <c r="D206" s="46"/>
      <c r="E206" s="47">
        <f>+D206+C206</f>
        <v>31.88</v>
      </c>
      <c r="F206" s="48">
        <f t="shared" si="3"/>
        <v>31.9</v>
      </c>
    </row>
    <row r="207" spans="1:6" ht="15.75" x14ac:dyDescent="0.25">
      <c r="A207" s="49">
        <v>15</v>
      </c>
      <c r="B207" s="51" t="s">
        <v>424</v>
      </c>
      <c r="C207" s="46">
        <v>6</v>
      </c>
      <c r="D207" s="46"/>
      <c r="E207" s="47">
        <f>+D207+C207</f>
        <v>6</v>
      </c>
      <c r="F207" s="48">
        <f t="shared" si="3"/>
        <v>6</v>
      </c>
    </row>
    <row r="208" spans="1:6" ht="15.75" x14ac:dyDescent="0.25">
      <c r="A208" s="49">
        <v>16</v>
      </c>
      <c r="B208" s="51" t="s">
        <v>425</v>
      </c>
      <c r="C208" s="46">
        <v>6</v>
      </c>
      <c r="D208" s="46"/>
      <c r="E208" s="47">
        <f>+D208+C208</f>
        <v>6</v>
      </c>
      <c r="F208" s="48">
        <f t="shared" si="3"/>
        <v>6</v>
      </c>
    </row>
    <row r="209" spans="1:6" ht="15.75" x14ac:dyDescent="0.25">
      <c r="A209" s="49">
        <v>17</v>
      </c>
      <c r="B209" s="51" t="s">
        <v>426</v>
      </c>
      <c r="C209" s="46">
        <v>6</v>
      </c>
      <c r="D209" s="46"/>
      <c r="E209" s="47">
        <f>+D209+C209</f>
        <v>6</v>
      </c>
      <c r="F209" s="48">
        <f t="shared" si="3"/>
        <v>6</v>
      </c>
    </row>
    <row r="210" spans="1:6" ht="15.75" x14ac:dyDescent="0.25">
      <c r="A210" s="49">
        <v>18</v>
      </c>
      <c r="B210" s="51" t="s">
        <v>427</v>
      </c>
      <c r="C210" s="46">
        <v>6</v>
      </c>
      <c r="D210" s="46"/>
      <c r="E210" s="47">
        <f>+D210+C210</f>
        <v>6</v>
      </c>
      <c r="F210" s="48">
        <f t="shared" si="3"/>
        <v>6</v>
      </c>
    </row>
    <row r="211" spans="1:6" ht="15.75" x14ac:dyDescent="0.25">
      <c r="A211" s="49">
        <v>19</v>
      </c>
      <c r="B211" s="51" t="s">
        <v>428</v>
      </c>
      <c r="C211" s="46">
        <v>6</v>
      </c>
      <c r="D211" s="46"/>
      <c r="E211" s="47">
        <f>+D211+C211</f>
        <v>6</v>
      </c>
      <c r="F211" s="48">
        <f t="shared" si="3"/>
        <v>6</v>
      </c>
    </row>
    <row r="212" spans="1:6" ht="15.75" x14ac:dyDescent="0.25">
      <c r="A212" s="49">
        <v>20</v>
      </c>
      <c r="B212" s="51" t="s">
        <v>429</v>
      </c>
      <c r="C212" s="46">
        <v>6</v>
      </c>
      <c r="D212" s="46"/>
      <c r="E212" s="47">
        <f>+D212+C212</f>
        <v>6</v>
      </c>
      <c r="F212" s="48">
        <f t="shared" si="3"/>
        <v>6</v>
      </c>
    </row>
    <row r="213" spans="1:6" ht="15.75" x14ac:dyDescent="0.25">
      <c r="A213" s="49">
        <v>21</v>
      </c>
      <c r="B213" s="51" t="s">
        <v>430</v>
      </c>
      <c r="C213" s="46">
        <v>6</v>
      </c>
      <c r="D213" s="46"/>
      <c r="E213" s="47">
        <f>+D213+C213</f>
        <v>6</v>
      </c>
      <c r="F213" s="48">
        <f t="shared" si="3"/>
        <v>6</v>
      </c>
    </row>
    <row r="214" spans="1:6" ht="15.75" x14ac:dyDescent="0.25">
      <c r="A214" s="49">
        <v>22</v>
      </c>
      <c r="B214" s="51" t="s">
        <v>431</v>
      </c>
      <c r="C214" s="46">
        <v>6</v>
      </c>
      <c r="D214" s="46"/>
      <c r="E214" s="47">
        <f>+D214+C214</f>
        <v>6</v>
      </c>
      <c r="F214" s="48">
        <f t="shared" si="3"/>
        <v>6</v>
      </c>
    </row>
    <row r="215" spans="1:6" ht="15.75" x14ac:dyDescent="0.25">
      <c r="A215" s="49">
        <v>23</v>
      </c>
      <c r="B215" s="51" t="s">
        <v>432</v>
      </c>
      <c r="C215" s="46">
        <v>6</v>
      </c>
      <c r="D215" s="46"/>
      <c r="E215" s="47">
        <f>+D215+C215</f>
        <v>6</v>
      </c>
      <c r="F215" s="48">
        <f t="shared" si="3"/>
        <v>6</v>
      </c>
    </row>
    <row r="216" spans="1:6" ht="15.75" x14ac:dyDescent="0.25">
      <c r="A216" s="49">
        <v>24</v>
      </c>
      <c r="B216" s="51" t="s">
        <v>433</v>
      </c>
      <c r="C216" s="46">
        <v>10</v>
      </c>
      <c r="D216" s="46"/>
      <c r="E216" s="47">
        <f>+D216+C216</f>
        <v>10</v>
      </c>
      <c r="F216" s="48">
        <f t="shared" si="3"/>
        <v>10</v>
      </c>
    </row>
    <row r="217" spans="1:6" ht="15.75" x14ac:dyDescent="0.25">
      <c r="A217" s="49">
        <v>25</v>
      </c>
      <c r="B217" s="51" t="s">
        <v>434</v>
      </c>
      <c r="C217" s="46">
        <v>10</v>
      </c>
      <c r="D217" s="46"/>
      <c r="E217" s="47">
        <f>+D217+C217</f>
        <v>10</v>
      </c>
      <c r="F217" s="48">
        <f t="shared" si="3"/>
        <v>10</v>
      </c>
    </row>
    <row r="218" spans="1:6" ht="15.75" x14ac:dyDescent="0.25">
      <c r="A218" s="49">
        <v>26</v>
      </c>
      <c r="B218" s="52" t="s">
        <v>245</v>
      </c>
      <c r="C218" s="48">
        <v>10.61</v>
      </c>
      <c r="D218" s="46"/>
      <c r="E218" s="47">
        <f>+D218+C218</f>
        <v>10.61</v>
      </c>
      <c r="F218" s="48">
        <f t="shared" si="3"/>
        <v>10.6</v>
      </c>
    </row>
    <row r="219" spans="1:6" ht="15.75" x14ac:dyDescent="0.25">
      <c r="A219" s="49">
        <v>27</v>
      </c>
      <c r="B219" s="51" t="s">
        <v>435</v>
      </c>
      <c r="C219" s="46">
        <v>6</v>
      </c>
      <c r="D219" s="46"/>
      <c r="E219" s="47">
        <f>+D219+C219</f>
        <v>6</v>
      </c>
      <c r="F219" s="48">
        <f t="shared" si="3"/>
        <v>6</v>
      </c>
    </row>
    <row r="220" spans="1:6" ht="15.75" x14ac:dyDescent="0.25">
      <c r="A220" s="49">
        <v>28</v>
      </c>
      <c r="B220" s="51" t="s">
        <v>436</v>
      </c>
      <c r="C220" s="46">
        <v>6</v>
      </c>
      <c r="D220" s="46"/>
      <c r="E220" s="47">
        <f>+D220+C220</f>
        <v>6</v>
      </c>
      <c r="F220" s="48">
        <f t="shared" si="3"/>
        <v>6</v>
      </c>
    </row>
    <row r="221" spans="1:6" ht="15.75" x14ac:dyDescent="0.25">
      <c r="A221" s="49">
        <v>29</v>
      </c>
      <c r="B221" s="51" t="s">
        <v>437</v>
      </c>
      <c r="C221" s="46">
        <v>6</v>
      </c>
      <c r="D221" s="46"/>
      <c r="E221" s="47">
        <f>+D221+C221</f>
        <v>6</v>
      </c>
      <c r="F221" s="48">
        <f t="shared" si="3"/>
        <v>6</v>
      </c>
    </row>
    <row r="222" spans="1:6" ht="15.75" x14ac:dyDescent="0.25">
      <c r="A222" s="49">
        <v>31</v>
      </c>
      <c r="B222" s="51" t="s">
        <v>438</v>
      </c>
      <c r="C222" s="46">
        <v>6</v>
      </c>
      <c r="D222" s="46"/>
      <c r="E222" s="47">
        <f>+D222+C222</f>
        <v>6</v>
      </c>
      <c r="F222" s="48">
        <f t="shared" si="3"/>
        <v>6</v>
      </c>
    </row>
    <row r="223" spans="1:6" ht="15.75" x14ac:dyDescent="0.25">
      <c r="A223" s="49">
        <v>32</v>
      </c>
      <c r="B223" s="51" t="s">
        <v>439</v>
      </c>
      <c r="C223" s="46">
        <v>6</v>
      </c>
      <c r="D223" s="46"/>
      <c r="E223" s="47">
        <f>+D223+C223</f>
        <v>6</v>
      </c>
      <c r="F223" s="48">
        <f t="shared" si="3"/>
        <v>6</v>
      </c>
    </row>
    <row r="224" spans="1:6" ht="15.75" x14ac:dyDescent="0.25">
      <c r="A224" s="49">
        <v>33</v>
      </c>
      <c r="B224" s="52" t="s">
        <v>248</v>
      </c>
      <c r="C224" s="48">
        <v>8</v>
      </c>
      <c r="D224" s="46"/>
      <c r="E224" s="47">
        <f>+D224+C224</f>
        <v>8</v>
      </c>
      <c r="F224" s="48">
        <f t="shared" si="3"/>
        <v>8</v>
      </c>
    </row>
    <row r="225" spans="1:6" ht="15.75" x14ac:dyDescent="0.25">
      <c r="A225" s="49">
        <v>34</v>
      </c>
      <c r="B225" s="51" t="s">
        <v>440</v>
      </c>
      <c r="C225" s="46">
        <v>6</v>
      </c>
      <c r="D225" s="46"/>
      <c r="E225" s="47">
        <f>+D225+C225</f>
        <v>6</v>
      </c>
      <c r="F225" s="48">
        <f t="shared" si="3"/>
        <v>6</v>
      </c>
    </row>
    <row r="226" spans="1:6" ht="15.75" x14ac:dyDescent="0.25">
      <c r="A226" s="49">
        <v>35</v>
      </c>
      <c r="B226" s="51" t="s">
        <v>441</v>
      </c>
      <c r="C226" s="46">
        <v>6</v>
      </c>
      <c r="D226" s="46"/>
      <c r="E226" s="47">
        <f>+D226+C226</f>
        <v>6</v>
      </c>
      <c r="F226" s="48">
        <f t="shared" si="3"/>
        <v>6</v>
      </c>
    </row>
    <row r="227" spans="1:6" ht="15.75" x14ac:dyDescent="0.25">
      <c r="A227" s="49">
        <v>36</v>
      </c>
      <c r="B227" s="51" t="s">
        <v>442</v>
      </c>
      <c r="C227" s="46">
        <v>6</v>
      </c>
      <c r="D227" s="46"/>
      <c r="E227" s="47">
        <f>+D227+C227</f>
        <v>6</v>
      </c>
      <c r="F227" s="48">
        <f t="shared" si="3"/>
        <v>6</v>
      </c>
    </row>
    <row r="228" spans="1:6" ht="15.75" x14ac:dyDescent="0.25">
      <c r="A228" s="49">
        <v>37</v>
      </c>
      <c r="B228" s="51" t="s">
        <v>443</v>
      </c>
      <c r="C228" s="46">
        <v>6</v>
      </c>
      <c r="D228" s="46"/>
      <c r="E228" s="47">
        <f>+D228+C228</f>
        <v>6</v>
      </c>
      <c r="F228" s="48">
        <f t="shared" si="3"/>
        <v>6</v>
      </c>
    </row>
    <row r="229" spans="1:6" ht="15.75" x14ac:dyDescent="0.25">
      <c r="A229" s="49">
        <v>38</v>
      </c>
      <c r="B229" s="51" t="s">
        <v>444</v>
      </c>
      <c r="C229" s="46">
        <v>6</v>
      </c>
      <c r="D229" s="46"/>
      <c r="E229" s="47">
        <f>+D229+C229</f>
        <v>6</v>
      </c>
      <c r="F229" s="48">
        <f t="shared" si="3"/>
        <v>6</v>
      </c>
    </row>
    <row r="230" spans="1:6" ht="15.75" x14ac:dyDescent="0.25">
      <c r="A230" s="49">
        <v>39</v>
      </c>
      <c r="B230" s="51" t="s">
        <v>445</v>
      </c>
      <c r="C230" s="46">
        <v>6</v>
      </c>
      <c r="D230" s="46"/>
      <c r="E230" s="47">
        <f>+D230+C230</f>
        <v>6</v>
      </c>
      <c r="F230" s="48">
        <f t="shared" si="3"/>
        <v>6</v>
      </c>
    </row>
    <row r="231" spans="1:6" ht="15.75" x14ac:dyDescent="0.25">
      <c r="A231" s="49">
        <v>40</v>
      </c>
      <c r="B231" s="51" t="s">
        <v>446</v>
      </c>
      <c r="C231" s="46">
        <v>6</v>
      </c>
      <c r="D231" s="46"/>
      <c r="E231" s="47">
        <f>+D231+C231</f>
        <v>6</v>
      </c>
      <c r="F231" s="48">
        <f t="shared" si="3"/>
        <v>6</v>
      </c>
    </row>
    <row r="232" spans="1:6" ht="15.75" x14ac:dyDescent="0.25">
      <c r="A232" s="49">
        <v>41</v>
      </c>
      <c r="B232" s="51" t="s">
        <v>447</v>
      </c>
      <c r="C232" s="46">
        <v>6</v>
      </c>
      <c r="D232" s="46"/>
      <c r="E232" s="47">
        <f>+D232+C232</f>
        <v>6</v>
      </c>
      <c r="F232" s="48">
        <f t="shared" si="3"/>
        <v>6</v>
      </c>
    </row>
    <row r="233" spans="1:6" ht="15.75" x14ac:dyDescent="0.25">
      <c r="A233" s="49">
        <v>42</v>
      </c>
      <c r="B233" s="51" t="s">
        <v>448</v>
      </c>
      <c r="C233" s="46">
        <v>6</v>
      </c>
      <c r="D233" s="46"/>
      <c r="E233" s="47">
        <f>+D233+C233</f>
        <v>6</v>
      </c>
      <c r="F233" s="48">
        <f t="shared" si="3"/>
        <v>6</v>
      </c>
    </row>
    <row r="234" spans="1:6" ht="15.75" x14ac:dyDescent="0.25">
      <c r="A234" s="49">
        <v>43</v>
      </c>
      <c r="B234" s="51" t="s">
        <v>449</v>
      </c>
      <c r="C234" s="46">
        <v>6</v>
      </c>
      <c r="D234" s="46"/>
      <c r="E234" s="47">
        <f>+D234+C234</f>
        <v>6</v>
      </c>
      <c r="F234" s="48">
        <f t="shared" si="3"/>
        <v>6</v>
      </c>
    </row>
    <row r="235" spans="1:6" ht="15.75" x14ac:dyDescent="0.25">
      <c r="A235" s="49">
        <v>44</v>
      </c>
      <c r="B235" s="51" t="s">
        <v>450</v>
      </c>
      <c r="C235" s="46">
        <v>6</v>
      </c>
      <c r="D235" s="46"/>
      <c r="E235" s="47">
        <f>+D235+C235</f>
        <v>6</v>
      </c>
      <c r="F235" s="48">
        <f t="shared" si="3"/>
        <v>6</v>
      </c>
    </row>
    <row r="236" spans="1:6" ht="15.75" x14ac:dyDescent="0.25">
      <c r="A236" s="49">
        <v>45</v>
      </c>
      <c r="B236" s="51" t="s">
        <v>451</v>
      </c>
      <c r="C236" s="46">
        <v>6</v>
      </c>
      <c r="D236" s="46"/>
      <c r="E236" s="47">
        <f>+D236+C236</f>
        <v>6</v>
      </c>
      <c r="F236" s="48">
        <f t="shared" si="3"/>
        <v>6</v>
      </c>
    </row>
    <row r="237" spans="1:6" ht="15.75" x14ac:dyDescent="0.25">
      <c r="A237" s="49">
        <v>46</v>
      </c>
      <c r="B237" s="51" t="s">
        <v>452</v>
      </c>
      <c r="C237" s="46">
        <v>6</v>
      </c>
      <c r="D237" s="46"/>
      <c r="E237" s="47">
        <f>+D237+C237</f>
        <v>6</v>
      </c>
      <c r="F237" s="48">
        <f t="shared" si="3"/>
        <v>6</v>
      </c>
    </row>
    <row r="238" spans="1:6" ht="15.75" x14ac:dyDescent="0.25">
      <c r="A238" s="56">
        <v>47</v>
      </c>
      <c r="B238" s="52" t="s">
        <v>247</v>
      </c>
      <c r="C238" s="48">
        <v>10</v>
      </c>
      <c r="D238" s="46"/>
      <c r="E238" s="47">
        <f>+D238+C238</f>
        <v>10</v>
      </c>
      <c r="F238" s="48">
        <f t="shared" si="3"/>
        <v>10</v>
      </c>
    </row>
    <row r="239" spans="1:6" ht="15.75" x14ac:dyDescent="0.25">
      <c r="A239" s="49">
        <v>48</v>
      </c>
      <c r="B239" s="51" t="s">
        <v>453</v>
      </c>
      <c r="C239" s="46">
        <v>6</v>
      </c>
      <c r="D239" s="46"/>
      <c r="E239" s="47">
        <f>+D239+C239</f>
        <v>6</v>
      </c>
      <c r="F239" s="48">
        <f t="shared" si="3"/>
        <v>6</v>
      </c>
    </row>
    <row r="240" spans="1:6" ht="15.75" x14ac:dyDescent="0.25">
      <c r="A240" s="49">
        <v>49</v>
      </c>
      <c r="B240" s="51" t="s">
        <v>454</v>
      </c>
      <c r="C240" s="46">
        <v>6</v>
      </c>
      <c r="D240" s="46"/>
      <c r="E240" s="47">
        <f>+D240+C240</f>
        <v>6</v>
      </c>
      <c r="F240" s="48">
        <f t="shared" si="3"/>
        <v>6</v>
      </c>
    </row>
    <row r="241" spans="1:6" ht="15.75" x14ac:dyDescent="0.25">
      <c r="A241" s="49">
        <v>50</v>
      </c>
      <c r="B241" s="51" t="s">
        <v>455</v>
      </c>
      <c r="C241" s="46">
        <v>6</v>
      </c>
      <c r="D241" s="46"/>
      <c r="E241" s="47">
        <f>+D241+C241</f>
        <v>6</v>
      </c>
      <c r="F241" s="48">
        <f t="shared" si="3"/>
        <v>6</v>
      </c>
    </row>
    <row r="242" spans="1:6" ht="15.75" x14ac:dyDescent="0.25">
      <c r="A242" s="49">
        <v>51</v>
      </c>
      <c r="B242" s="51" t="s">
        <v>456</v>
      </c>
      <c r="C242" s="46">
        <v>6</v>
      </c>
      <c r="D242" s="46"/>
      <c r="E242" s="47">
        <f>+D242+C242</f>
        <v>6</v>
      </c>
      <c r="F242" s="48">
        <f t="shared" si="3"/>
        <v>6</v>
      </c>
    </row>
    <row r="243" spans="1:6" ht="15.75" x14ac:dyDescent="0.25">
      <c r="A243" s="49">
        <v>53</v>
      </c>
      <c r="B243" s="51" t="s">
        <v>457</v>
      </c>
      <c r="C243" s="46">
        <v>6</v>
      </c>
      <c r="D243" s="46"/>
      <c r="E243" s="47">
        <f>+D243+C243</f>
        <v>6</v>
      </c>
      <c r="F243" s="48">
        <f t="shared" si="3"/>
        <v>6</v>
      </c>
    </row>
    <row r="244" spans="1:6" ht="15.75" x14ac:dyDescent="0.25">
      <c r="A244" s="49">
        <v>54</v>
      </c>
      <c r="B244" s="51" t="s">
        <v>458</v>
      </c>
      <c r="C244" s="46">
        <v>6</v>
      </c>
      <c r="D244" s="46"/>
      <c r="E244" s="47">
        <f>+D244+C244</f>
        <v>6</v>
      </c>
      <c r="F244" s="48">
        <f t="shared" si="3"/>
        <v>6</v>
      </c>
    </row>
    <row r="245" spans="1:6" ht="15.75" x14ac:dyDescent="0.25">
      <c r="A245" s="49">
        <v>55</v>
      </c>
      <c r="B245" s="51" t="s">
        <v>459</v>
      </c>
      <c r="C245" s="46">
        <v>6</v>
      </c>
      <c r="D245" s="46"/>
      <c r="E245" s="47">
        <f>+D245+C245</f>
        <v>6</v>
      </c>
      <c r="F245" s="48">
        <f t="shared" si="3"/>
        <v>6</v>
      </c>
    </row>
    <row r="246" spans="1:6" ht="15.75" x14ac:dyDescent="0.25">
      <c r="A246" s="49">
        <v>56</v>
      </c>
      <c r="B246" s="51" t="s">
        <v>460</v>
      </c>
      <c r="C246" s="46">
        <v>6</v>
      </c>
      <c r="D246" s="46"/>
      <c r="E246" s="47">
        <f>+D246+C246</f>
        <v>6</v>
      </c>
      <c r="F246" s="48">
        <f t="shared" si="3"/>
        <v>6</v>
      </c>
    </row>
    <row r="247" spans="1:6" ht="15.75" x14ac:dyDescent="0.25">
      <c r="A247" s="49">
        <v>57</v>
      </c>
      <c r="B247" s="51" t="s">
        <v>461</v>
      </c>
      <c r="C247" s="46">
        <v>6</v>
      </c>
      <c r="D247" s="46"/>
      <c r="E247" s="47">
        <f>+D247+C247</f>
        <v>6</v>
      </c>
      <c r="F247" s="48">
        <f t="shared" si="3"/>
        <v>6</v>
      </c>
    </row>
    <row r="248" spans="1:6" ht="15.75" x14ac:dyDescent="0.25">
      <c r="A248" s="49">
        <v>58</v>
      </c>
      <c r="B248" s="51" t="s">
        <v>462</v>
      </c>
      <c r="C248" s="46">
        <v>6</v>
      </c>
      <c r="D248" s="46"/>
      <c r="E248" s="47">
        <f>+D248+C248</f>
        <v>6</v>
      </c>
      <c r="F248" s="48">
        <f t="shared" si="3"/>
        <v>6</v>
      </c>
    </row>
    <row r="249" spans="1:6" ht="15.75" x14ac:dyDescent="0.25">
      <c r="A249" s="49">
        <v>59</v>
      </c>
      <c r="B249" s="51" t="s">
        <v>463</v>
      </c>
      <c r="C249" s="46">
        <v>6</v>
      </c>
      <c r="D249" s="46"/>
      <c r="E249" s="47">
        <f>+D249+C249</f>
        <v>6</v>
      </c>
      <c r="F249" s="48">
        <f t="shared" si="3"/>
        <v>6</v>
      </c>
    </row>
    <row r="250" spans="1:6" ht="15.75" x14ac:dyDescent="0.25">
      <c r="A250" s="49">
        <v>62</v>
      </c>
      <c r="B250" s="51" t="s">
        <v>464</v>
      </c>
      <c r="C250" s="46">
        <v>6</v>
      </c>
      <c r="D250" s="46"/>
      <c r="E250" s="47">
        <f>+D250+C250</f>
        <v>6</v>
      </c>
      <c r="F250" s="48">
        <f t="shared" si="3"/>
        <v>6</v>
      </c>
    </row>
    <row r="251" spans="1:6" ht="15.75" x14ac:dyDescent="0.25">
      <c r="A251" s="49">
        <v>63</v>
      </c>
      <c r="B251" s="51" t="s">
        <v>465</v>
      </c>
      <c r="C251" s="46">
        <v>6</v>
      </c>
      <c r="D251" s="46"/>
      <c r="E251" s="47">
        <f>+D251+C251</f>
        <v>6</v>
      </c>
      <c r="F251" s="48">
        <f t="shared" si="3"/>
        <v>6</v>
      </c>
    </row>
    <row r="252" spans="1:6" ht="15.75" x14ac:dyDescent="0.25">
      <c r="A252" s="49">
        <v>64</v>
      </c>
      <c r="B252" s="51" t="s">
        <v>466</v>
      </c>
      <c r="C252" s="46">
        <v>6</v>
      </c>
      <c r="D252" s="46"/>
      <c r="E252" s="47">
        <f>+D252+C252</f>
        <v>6</v>
      </c>
      <c r="F252" s="48">
        <f t="shared" si="3"/>
        <v>6</v>
      </c>
    </row>
    <row r="253" spans="1:6" ht="15.75" x14ac:dyDescent="0.25">
      <c r="A253" s="49">
        <v>65</v>
      </c>
      <c r="B253" s="51" t="s">
        <v>467</v>
      </c>
      <c r="C253" s="46">
        <v>6</v>
      </c>
      <c r="D253" s="46"/>
      <c r="E253" s="47">
        <f>+D253+C253</f>
        <v>6</v>
      </c>
      <c r="F253" s="48">
        <f t="shared" si="3"/>
        <v>6</v>
      </c>
    </row>
    <row r="254" spans="1:6" ht="15.75" x14ac:dyDescent="0.25">
      <c r="A254" s="68"/>
      <c r="B254" s="69"/>
      <c r="C254" s="46"/>
      <c r="D254" s="70"/>
      <c r="E254" s="47">
        <f>+D254+C254</f>
        <v>0</v>
      </c>
      <c r="F254" s="48">
        <f t="shared" si="3"/>
        <v>0</v>
      </c>
    </row>
    <row r="255" spans="1:6" ht="15.75" thickBot="1" x14ac:dyDescent="0.3">
      <c r="A255" s="71"/>
      <c r="B255" s="72" t="s">
        <v>470</v>
      </c>
      <c r="C255" s="46">
        <v>5655.69</v>
      </c>
      <c r="D255" s="70"/>
      <c r="E255" s="47">
        <f>+D255+C255</f>
        <v>5655.69</v>
      </c>
      <c r="F255" s="48">
        <f t="shared" si="3"/>
        <v>5655.7</v>
      </c>
    </row>
    <row r="256" spans="1:6" ht="16.5" thickBot="1" x14ac:dyDescent="0.3">
      <c r="A256" s="73"/>
      <c r="B256" s="74" t="s">
        <v>263</v>
      </c>
      <c r="C256" s="75">
        <f>SUM(C7:C255)</f>
        <v>10750.599999999999</v>
      </c>
      <c r="D256" s="75">
        <f t="shared" ref="D256:F256" si="4">SUM(D7:D255)</f>
        <v>0</v>
      </c>
      <c r="E256" s="76">
        <f t="shared" si="4"/>
        <v>10750.599999999999</v>
      </c>
      <c r="F256" s="77">
        <f t="shared" si="4"/>
        <v>10750.900000000001</v>
      </c>
    </row>
    <row r="257" spans="1:6" ht="16.5" thickBot="1" x14ac:dyDescent="0.3">
      <c r="A257" s="78"/>
      <c r="B257" s="79" t="s">
        <v>468</v>
      </c>
      <c r="C257" s="75">
        <v>10750.6</v>
      </c>
      <c r="D257" s="80"/>
      <c r="E257" s="42"/>
      <c r="F257" s="80"/>
    </row>
    <row r="258" spans="1:6" ht="16.5" thickBot="1" x14ac:dyDescent="0.3">
      <c r="A258" s="78"/>
      <c r="B258" s="79" t="s">
        <v>469</v>
      </c>
      <c r="C258" s="75"/>
      <c r="D258" s="80"/>
      <c r="E258" s="42"/>
      <c r="F258" s="42"/>
    </row>
  </sheetData>
  <mergeCells count="7">
    <mergeCell ref="A2:F3"/>
    <mergeCell ref="A5:A6"/>
    <mergeCell ref="B5:B6"/>
    <mergeCell ref="C5:C6"/>
    <mergeCell ref="D5:D6"/>
    <mergeCell ref="E5:E6"/>
    <mergeCell ref="F5:F6"/>
  </mergeCells>
  <pageMargins left="0.9055118110236221" right="0" top="0" bottom="0" header="0.31496062992125984" footer="0.31496062992125984"/>
  <pageSetup paperSize="9"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742C2-B66E-4684-BCA4-EA95FBDFD1E6}">
  <dimension ref="A1:F258"/>
  <sheetViews>
    <sheetView tabSelected="1" topLeftCell="A238" workbookViewId="0">
      <selection activeCell="D1" sqref="D1:D1048576"/>
    </sheetView>
  </sheetViews>
  <sheetFormatPr baseColWidth="10" defaultRowHeight="15" x14ac:dyDescent="0.25"/>
  <cols>
    <col min="1" max="1" width="6.7109375" customWidth="1"/>
    <col min="2" max="2" width="36.140625" customWidth="1"/>
    <col min="4" max="4" width="10.28515625" customWidth="1"/>
    <col min="5" max="5" width="11.7109375" customWidth="1"/>
  </cols>
  <sheetData>
    <row r="1" spans="1:6" x14ac:dyDescent="0.25">
      <c r="A1" s="41"/>
      <c r="B1" s="41"/>
      <c r="C1" s="42"/>
      <c r="D1" s="42"/>
      <c r="E1" s="42"/>
      <c r="F1" s="42"/>
    </row>
    <row r="2" spans="1:6" x14ac:dyDescent="0.25">
      <c r="A2" s="81" t="s">
        <v>260</v>
      </c>
      <c r="B2" s="81"/>
      <c r="C2" s="81"/>
      <c r="D2" s="81"/>
      <c r="E2" s="81"/>
      <c r="F2" s="81"/>
    </row>
    <row r="3" spans="1:6" x14ac:dyDescent="0.25">
      <c r="A3" s="81"/>
      <c r="B3" s="81"/>
      <c r="C3" s="81"/>
      <c r="D3" s="81"/>
      <c r="E3" s="81"/>
      <c r="F3" s="81"/>
    </row>
    <row r="4" spans="1:6" x14ac:dyDescent="0.25">
      <c r="A4" s="41"/>
      <c r="B4" s="41"/>
      <c r="C4" s="42"/>
      <c r="D4" s="42"/>
      <c r="E4" s="42"/>
      <c r="F4" s="42"/>
    </row>
    <row r="5" spans="1:6" x14ac:dyDescent="0.25">
      <c r="A5" s="82" t="s">
        <v>0</v>
      </c>
      <c r="B5" s="84" t="s">
        <v>1</v>
      </c>
      <c r="C5" s="85" t="s">
        <v>261</v>
      </c>
      <c r="D5" s="86" t="s">
        <v>262</v>
      </c>
      <c r="E5" s="88" t="s">
        <v>263</v>
      </c>
      <c r="F5" s="85" t="s">
        <v>264</v>
      </c>
    </row>
    <row r="6" spans="1:6" x14ac:dyDescent="0.25">
      <c r="A6" s="83"/>
      <c r="B6" s="84"/>
      <c r="C6" s="85"/>
      <c r="D6" s="87"/>
      <c r="E6" s="88"/>
      <c r="F6" s="85"/>
    </row>
    <row r="7" spans="1:6" ht="15.75" x14ac:dyDescent="0.25">
      <c r="A7" s="43">
        <v>1</v>
      </c>
      <c r="B7" s="44" t="s">
        <v>265</v>
      </c>
      <c r="C7" s="45">
        <v>8</v>
      </c>
      <c r="D7" s="46"/>
      <c r="E7" s="47">
        <f>+D7+C7</f>
        <v>8</v>
      </c>
      <c r="F7" s="48">
        <f>+ROUND(E7,1)</f>
        <v>8</v>
      </c>
    </row>
    <row r="8" spans="1:6" ht="15.75" x14ac:dyDescent="0.25">
      <c r="A8" s="49">
        <v>2</v>
      </c>
      <c r="B8" s="50" t="s">
        <v>266</v>
      </c>
      <c r="C8" s="45">
        <v>8</v>
      </c>
      <c r="D8" s="46"/>
      <c r="E8" s="47">
        <f>+D8+C8</f>
        <v>8</v>
      </c>
      <c r="F8" s="48">
        <f t="shared" ref="F8:F71" si="0">+ROUND(E8,1)</f>
        <v>8</v>
      </c>
    </row>
    <row r="9" spans="1:6" ht="15.75" x14ac:dyDescent="0.25">
      <c r="A9" s="49">
        <v>3</v>
      </c>
      <c r="B9" s="51" t="s">
        <v>267</v>
      </c>
      <c r="C9" s="45">
        <v>8</v>
      </c>
      <c r="D9" s="46"/>
      <c r="E9" s="47">
        <f>+D9+C9</f>
        <v>8</v>
      </c>
      <c r="F9" s="48">
        <f t="shared" si="0"/>
        <v>8</v>
      </c>
    </row>
    <row r="10" spans="1:6" ht="15.75" x14ac:dyDescent="0.25">
      <c r="A10" s="43">
        <v>4</v>
      </c>
      <c r="B10" s="52" t="s">
        <v>268</v>
      </c>
      <c r="C10" s="53">
        <v>24</v>
      </c>
      <c r="D10" s="46"/>
      <c r="E10" s="47">
        <f>+D10+C10</f>
        <v>24</v>
      </c>
      <c r="F10" s="48">
        <f t="shared" si="0"/>
        <v>24</v>
      </c>
    </row>
    <row r="11" spans="1:6" ht="15.75" x14ac:dyDescent="0.25">
      <c r="A11" s="49">
        <v>5</v>
      </c>
      <c r="B11" s="51" t="s">
        <v>269</v>
      </c>
      <c r="C11" s="46">
        <v>8</v>
      </c>
      <c r="D11" s="46"/>
      <c r="E11" s="47">
        <f>+D11+C11</f>
        <v>8</v>
      </c>
      <c r="F11" s="48">
        <f t="shared" si="0"/>
        <v>8</v>
      </c>
    </row>
    <row r="12" spans="1:6" ht="15.75" x14ac:dyDescent="0.25">
      <c r="A12" s="49">
        <v>6</v>
      </c>
      <c r="B12" s="51" t="s">
        <v>270</v>
      </c>
      <c r="C12" s="46">
        <v>8</v>
      </c>
      <c r="D12" s="46"/>
      <c r="E12" s="47">
        <f>+D12+C12</f>
        <v>8</v>
      </c>
      <c r="F12" s="48">
        <f t="shared" si="0"/>
        <v>8</v>
      </c>
    </row>
    <row r="13" spans="1:6" ht="15.75" x14ac:dyDescent="0.25">
      <c r="A13" s="43">
        <v>7</v>
      </c>
      <c r="B13" s="51" t="s">
        <v>271</v>
      </c>
      <c r="C13" s="46">
        <v>8</v>
      </c>
      <c r="D13" s="46"/>
      <c r="E13" s="47">
        <f>+D13+C13</f>
        <v>8</v>
      </c>
      <c r="F13" s="48">
        <f t="shared" si="0"/>
        <v>8</v>
      </c>
    </row>
    <row r="14" spans="1:6" ht="15.75" x14ac:dyDescent="0.25">
      <c r="A14" s="49">
        <v>8</v>
      </c>
      <c r="B14" s="51" t="s">
        <v>272</v>
      </c>
      <c r="C14" s="46">
        <v>8</v>
      </c>
      <c r="D14" s="46"/>
      <c r="E14" s="47">
        <f>+D14+C14</f>
        <v>8</v>
      </c>
      <c r="F14" s="48">
        <f t="shared" si="0"/>
        <v>8</v>
      </c>
    </row>
    <row r="15" spans="1:6" ht="15.75" x14ac:dyDescent="0.25">
      <c r="A15" s="49">
        <v>9</v>
      </c>
      <c r="B15" s="51" t="s">
        <v>273</v>
      </c>
      <c r="C15" s="46">
        <v>8</v>
      </c>
      <c r="D15" s="46"/>
      <c r="E15" s="47">
        <f>+D15+C15</f>
        <v>8</v>
      </c>
      <c r="F15" s="48">
        <f t="shared" si="0"/>
        <v>8</v>
      </c>
    </row>
    <row r="16" spans="1:6" ht="15.75" x14ac:dyDescent="0.25">
      <c r="A16" s="43">
        <v>10</v>
      </c>
      <c r="B16" s="51" t="s">
        <v>274</v>
      </c>
      <c r="C16" s="46">
        <v>8</v>
      </c>
      <c r="D16" s="46"/>
      <c r="E16" s="47">
        <f>+D16+C16</f>
        <v>8</v>
      </c>
      <c r="F16" s="48">
        <f t="shared" si="0"/>
        <v>8</v>
      </c>
    </row>
    <row r="17" spans="1:6" ht="15.75" x14ac:dyDescent="0.25">
      <c r="A17" s="49">
        <v>11</v>
      </c>
      <c r="B17" s="51" t="s">
        <v>275</v>
      </c>
      <c r="C17" s="46">
        <v>8</v>
      </c>
      <c r="D17" s="46"/>
      <c r="E17" s="47">
        <f>+D17+C17</f>
        <v>8</v>
      </c>
      <c r="F17" s="48">
        <f t="shared" si="0"/>
        <v>8</v>
      </c>
    </row>
    <row r="18" spans="1:6" ht="15.75" x14ac:dyDescent="0.25">
      <c r="A18" s="49">
        <v>12</v>
      </c>
      <c r="B18" s="51" t="s">
        <v>276</v>
      </c>
      <c r="C18" s="46">
        <v>8</v>
      </c>
      <c r="D18" s="46"/>
      <c r="E18" s="47">
        <f>+D18+C18</f>
        <v>8</v>
      </c>
      <c r="F18" s="48">
        <f t="shared" si="0"/>
        <v>8</v>
      </c>
    </row>
    <row r="19" spans="1:6" ht="15.75" x14ac:dyDescent="0.25">
      <c r="A19" s="43">
        <v>13</v>
      </c>
      <c r="B19" s="51" t="s">
        <v>277</v>
      </c>
      <c r="C19" s="46">
        <v>8</v>
      </c>
      <c r="D19" s="46"/>
      <c r="E19" s="47">
        <f>+D19+C19</f>
        <v>8</v>
      </c>
      <c r="F19" s="48">
        <f t="shared" si="0"/>
        <v>8</v>
      </c>
    </row>
    <row r="20" spans="1:6" ht="15.75" x14ac:dyDescent="0.25">
      <c r="A20" s="49">
        <v>14</v>
      </c>
      <c r="B20" s="51" t="s">
        <v>278</v>
      </c>
      <c r="C20" s="46">
        <v>10</v>
      </c>
      <c r="D20" s="46"/>
      <c r="E20" s="47">
        <f>+D20+C20</f>
        <v>10</v>
      </c>
      <c r="F20" s="48">
        <f t="shared" si="0"/>
        <v>10</v>
      </c>
    </row>
    <row r="21" spans="1:6" ht="15.75" x14ac:dyDescent="0.25">
      <c r="A21" s="49">
        <v>15</v>
      </c>
      <c r="B21" s="52" t="s">
        <v>11</v>
      </c>
      <c r="C21" s="53">
        <v>53.8</v>
      </c>
      <c r="D21" s="46"/>
      <c r="E21" s="47">
        <f>+D21+C21</f>
        <v>53.8</v>
      </c>
      <c r="F21" s="48">
        <f t="shared" si="0"/>
        <v>53.8</v>
      </c>
    </row>
    <row r="22" spans="1:6" ht="15.75" x14ac:dyDescent="0.25">
      <c r="A22" s="43">
        <v>16</v>
      </c>
      <c r="B22" s="51" t="s">
        <v>279</v>
      </c>
      <c r="C22" s="46">
        <v>8</v>
      </c>
      <c r="D22" s="46"/>
      <c r="E22" s="47">
        <f>+D22+C22</f>
        <v>8</v>
      </c>
      <c r="F22" s="48">
        <f t="shared" si="0"/>
        <v>8</v>
      </c>
    </row>
    <row r="23" spans="1:6" ht="15.75" x14ac:dyDescent="0.25">
      <c r="A23" s="49">
        <v>17</v>
      </c>
      <c r="B23" s="51" t="s">
        <v>280</v>
      </c>
      <c r="C23" s="46">
        <v>8</v>
      </c>
      <c r="D23" s="46"/>
      <c r="E23" s="47">
        <f>+D23+C23</f>
        <v>8</v>
      </c>
      <c r="F23" s="48">
        <f t="shared" si="0"/>
        <v>8</v>
      </c>
    </row>
    <row r="24" spans="1:6" ht="15.75" x14ac:dyDescent="0.25">
      <c r="A24" s="49">
        <v>18</v>
      </c>
      <c r="B24" s="54" t="s">
        <v>14</v>
      </c>
      <c r="C24" s="46">
        <v>8</v>
      </c>
      <c r="D24" s="46"/>
      <c r="E24" s="47">
        <f>+D24+C24</f>
        <v>8</v>
      </c>
      <c r="F24" s="48">
        <f t="shared" si="0"/>
        <v>8</v>
      </c>
    </row>
    <row r="25" spans="1:6" ht="15.75" x14ac:dyDescent="0.25">
      <c r="A25" s="43">
        <v>19</v>
      </c>
      <c r="B25" s="54" t="s">
        <v>17</v>
      </c>
      <c r="C25" s="46">
        <v>8</v>
      </c>
      <c r="D25" s="46"/>
      <c r="E25" s="47">
        <f>+D25+C25</f>
        <v>8</v>
      </c>
      <c r="F25" s="48">
        <f t="shared" si="0"/>
        <v>8</v>
      </c>
    </row>
    <row r="26" spans="1:6" ht="15.75" x14ac:dyDescent="0.25">
      <c r="A26" s="49">
        <v>20</v>
      </c>
      <c r="B26" s="52" t="s">
        <v>281</v>
      </c>
      <c r="C26" s="53">
        <v>112.35</v>
      </c>
      <c r="D26" s="46"/>
      <c r="E26" s="47">
        <f>+D26+C26</f>
        <v>112.35</v>
      </c>
      <c r="F26" s="48">
        <f t="shared" si="0"/>
        <v>112.4</v>
      </c>
    </row>
    <row r="27" spans="1:6" ht="15.75" x14ac:dyDescent="0.25">
      <c r="A27" s="49">
        <v>21</v>
      </c>
      <c r="B27" s="51" t="s">
        <v>282</v>
      </c>
      <c r="C27" s="46">
        <v>8</v>
      </c>
      <c r="D27" s="46"/>
      <c r="E27" s="47">
        <f>+D27+C27</f>
        <v>8</v>
      </c>
      <c r="F27" s="48">
        <f t="shared" si="0"/>
        <v>8</v>
      </c>
    </row>
    <row r="28" spans="1:6" ht="15.75" x14ac:dyDescent="0.25">
      <c r="A28" s="43">
        <v>22</v>
      </c>
      <c r="B28" s="51" t="s">
        <v>283</v>
      </c>
      <c r="C28" s="46">
        <v>8</v>
      </c>
      <c r="D28" s="46"/>
      <c r="E28" s="47">
        <f>+D28+C28</f>
        <v>8</v>
      </c>
      <c r="F28" s="48">
        <f t="shared" si="0"/>
        <v>8</v>
      </c>
    </row>
    <row r="29" spans="1:6" ht="15.75" x14ac:dyDescent="0.25">
      <c r="A29" s="49">
        <v>23</v>
      </c>
      <c r="B29" s="54" t="s">
        <v>284</v>
      </c>
      <c r="C29" s="55">
        <v>16.2</v>
      </c>
      <c r="D29" s="46"/>
      <c r="E29" s="47">
        <f>+D29+C29</f>
        <v>16.2</v>
      </c>
      <c r="F29" s="48">
        <f t="shared" si="0"/>
        <v>16.2</v>
      </c>
    </row>
    <row r="30" spans="1:6" ht="15.75" x14ac:dyDescent="0.25">
      <c r="A30" s="49">
        <v>24</v>
      </c>
      <c r="B30" s="51" t="s">
        <v>285</v>
      </c>
      <c r="C30" s="46">
        <v>8</v>
      </c>
      <c r="D30" s="46"/>
      <c r="E30" s="47">
        <f>+D30+C30</f>
        <v>8</v>
      </c>
      <c r="F30" s="48">
        <f t="shared" si="0"/>
        <v>8</v>
      </c>
    </row>
    <row r="31" spans="1:6" ht="15.75" x14ac:dyDescent="0.25">
      <c r="A31" s="43">
        <v>25</v>
      </c>
      <c r="B31" s="51" t="s">
        <v>286</v>
      </c>
      <c r="C31" s="46">
        <v>8</v>
      </c>
      <c r="D31" s="46"/>
      <c r="E31" s="47">
        <f>+D31+C31</f>
        <v>8</v>
      </c>
      <c r="F31" s="48">
        <f t="shared" si="0"/>
        <v>8</v>
      </c>
    </row>
    <row r="32" spans="1:6" ht="15.75" x14ac:dyDescent="0.25">
      <c r="A32" s="56">
        <v>26</v>
      </c>
      <c r="B32" s="52" t="s">
        <v>26</v>
      </c>
      <c r="C32" s="48">
        <v>10</v>
      </c>
      <c r="D32" s="46"/>
      <c r="E32" s="47">
        <f>+D32+C32</f>
        <v>10</v>
      </c>
      <c r="F32" s="48">
        <f t="shared" si="0"/>
        <v>10</v>
      </c>
    </row>
    <row r="33" spans="1:6" ht="15.75" x14ac:dyDescent="0.25">
      <c r="A33" s="49">
        <v>27</v>
      </c>
      <c r="B33" s="54" t="s">
        <v>287</v>
      </c>
      <c r="C33" s="46">
        <v>8</v>
      </c>
      <c r="D33" s="46"/>
      <c r="E33" s="47">
        <f>+D33+C33</f>
        <v>8</v>
      </c>
      <c r="F33" s="48">
        <f t="shared" si="0"/>
        <v>8</v>
      </c>
    </row>
    <row r="34" spans="1:6" ht="15.75" x14ac:dyDescent="0.25">
      <c r="A34" s="43">
        <v>28</v>
      </c>
      <c r="B34" s="51" t="s">
        <v>288</v>
      </c>
      <c r="C34" s="46">
        <v>8</v>
      </c>
      <c r="D34" s="46"/>
      <c r="E34" s="47">
        <f>+D34+C34</f>
        <v>8</v>
      </c>
      <c r="F34" s="48">
        <f t="shared" si="0"/>
        <v>8</v>
      </c>
    </row>
    <row r="35" spans="1:6" ht="15.75" x14ac:dyDescent="0.25">
      <c r="A35" s="49">
        <v>29</v>
      </c>
      <c r="B35" s="52" t="s">
        <v>30</v>
      </c>
      <c r="C35" s="48">
        <v>8</v>
      </c>
      <c r="D35" s="46"/>
      <c r="E35" s="47">
        <f>+D35+C35</f>
        <v>8</v>
      </c>
      <c r="F35" s="48">
        <f t="shared" si="0"/>
        <v>8</v>
      </c>
    </row>
    <row r="36" spans="1:6" ht="15.75" x14ac:dyDescent="0.25">
      <c r="A36" s="49">
        <v>30</v>
      </c>
      <c r="B36" s="52" t="s">
        <v>289</v>
      </c>
      <c r="C36" s="48">
        <v>19.440000000000001</v>
      </c>
      <c r="D36" s="46"/>
      <c r="E36" s="47">
        <f>+D36+C36</f>
        <v>19.440000000000001</v>
      </c>
      <c r="F36" s="48">
        <f t="shared" si="0"/>
        <v>19.399999999999999</v>
      </c>
    </row>
    <row r="37" spans="1:6" ht="15.75" x14ac:dyDescent="0.25">
      <c r="A37" s="43">
        <v>31</v>
      </c>
      <c r="B37" s="52" t="s">
        <v>290</v>
      </c>
      <c r="C37" s="48">
        <v>10.28</v>
      </c>
      <c r="D37" s="46"/>
      <c r="E37" s="47">
        <f>+D37+C37</f>
        <v>10.28</v>
      </c>
      <c r="F37" s="48">
        <f t="shared" si="0"/>
        <v>10.3</v>
      </c>
    </row>
    <row r="38" spans="1:6" ht="15.75" x14ac:dyDescent="0.25">
      <c r="A38" s="49">
        <v>32</v>
      </c>
      <c r="B38" s="51" t="s">
        <v>291</v>
      </c>
      <c r="C38" s="46">
        <v>8</v>
      </c>
      <c r="D38" s="46"/>
      <c r="E38" s="47">
        <f>+D38+C38</f>
        <v>8</v>
      </c>
      <c r="F38" s="48">
        <f t="shared" si="0"/>
        <v>8</v>
      </c>
    </row>
    <row r="39" spans="1:6" ht="15.75" x14ac:dyDescent="0.25">
      <c r="A39" s="49">
        <v>33</v>
      </c>
      <c r="B39" s="52" t="s">
        <v>292</v>
      </c>
      <c r="C39" s="48">
        <v>12.73</v>
      </c>
      <c r="D39" s="46"/>
      <c r="E39" s="47">
        <f>+D39+C39</f>
        <v>12.73</v>
      </c>
      <c r="F39" s="48">
        <f t="shared" si="0"/>
        <v>12.7</v>
      </c>
    </row>
    <row r="40" spans="1:6" ht="15.75" x14ac:dyDescent="0.25">
      <c r="A40" s="43">
        <v>34</v>
      </c>
      <c r="B40" s="51" t="s">
        <v>293</v>
      </c>
      <c r="C40" s="46">
        <v>8</v>
      </c>
      <c r="D40" s="46"/>
      <c r="E40" s="47">
        <f>+D40+C40</f>
        <v>8</v>
      </c>
      <c r="F40" s="48">
        <f t="shared" si="0"/>
        <v>8</v>
      </c>
    </row>
    <row r="41" spans="1:6" ht="15.75" x14ac:dyDescent="0.25">
      <c r="A41" s="49">
        <v>35</v>
      </c>
      <c r="B41" s="51" t="s">
        <v>294</v>
      </c>
      <c r="C41" s="46">
        <v>8</v>
      </c>
      <c r="D41" s="46"/>
      <c r="E41" s="47">
        <f>+D41+C41</f>
        <v>8</v>
      </c>
      <c r="F41" s="48">
        <f t="shared" si="0"/>
        <v>8</v>
      </c>
    </row>
    <row r="42" spans="1:6" ht="15.75" x14ac:dyDescent="0.25">
      <c r="A42" s="49">
        <v>36</v>
      </c>
      <c r="B42" s="57" t="s">
        <v>38</v>
      </c>
      <c r="C42" s="58">
        <v>7</v>
      </c>
      <c r="D42" s="46"/>
      <c r="E42" s="47">
        <f>+D42+C42</f>
        <v>7</v>
      </c>
      <c r="F42" s="48">
        <f t="shared" si="0"/>
        <v>7</v>
      </c>
    </row>
    <row r="43" spans="1:6" ht="15.75" x14ac:dyDescent="0.25">
      <c r="A43" s="43">
        <v>37</v>
      </c>
      <c r="B43" s="51" t="s">
        <v>295</v>
      </c>
      <c r="C43" s="46">
        <v>8</v>
      </c>
      <c r="D43" s="46"/>
      <c r="E43" s="47">
        <f>+D43+C43</f>
        <v>8</v>
      </c>
      <c r="F43" s="48">
        <f t="shared" si="0"/>
        <v>8</v>
      </c>
    </row>
    <row r="44" spans="1:6" ht="15.75" x14ac:dyDescent="0.25">
      <c r="A44" s="49">
        <v>38</v>
      </c>
      <c r="B44" s="51" t="s">
        <v>296</v>
      </c>
      <c r="C44" s="46">
        <v>8</v>
      </c>
      <c r="D44" s="46"/>
      <c r="E44" s="47">
        <f>+D44+C44</f>
        <v>8</v>
      </c>
      <c r="F44" s="48">
        <f t="shared" si="0"/>
        <v>8</v>
      </c>
    </row>
    <row r="45" spans="1:6" ht="15.75" x14ac:dyDescent="0.25">
      <c r="A45" s="49">
        <v>39</v>
      </c>
      <c r="B45" s="51" t="s">
        <v>297</v>
      </c>
      <c r="C45" s="46">
        <v>8</v>
      </c>
      <c r="D45" s="46"/>
      <c r="E45" s="47">
        <f>+D45+C45</f>
        <v>8</v>
      </c>
      <c r="F45" s="48">
        <f t="shared" si="0"/>
        <v>8</v>
      </c>
    </row>
    <row r="46" spans="1:6" ht="15.75" x14ac:dyDescent="0.25">
      <c r="A46" s="43">
        <v>40</v>
      </c>
      <c r="B46" s="52" t="s">
        <v>298</v>
      </c>
      <c r="C46" s="53">
        <v>25.2</v>
      </c>
      <c r="D46" s="46"/>
      <c r="E46" s="47">
        <f>+D46+C46</f>
        <v>25.2</v>
      </c>
      <c r="F46" s="48">
        <f t="shared" si="0"/>
        <v>25.2</v>
      </c>
    </row>
    <row r="47" spans="1:6" ht="15.75" x14ac:dyDescent="0.25">
      <c r="A47" s="49">
        <v>41</v>
      </c>
      <c r="B47" s="52" t="s">
        <v>299</v>
      </c>
      <c r="C47" s="48">
        <v>12.42</v>
      </c>
      <c r="D47" s="46"/>
      <c r="E47" s="47">
        <f>+D47+C47</f>
        <v>12.42</v>
      </c>
      <c r="F47" s="48">
        <f t="shared" si="0"/>
        <v>12.4</v>
      </c>
    </row>
    <row r="48" spans="1:6" ht="15.75" x14ac:dyDescent="0.25">
      <c r="A48" s="49">
        <v>42</v>
      </c>
      <c r="B48" s="51" t="s">
        <v>300</v>
      </c>
      <c r="C48" s="46">
        <v>8</v>
      </c>
      <c r="D48" s="46"/>
      <c r="E48" s="47">
        <f>+D48+C48</f>
        <v>8</v>
      </c>
      <c r="F48" s="48">
        <f t="shared" si="0"/>
        <v>8</v>
      </c>
    </row>
    <row r="49" spans="1:6" ht="15.75" x14ac:dyDescent="0.25">
      <c r="A49" s="43">
        <v>43</v>
      </c>
      <c r="B49" s="52" t="s">
        <v>47</v>
      </c>
      <c r="C49" s="53">
        <v>26.08</v>
      </c>
      <c r="D49" s="46"/>
      <c r="E49" s="47">
        <f>+D49+C49</f>
        <v>26.08</v>
      </c>
      <c r="F49" s="48">
        <f t="shared" si="0"/>
        <v>26.1</v>
      </c>
    </row>
    <row r="50" spans="1:6" ht="15.75" x14ac:dyDescent="0.25">
      <c r="A50" s="49">
        <v>44</v>
      </c>
      <c r="B50" s="51" t="s">
        <v>301</v>
      </c>
      <c r="C50" s="46">
        <v>8</v>
      </c>
      <c r="D50" s="46"/>
      <c r="E50" s="47">
        <f>+D50+C50</f>
        <v>8</v>
      </c>
      <c r="F50" s="48">
        <f t="shared" si="0"/>
        <v>8</v>
      </c>
    </row>
    <row r="51" spans="1:6" ht="15.75" x14ac:dyDescent="0.25">
      <c r="A51" s="49">
        <v>45</v>
      </c>
      <c r="B51" s="51" t="s">
        <v>302</v>
      </c>
      <c r="C51" s="46">
        <v>8</v>
      </c>
      <c r="D51" s="46"/>
      <c r="E51" s="47">
        <f>+D51+C51</f>
        <v>8</v>
      </c>
      <c r="F51" s="48">
        <f t="shared" si="0"/>
        <v>8</v>
      </c>
    </row>
    <row r="52" spans="1:6" ht="15.75" x14ac:dyDescent="0.25">
      <c r="A52" s="43">
        <v>46</v>
      </c>
      <c r="B52" s="52" t="s">
        <v>303</v>
      </c>
      <c r="C52" s="53">
        <v>155.61000000000001</v>
      </c>
      <c r="D52" s="46"/>
      <c r="E52" s="47">
        <f>+D52+C52</f>
        <v>155.61000000000001</v>
      </c>
      <c r="F52" s="48">
        <f t="shared" si="0"/>
        <v>155.6</v>
      </c>
    </row>
    <row r="53" spans="1:6" ht="15.75" x14ac:dyDescent="0.25">
      <c r="A53" s="49">
        <v>47</v>
      </c>
      <c r="B53" s="51" t="s">
        <v>304</v>
      </c>
      <c r="C53" s="46">
        <v>8</v>
      </c>
      <c r="D53" s="46"/>
      <c r="E53" s="47">
        <f>+D53+C53</f>
        <v>8</v>
      </c>
      <c r="F53" s="48">
        <f t="shared" si="0"/>
        <v>8</v>
      </c>
    </row>
    <row r="54" spans="1:6" ht="15.75" x14ac:dyDescent="0.25">
      <c r="A54" s="49">
        <v>48</v>
      </c>
      <c r="B54" s="51" t="s">
        <v>305</v>
      </c>
      <c r="C54" s="46">
        <v>8</v>
      </c>
      <c r="D54" s="46"/>
      <c r="E54" s="47">
        <f>+D54+C54</f>
        <v>8</v>
      </c>
      <c r="F54" s="48">
        <f t="shared" si="0"/>
        <v>8</v>
      </c>
    </row>
    <row r="55" spans="1:6" ht="15.75" x14ac:dyDescent="0.25">
      <c r="A55" s="43">
        <v>49</v>
      </c>
      <c r="B55" s="51" t="s">
        <v>306</v>
      </c>
      <c r="C55" s="46">
        <v>8</v>
      </c>
      <c r="D55" s="46"/>
      <c r="E55" s="47">
        <f>+D55+C55</f>
        <v>8</v>
      </c>
      <c r="F55" s="48">
        <f t="shared" si="0"/>
        <v>8</v>
      </c>
    </row>
    <row r="56" spans="1:6" ht="15.75" x14ac:dyDescent="0.25">
      <c r="A56" s="49">
        <v>50</v>
      </c>
      <c r="B56" s="51" t="s">
        <v>307</v>
      </c>
      <c r="C56" s="46">
        <v>8</v>
      </c>
      <c r="D56" s="46"/>
      <c r="E56" s="47">
        <f>+D56+C56</f>
        <v>8</v>
      </c>
      <c r="F56" s="48">
        <f t="shared" si="0"/>
        <v>8</v>
      </c>
    </row>
    <row r="57" spans="1:6" ht="15.75" x14ac:dyDescent="0.25">
      <c r="A57" s="49">
        <v>51</v>
      </c>
      <c r="B57" s="52" t="s">
        <v>308</v>
      </c>
      <c r="C57" s="53">
        <v>39.85</v>
      </c>
      <c r="D57" s="46"/>
      <c r="E57" s="47">
        <f>+D57+C57</f>
        <v>39.85</v>
      </c>
      <c r="F57" s="48">
        <f t="shared" si="0"/>
        <v>39.9</v>
      </c>
    </row>
    <row r="58" spans="1:6" ht="15.75" x14ac:dyDescent="0.25">
      <c r="A58" s="43">
        <v>52</v>
      </c>
      <c r="B58" s="51" t="s">
        <v>309</v>
      </c>
      <c r="C58" s="46">
        <v>8</v>
      </c>
      <c r="D58" s="46"/>
      <c r="E58" s="47">
        <f>+D58+C58</f>
        <v>8</v>
      </c>
      <c r="F58" s="48">
        <f t="shared" si="0"/>
        <v>8</v>
      </c>
    </row>
    <row r="59" spans="1:6" ht="15.75" x14ac:dyDescent="0.25">
      <c r="A59" s="49">
        <v>53</v>
      </c>
      <c r="B59" s="51" t="s">
        <v>310</v>
      </c>
      <c r="C59" s="46">
        <v>8</v>
      </c>
      <c r="D59" s="46"/>
      <c r="E59" s="47">
        <f>+D59+C59</f>
        <v>8</v>
      </c>
      <c r="F59" s="48">
        <f t="shared" si="0"/>
        <v>8</v>
      </c>
    </row>
    <row r="60" spans="1:6" ht="15.75" x14ac:dyDescent="0.25">
      <c r="A60" s="49">
        <v>54</v>
      </c>
      <c r="B60" s="51" t="s">
        <v>311</v>
      </c>
      <c r="C60" s="46">
        <v>8</v>
      </c>
      <c r="D60" s="46"/>
      <c r="E60" s="47">
        <f>+D60+C60</f>
        <v>8</v>
      </c>
      <c r="F60" s="48">
        <f t="shared" si="0"/>
        <v>8</v>
      </c>
    </row>
    <row r="61" spans="1:6" ht="15.75" x14ac:dyDescent="0.25">
      <c r="A61" s="43">
        <v>55</v>
      </c>
      <c r="B61" s="52" t="s">
        <v>312</v>
      </c>
      <c r="C61" s="53">
        <v>10.92</v>
      </c>
      <c r="D61" s="46"/>
      <c r="E61" s="47">
        <f>+D61+C61</f>
        <v>10.92</v>
      </c>
      <c r="F61" s="48">
        <f t="shared" si="0"/>
        <v>10.9</v>
      </c>
    </row>
    <row r="62" spans="1:6" ht="15.75" x14ac:dyDescent="0.25">
      <c r="A62" s="49">
        <v>56</v>
      </c>
      <c r="B62" s="51" t="s">
        <v>313</v>
      </c>
      <c r="C62" s="46">
        <v>8</v>
      </c>
      <c r="D62" s="46"/>
      <c r="E62" s="47">
        <f>+D62+C62</f>
        <v>8</v>
      </c>
      <c r="F62" s="48">
        <f t="shared" si="0"/>
        <v>8</v>
      </c>
    </row>
    <row r="63" spans="1:6" ht="15.75" x14ac:dyDescent="0.25">
      <c r="A63" s="49">
        <v>57</v>
      </c>
      <c r="B63" s="52" t="s">
        <v>58</v>
      </c>
      <c r="C63" s="53">
        <v>37.17</v>
      </c>
      <c r="D63" s="46"/>
      <c r="E63" s="47">
        <f>+D63+C63</f>
        <v>37.17</v>
      </c>
      <c r="F63" s="48">
        <f t="shared" si="0"/>
        <v>37.200000000000003</v>
      </c>
    </row>
    <row r="64" spans="1:6" ht="15.75" x14ac:dyDescent="0.25">
      <c r="A64" s="43">
        <v>58</v>
      </c>
      <c r="B64" s="52" t="s">
        <v>314</v>
      </c>
      <c r="C64" s="53">
        <v>82.38</v>
      </c>
      <c r="D64" s="46"/>
      <c r="E64" s="47">
        <f>+D64+C64</f>
        <v>82.38</v>
      </c>
      <c r="F64" s="48">
        <f t="shared" si="0"/>
        <v>82.4</v>
      </c>
    </row>
    <row r="65" spans="1:6" ht="15.75" x14ac:dyDescent="0.25">
      <c r="A65" s="49">
        <v>59</v>
      </c>
      <c r="B65" s="51" t="s">
        <v>315</v>
      </c>
      <c r="C65" s="46">
        <v>8</v>
      </c>
      <c r="D65" s="46"/>
      <c r="E65" s="47">
        <f>+D65+C65</f>
        <v>8</v>
      </c>
      <c r="F65" s="48">
        <f t="shared" si="0"/>
        <v>8</v>
      </c>
    </row>
    <row r="66" spans="1:6" ht="15.75" x14ac:dyDescent="0.25">
      <c r="A66" s="49">
        <v>60</v>
      </c>
      <c r="B66" s="52" t="s">
        <v>316</v>
      </c>
      <c r="C66" s="53">
        <v>71.08</v>
      </c>
      <c r="D66" s="46"/>
      <c r="E66" s="47">
        <f>+D66+C66</f>
        <v>71.08</v>
      </c>
      <c r="F66" s="48">
        <f t="shared" si="0"/>
        <v>71.099999999999994</v>
      </c>
    </row>
    <row r="67" spans="1:6" ht="15.75" x14ac:dyDescent="0.25">
      <c r="A67" s="43">
        <v>61</v>
      </c>
      <c r="B67" s="52" t="s">
        <v>317</v>
      </c>
      <c r="C67" s="53">
        <v>97.81</v>
      </c>
      <c r="D67" s="46"/>
      <c r="E67" s="47">
        <f>+D67+C67</f>
        <v>97.81</v>
      </c>
      <c r="F67" s="48">
        <f t="shared" si="0"/>
        <v>97.8</v>
      </c>
    </row>
    <row r="68" spans="1:6" ht="15.75" x14ac:dyDescent="0.25">
      <c r="A68" s="49">
        <v>62</v>
      </c>
      <c r="B68" s="51" t="s">
        <v>318</v>
      </c>
      <c r="C68" s="46">
        <v>8</v>
      </c>
      <c r="D68" s="46"/>
      <c r="E68" s="47">
        <f>+D68+C68</f>
        <v>8</v>
      </c>
      <c r="F68" s="48">
        <f t="shared" si="0"/>
        <v>8</v>
      </c>
    </row>
    <row r="69" spans="1:6" ht="15.75" x14ac:dyDescent="0.25">
      <c r="A69" s="49">
        <v>63</v>
      </c>
      <c r="B69" s="52" t="s">
        <v>73</v>
      </c>
      <c r="C69" s="53">
        <v>76.45</v>
      </c>
      <c r="D69" s="46"/>
      <c r="E69" s="47">
        <f>+D69+C69</f>
        <v>76.45</v>
      </c>
      <c r="F69" s="48">
        <f t="shared" si="0"/>
        <v>76.5</v>
      </c>
    </row>
    <row r="70" spans="1:6" ht="15.75" x14ac:dyDescent="0.25">
      <c r="A70" s="43">
        <v>64</v>
      </c>
      <c r="B70" s="59" t="s">
        <v>76</v>
      </c>
      <c r="C70" s="53">
        <v>22.7</v>
      </c>
      <c r="D70" s="46"/>
      <c r="E70" s="47">
        <f>+D70+C70</f>
        <v>22.7</v>
      </c>
      <c r="F70" s="48">
        <f t="shared" si="0"/>
        <v>22.7</v>
      </c>
    </row>
    <row r="71" spans="1:6" ht="15.75" x14ac:dyDescent="0.25">
      <c r="A71" s="49">
        <v>65</v>
      </c>
      <c r="B71" s="52" t="s">
        <v>79</v>
      </c>
      <c r="C71" s="60">
        <v>127.7</v>
      </c>
      <c r="D71" s="46"/>
      <c r="E71" s="47">
        <f>+D71+C71</f>
        <v>127.7</v>
      </c>
      <c r="F71" s="48">
        <f t="shared" si="0"/>
        <v>127.7</v>
      </c>
    </row>
    <row r="72" spans="1:6" ht="15.75" x14ac:dyDescent="0.25">
      <c r="A72" s="49">
        <v>66</v>
      </c>
      <c r="B72" s="61" t="s">
        <v>319</v>
      </c>
      <c r="C72" s="46">
        <v>8</v>
      </c>
      <c r="D72" s="46"/>
      <c r="E72" s="47">
        <f>+D72+C72</f>
        <v>8</v>
      </c>
      <c r="F72" s="48">
        <f t="shared" ref="F72:F135" si="1">+ROUND(E72,1)</f>
        <v>8</v>
      </c>
    </row>
    <row r="73" spans="1:6" ht="15.75" x14ac:dyDescent="0.25">
      <c r="A73" s="43">
        <v>67</v>
      </c>
      <c r="B73" s="51" t="s">
        <v>320</v>
      </c>
      <c r="C73" s="46">
        <v>8</v>
      </c>
      <c r="D73" s="46"/>
      <c r="E73" s="47">
        <f>+D73+C73</f>
        <v>8</v>
      </c>
      <c r="F73" s="48">
        <f t="shared" si="1"/>
        <v>8</v>
      </c>
    </row>
    <row r="74" spans="1:6" ht="15.75" x14ac:dyDescent="0.25">
      <c r="A74" s="49">
        <v>68</v>
      </c>
      <c r="B74" s="52" t="s">
        <v>321</v>
      </c>
      <c r="C74" s="48">
        <v>153.11000000000001</v>
      </c>
      <c r="D74" s="46"/>
      <c r="E74" s="47">
        <f>+D74+C74</f>
        <v>153.11000000000001</v>
      </c>
      <c r="F74" s="48">
        <f t="shared" si="1"/>
        <v>153.1</v>
      </c>
    </row>
    <row r="75" spans="1:6" ht="15.75" x14ac:dyDescent="0.25">
      <c r="A75" s="49">
        <v>69</v>
      </c>
      <c r="B75" s="52" t="s">
        <v>231</v>
      </c>
      <c r="C75" s="48">
        <v>8</v>
      </c>
      <c r="D75" s="46"/>
      <c r="E75" s="47">
        <f>+D75+C75</f>
        <v>8</v>
      </c>
      <c r="F75" s="48">
        <f t="shared" si="1"/>
        <v>8</v>
      </c>
    </row>
    <row r="76" spans="1:6" ht="15.75" x14ac:dyDescent="0.25">
      <c r="A76" s="43">
        <v>70</v>
      </c>
      <c r="B76" s="51" t="s">
        <v>322</v>
      </c>
      <c r="C76" s="46">
        <v>8</v>
      </c>
      <c r="D76" s="46"/>
      <c r="E76" s="47">
        <f>+D76+C76</f>
        <v>8</v>
      </c>
      <c r="F76" s="48">
        <f t="shared" si="1"/>
        <v>8</v>
      </c>
    </row>
    <row r="77" spans="1:6" ht="15.75" x14ac:dyDescent="0.25">
      <c r="A77" s="49">
        <v>71</v>
      </c>
      <c r="B77" s="51" t="s">
        <v>323</v>
      </c>
      <c r="C77" s="46">
        <v>8</v>
      </c>
      <c r="D77" s="46"/>
      <c r="E77" s="47">
        <f>+D77+C77</f>
        <v>8</v>
      </c>
      <c r="F77" s="48">
        <f t="shared" si="1"/>
        <v>8</v>
      </c>
    </row>
    <row r="78" spans="1:6" ht="15.75" x14ac:dyDescent="0.25">
      <c r="A78" s="49">
        <v>72</v>
      </c>
      <c r="B78" s="51" t="s">
        <v>324</v>
      </c>
      <c r="C78" s="46">
        <v>8</v>
      </c>
      <c r="D78" s="46"/>
      <c r="E78" s="47">
        <f>+D78+C78</f>
        <v>8</v>
      </c>
      <c r="F78" s="48">
        <f t="shared" si="1"/>
        <v>8</v>
      </c>
    </row>
    <row r="79" spans="1:6" ht="15.75" x14ac:dyDescent="0.25">
      <c r="A79" s="43">
        <v>73</v>
      </c>
      <c r="B79" s="52" t="s">
        <v>85</v>
      </c>
      <c r="C79" s="53">
        <v>52.48</v>
      </c>
      <c r="D79" s="46"/>
      <c r="E79" s="47">
        <f>+D79+C79</f>
        <v>52.48</v>
      </c>
      <c r="F79" s="48">
        <f t="shared" si="1"/>
        <v>52.5</v>
      </c>
    </row>
    <row r="80" spans="1:6" ht="15.75" x14ac:dyDescent="0.25">
      <c r="A80" s="49">
        <v>74</v>
      </c>
      <c r="B80" s="51" t="s">
        <v>325</v>
      </c>
      <c r="C80" s="46">
        <v>8</v>
      </c>
      <c r="D80" s="46"/>
      <c r="E80" s="47">
        <f>+D80+C80</f>
        <v>8</v>
      </c>
      <c r="F80" s="48">
        <f t="shared" si="1"/>
        <v>8</v>
      </c>
    </row>
    <row r="81" spans="1:6" ht="15.75" x14ac:dyDescent="0.25">
      <c r="A81" s="49">
        <v>75</v>
      </c>
      <c r="B81" s="51" t="s">
        <v>326</v>
      </c>
      <c r="C81" s="46">
        <v>8</v>
      </c>
      <c r="D81" s="46"/>
      <c r="E81" s="47">
        <f>+D81+C81</f>
        <v>8</v>
      </c>
      <c r="F81" s="48">
        <f t="shared" si="1"/>
        <v>8</v>
      </c>
    </row>
    <row r="82" spans="1:6" ht="15.75" x14ac:dyDescent="0.25">
      <c r="A82" s="43">
        <v>76</v>
      </c>
      <c r="B82" s="51" t="s">
        <v>327</v>
      </c>
      <c r="C82" s="46">
        <v>8</v>
      </c>
      <c r="D82" s="46"/>
      <c r="E82" s="47">
        <f>+D82+C82</f>
        <v>8</v>
      </c>
      <c r="F82" s="48">
        <f t="shared" si="1"/>
        <v>8</v>
      </c>
    </row>
    <row r="83" spans="1:6" ht="15.75" x14ac:dyDescent="0.25">
      <c r="A83" s="49">
        <v>77</v>
      </c>
      <c r="B83" s="52" t="s">
        <v>328</v>
      </c>
      <c r="C83" s="48">
        <v>145.04</v>
      </c>
      <c r="D83" s="46"/>
      <c r="E83" s="47">
        <f>+D83+C83</f>
        <v>145.04</v>
      </c>
      <c r="F83" s="48">
        <f t="shared" si="1"/>
        <v>145</v>
      </c>
    </row>
    <row r="84" spans="1:6" ht="15.75" x14ac:dyDescent="0.25">
      <c r="A84" s="49">
        <v>78</v>
      </c>
      <c r="B84" s="51" t="s">
        <v>329</v>
      </c>
      <c r="C84" s="46">
        <v>8</v>
      </c>
      <c r="D84" s="46"/>
      <c r="E84" s="47">
        <f>+D84+C84</f>
        <v>8</v>
      </c>
      <c r="F84" s="48">
        <f t="shared" si="1"/>
        <v>8</v>
      </c>
    </row>
    <row r="85" spans="1:6" ht="15.75" x14ac:dyDescent="0.25">
      <c r="A85" s="43">
        <v>79</v>
      </c>
      <c r="B85" s="51" t="s">
        <v>330</v>
      </c>
      <c r="C85" s="46">
        <v>8</v>
      </c>
      <c r="D85" s="46"/>
      <c r="E85" s="47">
        <f>+D85+C85</f>
        <v>8</v>
      </c>
      <c r="F85" s="48">
        <f t="shared" si="1"/>
        <v>8</v>
      </c>
    </row>
    <row r="86" spans="1:6" ht="15.75" x14ac:dyDescent="0.25">
      <c r="A86" s="49">
        <v>80</v>
      </c>
      <c r="B86" s="52" t="s">
        <v>331</v>
      </c>
      <c r="C86" s="53">
        <v>10.65</v>
      </c>
      <c r="D86" s="46"/>
      <c r="E86" s="47">
        <f>+D86+C86</f>
        <v>10.65</v>
      </c>
      <c r="F86" s="48">
        <f t="shared" si="1"/>
        <v>10.7</v>
      </c>
    </row>
    <row r="87" spans="1:6" ht="15.75" x14ac:dyDescent="0.25">
      <c r="A87" s="49">
        <v>81</v>
      </c>
      <c r="B87" s="52" t="s">
        <v>332</v>
      </c>
      <c r="C87" s="53">
        <v>18.98</v>
      </c>
      <c r="D87" s="46"/>
      <c r="E87" s="47">
        <f>+D87+C87</f>
        <v>18.98</v>
      </c>
      <c r="F87" s="48">
        <f t="shared" si="1"/>
        <v>19</v>
      </c>
    </row>
    <row r="88" spans="1:6" ht="15.75" x14ac:dyDescent="0.25">
      <c r="A88" s="43">
        <v>82</v>
      </c>
      <c r="B88" s="52" t="s">
        <v>333</v>
      </c>
      <c r="C88" s="53">
        <v>30</v>
      </c>
      <c r="D88" s="46"/>
      <c r="E88" s="47">
        <f>+D88+C88</f>
        <v>30</v>
      </c>
      <c r="F88" s="48">
        <f t="shared" si="1"/>
        <v>30</v>
      </c>
    </row>
    <row r="89" spans="1:6" ht="15.75" x14ac:dyDescent="0.25">
      <c r="A89" s="49">
        <v>83</v>
      </c>
      <c r="B89" s="51" t="s">
        <v>334</v>
      </c>
      <c r="C89" s="46">
        <v>8</v>
      </c>
      <c r="D89" s="46"/>
      <c r="E89" s="47">
        <f>+D89+C89</f>
        <v>8</v>
      </c>
      <c r="F89" s="48">
        <f t="shared" si="1"/>
        <v>8</v>
      </c>
    </row>
    <row r="90" spans="1:6" ht="15.75" x14ac:dyDescent="0.25">
      <c r="A90" s="49">
        <v>84</v>
      </c>
      <c r="B90" s="54" t="s">
        <v>335</v>
      </c>
      <c r="C90" s="46">
        <v>8</v>
      </c>
      <c r="D90" s="46"/>
      <c r="E90" s="47">
        <f>+D90+C90</f>
        <v>8</v>
      </c>
      <c r="F90" s="48">
        <f t="shared" si="1"/>
        <v>8</v>
      </c>
    </row>
    <row r="91" spans="1:6" ht="15.75" x14ac:dyDescent="0.25">
      <c r="A91" s="43">
        <v>85</v>
      </c>
      <c r="B91" s="51" t="s">
        <v>336</v>
      </c>
      <c r="C91" s="46">
        <v>8</v>
      </c>
      <c r="D91" s="46"/>
      <c r="E91" s="47">
        <f>+D91+C91</f>
        <v>8</v>
      </c>
      <c r="F91" s="48">
        <f t="shared" si="1"/>
        <v>8</v>
      </c>
    </row>
    <row r="92" spans="1:6" ht="15.75" x14ac:dyDescent="0.25">
      <c r="A92" s="49">
        <v>86</v>
      </c>
      <c r="B92" s="52" t="s">
        <v>101</v>
      </c>
      <c r="C92" s="53">
        <v>114.74</v>
      </c>
      <c r="D92" s="46"/>
      <c r="E92" s="47">
        <f>+D92+C92</f>
        <v>114.74</v>
      </c>
      <c r="F92" s="48">
        <f t="shared" si="1"/>
        <v>114.7</v>
      </c>
    </row>
    <row r="93" spans="1:6" ht="15.75" x14ac:dyDescent="0.25">
      <c r="A93" s="49">
        <v>87</v>
      </c>
      <c r="B93" s="51" t="s">
        <v>337</v>
      </c>
      <c r="C93" s="46">
        <v>8</v>
      </c>
      <c r="D93" s="46"/>
      <c r="E93" s="47">
        <f>+D93+C93</f>
        <v>8</v>
      </c>
      <c r="F93" s="48">
        <f t="shared" si="1"/>
        <v>8</v>
      </c>
    </row>
    <row r="94" spans="1:6" ht="15.75" x14ac:dyDescent="0.25">
      <c r="A94" s="43">
        <v>88</v>
      </c>
      <c r="B94" s="51" t="s">
        <v>338</v>
      </c>
      <c r="C94" s="46">
        <v>8</v>
      </c>
      <c r="D94" s="46"/>
      <c r="E94" s="47">
        <f>+D94+C94</f>
        <v>8</v>
      </c>
      <c r="F94" s="48">
        <f t="shared" si="1"/>
        <v>8</v>
      </c>
    </row>
    <row r="95" spans="1:6" ht="15.75" x14ac:dyDescent="0.25">
      <c r="A95" s="49">
        <v>89</v>
      </c>
      <c r="B95" s="52" t="s">
        <v>339</v>
      </c>
      <c r="C95" s="53">
        <v>35</v>
      </c>
      <c r="D95" s="46"/>
      <c r="E95" s="47">
        <f>+D95+C95</f>
        <v>35</v>
      </c>
      <c r="F95" s="48">
        <f t="shared" si="1"/>
        <v>35</v>
      </c>
    </row>
    <row r="96" spans="1:6" ht="15.75" x14ac:dyDescent="0.25">
      <c r="A96" s="49">
        <v>90</v>
      </c>
      <c r="B96" s="52" t="s">
        <v>107</v>
      </c>
      <c r="C96" s="53">
        <v>25.25</v>
      </c>
      <c r="D96" s="46"/>
      <c r="E96" s="47">
        <f>+D96+C96</f>
        <v>25.25</v>
      </c>
      <c r="F96" s="48">
        <f t="shared" si="1"/>
        <v>25.3</v>
      </c>
    </row>
    <row r="97" spans="1:6" ht="15.75" x14ac:dyDescent="0.25">
      <c r="A97" s="43">
        <v>91</v>
      </c>
      <c r="B97" s="52" t="s">
        <v>110</v>
      </c>
      <c r="C97" s="53">
        <v>7</v>
      </c>
      <c r="D97" s="46"/>
      <c r="E97" s="47">
        <f>+D97+C97</f>
        <v>7</v>
      </c>
      <c r="F97" s="48">
        <f t="shared" si="1"/>
        <v>7</v>
      </c>
    </row>
    <row r="98" spans="1:6" ht="15.75" x14ac:dyDescent="0.25">
      <c r="A98" s="49">
        <v>92</v>
      </c>
      <c r="B98" s="52" t="s">
        <v>113</v>
      </c>
      <c r="C98" s="53">
        <v>12.43</v>
      </c>
      <c r="D98" s="46"/>
      <c r="E98" s="47">
        <f>+D98+C98</f>
        <v>12.43</v>
      </c>
      <c r="F98" s="48">
        <f t="shared" si="1"/>
        <v>12.4</v>
      </c>
    </row>
    <row r="99" spans="1:6" ht="15.75" x14ac:dyDescent="0.25">
      <c r="A99" s="49">
        <v>93</v>
      </c>
      <c r="B99" s="52" t="s">
        <v>340</v>
      </c>
      <c r="C99" s="53">
        <v>84.03</v>
      </c>
      <c r="D99" s="46"/>
      <c r="E99" s="47">
        <f>+D99+C99</f>
        <v>84.03</v>
      </c>
      <c r="F99" s="48">
        <f t="shared" si="1"/>
        <v>84</v>
      </c>
    </row>
    <row r="100" spans="1:6" ht="15.75" x14ac:dyDescent="0.25">
      <c r="A100" s="43">
        <v>94</v>
      </c>
      <c r="B100" s="51" t="s">
        <v>341</v>
      </c>
      <c r="C100" s="46">
        <v>8</v>
      </c>
      <c r="D100" s="46"/>
      <c r="E100" s="47">
        <f>+D100+C100</f>
        <v>8</v>
      </c>
      <c r="F100" s="48">
        <f t="shared" si="1"/>
        <v>8</v>
      </c>
    </row>
    <row r="101" spans="1:6" ht="15.75" x14ac:dyDescent="0.25">
      <c r="A101" s="49">
        <v>95</v>
      </c>
      <c r="B101" s="51" t="s">
        <v>342</v>
      </c>
      <c r="C101" s="46">
        <v>8</v>
      </c>
      <c r="D101" s="46"/>
      <c r="E101" s="47">
        <f>+D101+C101</f>
        <v>8</v>
      </c>
      <c r="F101" s="48">
        <f t="shared" si="1"/>
        <v>8</v>
      </c>
    </row>
    <row r="102" spans="1:6" ht="15.75" x14ac:dyDescent="0.25">
      <c r="A102" s="49">
        <v>96</v>
      </c>
      <c r="B102" s="51" t="s">
        <v>116</v>
      </c>
      <c r="C102" s="46">
        <v>8</v>
      </c>
      <c r="D102" s="46"/>
      <c r="E102" s="47">
        <f>+D102+C102</f>
        <v>8</v>
      </c>
      <c r="F102" s="48">
        <f t="shared" si="1"/>
        <v>8</v>
      </c>
    </row>
    <row r="103" spans="1:6" ht="15.75" x14ac:dyDescent="0.25">
      <c r="A103" s="43">
        <v>97</v>
      </c>
      <c r="B103" s="52" t="s">
        <v>343</v>
      </c>
      <c r="C103" s="53">
        <v>25.19</v>
      </c>
      <c r="D103" s="46"/>
      <c r="E103" s="47">
        <f>+D103+C103</f>
        <v>25.19</v>
      </c>
      <c r="F103" s="48">
        <f t="shared" si="1"/>
        <v>25.2</v>
      </c>
    </row>
    <row r="104" spans="1:6" ht="15.75" x14ac:dyDescent="0.25">
      <c r="A104" s="49">
        <v>98</v>
      </c>
      <c r="B104" s="52" t="s">
        <v>120</v>
      </c>
      <c r="C104" s="53">
        <v>37.520000000000003</v>
      </c>
      <c r="D104" s="46"/>
      <c r="E104" s="47">
        <f>+D104+C104</f>
        <v>37.520000000000003</v>
      </c>
      <c r="F104" s="48">
        <f t="shared" si="1"/>
        <v>37.5</v>
      </c>
    </row>
    <row r="105" spans="1:6" ht="15.75" x14ac:dyDescent="0.25">
      <c r="A105" s="49">
        <v>99</v>
      </c>
      <c r="B105" s="51" t="s">
        <v>344</v>
      </c>
      <c r="C105" s="46">
        <v>12</v>
      </c>
      <c r="D105" s="46"/>
      <c r="E105" s="47">
        <f>+D105+C105</f>
        <v>12</v>
      </c>
      <c r="F105" s="48">
        <f t="shared" si="1"/>
        <v>12</v>
      </c>
    </row>
    <row r="106" spans="1:6" ht="15.75" x14ac:dyDescent="0.25">
      <c r="A106" s="43">
        <v>100</v>
      </c>
      <c r="B106" s="52" t="s">
        <v>345</v>
      </c>
      <c r="C106" s="48">
        <v>274.85000000000002</v>
      </c>
      <c r="D106" s="46"/>
      <c r="E106" s="47">
        <f>+D106+C106</f>
        <v>274.85000000000002</v>
      </c>
      <c r="F106" s="48">
        <f t="shared" si="1"/>
        <v>274.89999999999998</v>
      </c>
    </row>
    <row r="107" spans="1:6" ht="15.75" x14ac:dyDescent="0.25">
      <c r="A107" s="56">
        <v>101</v>
      </c>
      <c r="B107" s="52" t="s">
        <v>132</v>
      </c>
      <c r="C107" s="48">
        <v>95.75</v>
      </c>
      <c r="D107" s="46"/>
      <c r="E107" s="47">
        <f>+D107+C107</f>
        <v>95.75</v>
      </c>
      <c r="F107" s="48">
        <f t="shared" si="1"/>
        <v>95.8</v>
      </c>
    </row>
    <row r="108" spans="1:6" ht="15.75" x14ac:dyDescent="0.25">
      <c r="A108" s="49">
        <v>102</v>
      </c>
      <c r="B108" s="51" t="s">
        <v>346</v>
      </c>
      <c r="C108" s="46">
        <v>8</v>
      </c>
      <c r="D108" s="46"/>
      <c r="E108" s="47">
        <f>+D108+C108</f>
        <v>8</v>
      </c>
      <c r="F108" s="48">
        <f t="shared" si="1"/>
        <v>8</v>
      </c>
    </row>
    <row r="109" spans="1:6" ht="15.75" x14ac:dyDescent="0.25">
      <c r="A109" s="43">
        <v>103</v>
      </c>
      <c r="B109" s="52" t="s">
        <v>347</v>
      </c>
      <c r="C109" s="53">
        <v>22.01</v>
      </c>
      <c r="D109" s="46"/>
      <c r="E109" s="47">
        <f>+D109+C109</f>
        <v>22.01</v>
      </c>
      <c r="F109" s="48">
        <f t="shared" si="1"/>
        <v>22</v>
      </c>
    </row>
    <row r="110" spans="1:6" ht="15.75" x14ac:dyDescent="0.25">
      <c r="A110" s="49">
        <v>104</v>
      </c>
      <c r="B110" s="51" t="s">
        <v>348</v>
      </c>
      <c r="C110" s="46">
        <v>8</v>
      </c>
      <c r="D110" s="46"/>
      <c r="E110" s="47">
        <f>+D110+C110</f>
        <v>8</v>
      </c>
      <c r="F110" s="48">
        <f t="shared" si="1"/>
        <v>8</v>
      </c>
    </row>
    <row r="111" spans="1:6" ht="15.75" x14ac:dyDescent="0.25">
      <c r="A111" s="49">
        <v>105</v>
      </c>
      <c r="B111" s="52" t="s">
        <v>129</v>
      </c>
      <c r="C111" s="53">
        <v>205.49</v>
      </c>
      <c r="D111" s="46"/>
      <c r="E111" s="47">
        <f>+D111+C111</f>
        <v>205.49</v>
      </c>
      <c r="F111" s="48">
        <f t="shared" si="1"/>
        <v>205.5</v>
      </c>
    </row>
    <row r="112" spans="1:6" ht="15.75" x14ac:dyDescent="0.25">
      <c r="A112" s="43">
        <v>106</v>
      </c>
      <c r="B112" s="51" t="s">
        <v>349</v>
      </c>
      <c r="C112" s="46">
        <v>8</v>
      </c>
      <c r="D112" s="46"/>
      <c r="E112" s="47">
        <f>+D112+C112</f>
        <v>8</v>
      </c>
      <c r="F112" s="48">
        <f t="shared" si="1"/>
        <v>8</v>
      </c>
    </row>
    <row r="113" spans="1:6" ht="15.75" x14ac:dyDescent="0.25">
      <c r="A113" s="49">
        <v>107</v>
      </c>
      <c r="B113" s="52" t="s">
        <v>135</v>
      </c>
      <c r="C113" s="48">
        <v>16.68</v>
      </c>
      <c r="D113" s="46"/>
      <c r="E113" s="47">
        <f>+D113+C113</f>
        <v>16.68</v>
      </c>
      <c r="F113" s="48">
        <f t="shared" si="1"/>
        <v>16.7</v>
      </c>
    </row>
    <row r="114" spans="1:6" ht="15.75" x14ac:dyDescent="0.25">
      <c r="A114" s="49">
        <v>108</v>
      </c>
      <c r="B114" s="51" t="s">
        <v>350</v>
      </c>
      <c r="C114" s="46">
        <v>7</v>
      </c>
      <c r="D114" s="46"/>
      <c r="E114" s="47">
        <f>+D114+C114</f>
        <v>7</v>
      </c>
      <c r="F114" s="48">
        <f t="shared" si="1"/>
        <v>7</v>
      </c>
    </row>
    <row r="115" spans="1:6" ht="15.75" x14ac:dyDescent="0.25">
      <c r="A115" s="43">
        <v>109</v>
      </c>
      <c r="B115" s="52" t="s">
        <v>138</v>
      </c>
      <c r="C115" s="53">
        <v>69.5</v>
      </c>
      <c r="D115" s="46"/>
      <c r="E115" s="47">
        <f>+D115+C115</f>
        <v>69.5</v>
      </c>
      <c r="F115" s="48">
        <f t="shared" si="1"/>
        <v>69.5</v>
      </c>
    </row>
    <row r="116" spans="1:6" ht="15.75" x14ac:dyDescent="0.25">
      <c r="A116" s="49">
        <v>110</v>
      </c>
      <c r="B116" s="52" t="s">
        <v>141</v>
      </c>
      <c r="C116" s="48">
        <v>8</v>
      </c>
      <c r="D116" s="46"/>
      <c r="E116" s="47">
        <f>+D116+C116</f>
        <v>8</v>
      </c>
      <c r="F116" s="48">
        <f t="shared" si="1"/>
        <v>8</v>
      </c>
    </row>
    <row r="117" spans="1:6" ht="15.75" x14ac:dyDescent="0.25">
      <c r="A117" s="49">
        <v>111</v>
      </c>
      <c r="B117" s="52" t="s">
        <v>351</v>
      </c>
      <c r="C117" s="53">
        <v>32.49</v>
      </c>
      <c r="D117" s="46"/>
      <c r="E117" s="47">
        <f>+D117+C117</f>
        <v>32.49</v>
      </c>
      <c r="F117" s="48">
        <f t="shared" si="1"/>
        <v>32.5</v>
      </c>
    </row>
    <row r="118" spans="1:6" ht="15.75" x14ac:dyDescent="0.25">
      <c r="A118" s="43">
        <v>112</v>
      </c>
      <c r="B118" s="51" t="s">
        <v>352</v>
      </c>
      <c r="C118" s="46">
        <v>8</v>
      </c>
      <c r="D118" s="46"/>
      <c r="E118" s="47">
        <f>+D118+C118</f>
        <v>8</v>
      </c>
      <c r="F118" s="48">
        <f t="shared" si="1"/>
        <v>8</v>
      </c>
    </row>
    <row r="119" spans="1:6" ht="15.75" x14ac:dyDescent="0.25">
      <c r="A119" s="49">
        <v>113</v>
      </c>
      <c r="B119" s="51" t="s">
        <v>353</v>
      </c>
      <c r="C119" s="46">
        <v>8</v>
      </c>
      <c r="D119" s="46"/>
      <c r="E119" s="47">
        <f>+D119+C119</f>
        <v>8</v>
      </c>
      <c r="F119" s="48">
        <f t="shared" si="1"/>
        <v>8</v>
      </c>
    </row>
    <row r="120" spans="1:6" ht="15.75" x14ac:dyDescent="0.25">
      <c r="A120" s="49">
        <v>114</v>
      </c>
      <c r="B120" s="51" t="s">
        <v>354</v>
      </c>
      <c r="C120" s="46">
        <v>8</v>
      </c>
      <c r="D120" s="46"/>
      <c r="E120" s="47">
        <f>+D120+C120</f>
        <v>8</v>
      </c>
      <c r="F120" s="48">
        <f t="shared" si="1"/>
        <v>8</v>
      </c>
    </row>
    <row r="121" spans="1:6" ht="15.75" x14ac:dyDescent="0.25">
      <c r="A121" s="43">
        <v>115</v>
      </c>
      <c r="B121" s="51" t="s">
        <v>355</v>
      </c>
      <c r="C121" s="46">
        <v>8</v>
      </c>
      <c r="D121" s="46"/>
      <c r="E121" s="47">
        <f>+D121+C121</f>
        <v>8</v>
      </c>
      <c r="F121" s="48">
        <f t="shared" si="1"/>
        <v>8</v>
      </c>
    </row>
    <row r="122" spans="1:6" ht="15.75" x14ac:dyDescent="0.25">
      <c r="A122" s="49">
        <v>116</v>
      </c>
      <c r="B122" s="51" t="s">
        <v>356</v>
      </c>
      <c r="C122" s="46">
        <v>8</v>
      </c>
      <c r="D122" s="46"/>
      <c r="E122" s="47">
        <f>+D122+C122</f>
        <v>8</v>
      </c>
      <c r="F122" s="48">
        <f t="shared" si="1"/>
        <v>8</v>
      </c>
    </row>
    <row r="123" spans="1:6" ht="15.75" x14ac:dyDescent="0.25">
      <c r="A123" s="49">
        <v>117</v>
      </c>
      <c r="B123" s="51" t="s">
        <v>357</v>
      </c>
      <c r="C123" s="46">
        <v>8</v>
      </c>
      <c r="D123" s="46"/>
      <c r="E123" s="47">
        <f>+D123+C123</f>
        <v>8</v>
      </c>
      <c r="F123" s="48">
        <f t="shared" si="1"/>
        <v>8</v>
      </c>
    </row>
    <row r="124" spans="1:6" ht="15.75" x14ac:dyDescent="0.25">
      <c r="A124" s="43">
        <v>118</v>
      </c>
      <c r="B124" s="51" t="s">
        <v>358</v>
      </c>
      <c r="C124" s="46">
        <v>8</v>
      </c>
      <c r="D124" s="46"/>
      <c r="E124" s="47">
        <f>+D124+C124</f>
        <v>8</v>
      </c>
      <c r="F124" s="48">
        <f t="shared" si="1"/>
        <v>8</v>
      </c>
    </row>
    <row r="125" spans="1:6" ht="15.75" x14ac:dyDescent="0.25">
      <c r="A125" s="49">
        <v>119</v>
      </c>
      <c r="B125" s="51" t="s">
        <v>359</v>
      </c>
      <c r="C125" s="46">
        <v>8</v>
      </c>
      <c r="D125" s="46"/>
      <c r="E125" s="47">
        <f>+D125+C125</f>
        <v>8</v>
      </c>
      <c r="F125" s="48">
        <f t="shared" si="1"/>
        <v>8</v>
      </c>
    </row>
    <row r="126" spans="1:6" ht="15.75" x14ac:dyDescent="0.25">
      <c r="A126" s="49">
        <v>120</v>
      </c>
      <c r="B126" s="51" t="s">
        <v>360</v>
      </c>
      <c r="C126" s="46">
        <v>8</v>
      </c>
      <c r="D126" s="46"/>
      <c r="E126" s="47">
        <f>+D126+C126</f>
        <v>8</v>
      </c>
      <c r="F126" s="48">
        <f t="shared" si="1"/>
        <v>8</v>
      </c>
    </row>
    <row r="127" spans="1:6" ht="15.75" x14ac:dyDescent="0.25">
      <c r="A127" s="43">
        <v>121</v>
      </c>
      <c r="B127" s="52" t="s">
        <v>147</v>
      </c>
      <c r="C127" s="53">
        <v>17</v>
      </c>
      <c r="D127" s="46"/>
      <c r="E127" s="47">
        <f>+D127+C127</f>
        <v>17</v>
      </c>
      <c r="F127" s="48">
        <f t="shared" si="1"/>
        <v>17</v>
      </c>
    </row>
    <row r="128" spans="1:6" ht="15.75" x14ac:dyDescent="0.25">
      <c r="A128" s="49">
        <v>122</v>
      </c>
      <c r="B128" s="52" t="s">
        <v>150</v>
      </c>
      <c r="C128" s="53">
        <v>17</v>
      </c>
      <c r="D128" s="46"/>
      <c r="E128" s="47">
        <f>+D128+C128</f>
        <v>17</v>
      </c>
      <c r="F128" s="48">
        <f t="shared" si="1"/>
        <v>17</v>
      </c>
    </row>
    <row r="129" spans="1:6" ht="15.75" x14ac:dyDescent="0.25">
      <c r="A129" s="49">
        <v>123</v>
      </c>
      <c r="B129" s="52" t="s">
        <v>361</v>
      </c>
      <c r="C129" s="53">
        <v>13.2</v>
      </c>
      <c r="D129" s="46"/>
      <c r="E129" s="47">
        <f>+D129+C129</f>
        <v>13.2</v>
      </c>
      <c r="F129" s="48">
        <f t="shared" si="1"/>
        <v>13.2</v>
      </c>
    </row>
    <row r="130" spans="1:6" ht="15.75" x14ac:dyDescent="0.25">
      <c r="A130" s="62">
        <v>124</v>
      </c>
      <c r="B130" s="51" t="s">
        <v>362</v>
      </c>
      <c r="C130" s="46">
        <v>8</v>
      </c>
      <c r="D130" s="46"/>
      <c r="E130" s="47">
        <f>+D130+C130</f>
        <v>8</v>
      </c>
      <c r="F130" s="48">
        <f t="shared" si="1"/>
        <v>8</v>
      </c>
    </row>
    <row r="131" spans="1:6" ht="15.75" x14ac:dyDescent="0.25">
      <c r="A131" s="49">
        <v>125</v>
      </c>
      <c r="B131" s="52" t="s">
        <v>156</v>
      </c>
      <c r="C131" s="58">
        <v>18</v>
      </c>
      <c r="D131" s="46"/>
      <c r="E131" s="47">
        <f>+D131+C131</f>
        <v>18</v>
      </c>
      <c r="F131" s="48">
        <f t="shared" si="1"/>
        <v>18</v>
      </c>
    </row>
    <row r="132" spans="1:6" ht="15.75" x14ac:dyDescent="0.25">
      <c r="A132" s="49">
        <v>126</v>
      </c>
      <c r="B132" s="54" t="s">
        <v>363</v>
      </c>
      <c r="C132" s="55">
        <v>8</v>
      </c>
      <c r="D132" s="46"/>
      <c r="E132" s="47">
        <f>+D132+C132</f>
        <v>8</v>
      </c>
      <c r="F132" s="48">
        <f t="shared" si="1"/>
        <v>8</v>
      </c>
    </row>
    <row r="133" spans="1:6" ht="15.75" x14ac:dyDescent="0.25">
      <c r="A133" s="43">
        <v>127</v>
      </c>
      <c r="B133" s="51" t="s">
        <v>364</v>
      </c>
      <c r="C133" s="46">
        <v>8</v>
      </c>
      <c r="D133" s="46"/>
      <c r="E133" s="47">
        <f>+D133+C133</f>
        <v>8</v>
      </c>
      <c r="F133" s="48">
        <f t="shared" si="1"/>
        <v>8</v>
      </c>
    </row>
    <row r="134" spans="1:6" ht="15.75" x14ac:dyDescent="0.25">
      <c r="A134" s="49">
        <v>128</v>
      </c>
      <c r="B134" s="52" t="s">
        <v>165</v>
      </c>
      <c r="C134" s="53">
        <v>137.4</v>
      </c>
      <c r="D134" s="46"/>
      <c r="E134" s="47">
        <f>+D134+C134</f>
        <v>137.4</v>
      </c>
      <c r="F134" s="48">
        <f t="shared" si="1"/>
        <v>137.4</v>
      </c>
    </row>
    <row r="135" spans="1:6" ht="15.75" x14ac:dyDescent="0.25">
      <c r="A135" s="49">
        <v>129</v>
      </c>
      <c r="B135" s="54" t="s">
        <v>168</v>
      </c>
      <c r="C135" s="46">
        <v>8</v>
      </c>
      <c r="D135" s="46"/>
      <c r="E135" s="47">
        <f>+D135+C135</f>
        <v>8</v>
      </c>
      <c r="F135" s="48">
        <f t="shared" si="1"/>
        <v>8</v>
      </c>
    </row>
    <row r="136" spans="1:6" ht="15.75" x14ac:dyDescent="0.25">
      <c r="A136" s="43">
        <v>130</v>
      </c>
      <c r="B136" s="63" t="s">
        <v>365</v>
      </c>
      <c r="C136" s="46">
        <v>8</v>
      </c>
      <c r="D136" s="46"/>
      <c r="E136" s="47">
        <f>+D136+C136</f>
        <v>8</v>
      </c>
      <c r="F136" s="48">
        <f t="shared" ref="F136:F199" si="2">+ROUND(E136,1)</f>
        <v>8</v>
      </c>
    </row>
    <row r="137" spans="1:6" ht="15.75" x14ac:dyDescent="0.25">
      <c r="A137" s="49">
        <v>131</v>
      </c>
      <c r="B137" s="51" t="s">
        <v>366</v>
      </c>
      <c r="C137" s="46">
        <v>8</v>
      </c>
      <c r="D137" s="46"/>
      <c r="E137" s="47">
        <f>+D137+C137</f>
        <v>8</v>
      </c>
      <c r="F137" s="48">
        <f t="shared" si="2"/>
        <v>8</v>
      </c>
    </row>
    <row r="138" spans="1:6" ht="15.75" x14ac:dyDescent="0.25">
      <c r="A138" s="49">
        <v>132</v>
      </c>
      <c r="B138" s="51" t="s">
        <v>367</v>
      </c>
      <c r="C138" s="46">
        <v>8</v>
      </c>
      <c r="D138" s="46"/>
      <c r="E138" s="47">
        <f>+D138+C138</f>
        <v>8</v>
      </c>
      <c r="F138" s="48">
        <f t="shared" si="2"/>
        <v>8</v>
      </c>
    </row>
    <row r="139" spans="1:6" ht="15.75" x14ac:dyDescent="0.25">
      <c r="A139" s="43">
        <v>133</v>
      </c>
      <c r="B139" s="52" t="s">
        <v>368</v>
      </c>
      <c r="C139" s="53">
        <v>18</v>
      </c>
      <c r="D139" s="46"/>
      <c r="E139" s="47">
        <f>+D139+C139</f>
        <v>18</v>
      </c>
      <c r="F139" s="48">
        <f t="shared" si="2"/>
        <v>18</v>
      </c>
    </row>
    <row r="140" spans="1:6" ht="15.75" x14ac:dyDescent="0.25">
      <c r="A140" s="49">
        <v>134</v>
      </c>
      <c r="B140" s="51" t="s">
        <v>369</v>
      </c>
      <c r="C140" s="46">
        <v>8</v>
      </c>
      <c r="D140" s="46"/>
      <c r="E140" s="47">
        <f>+D140+C140</f>
        <v>8</v>
      </c>
      <c r="F140" s="48">
        <f t="shared" si="2"/>
        <v>8</v>
      </c>
    </row>
    <row r="141" spans="1:6" ht="15.75" x14ac:dyDescent="0.25">
      <c r="A141" s="49">
        <v>135</v>
      </c>
      <c r="B141" s="51" t="s">
        <v>370</v>
      </c>
      <c r="C141" s="46">
        <v>8</v>
      </c>
      <c r="D141" s="46"/>
      <c r="E141" s="47">
        <f>+D141+C141</f>
        <v>8</v>
      </c>
      <c r="F141" s="48">
        <f t="shared" si="2"/>
        <v>8</v>
      </c>
    </row>
    <row r="142" spans="1:6" ht="15.75" x14ac:dyDescent="0.25">
      <c r="A142" s="43">
        <v>136</v>
      </c>
      <c r="B142" s="51" t="s">
        <v>371</v>
      </c>
      <c r="C142" s="46">
        <v>8</v>
      </c>
      <c r="D142" s="46"/>
      <c r="E142" s="47">
        <f>+D142+C142</f>
        <v>8</v>
      </c>
      <c r="F142" s="48">
        <f t="shared" si="2"/>
        <v>8</v>
      </c>
    </row>
    <row r="143" spans="1:6" ht="15.75" x14ac:dyDescent="0.25">
      <c r="A143" s="49">
        <v>137</v>
      </c>
      <c r="B143" s="52" t="s">
        <v>174</v>
      </c>
      <c r="C143" s="53">
        <v>10.43</v>
      </c>
      <c r="D143" s="46"/>
      <c r="E143" s="47">
        <f>+D143+C143</f>
        <v>10.43</v>
      </c>
      <c r="F143" s="48">
        <f t="shared" si="2"/>
        <v>10.4</v>
      </c>
    </row>
    <row r="144" spans="1:6" ht="15.75" x14ac:dyDescent="0.25">
      <c r="A144" s="49">
        <v>138</v>
      </c>
      <c r="B144" s="52" t="s">
        <v>372</v>
      </c>
      <c r="C144" s="53">
        <v>10.5</v>
      </c>
      <c r="D144" s="46"/>
      <c r="E144" s="47">
        <f>+D144+C144</f>
        <v>10.5</v>
      </c>
      <c r="F144" s="48">
        <f t="shared" si="2"/>
        <v>10.5</v>
      </c>
    </row>
    <row r="145" spans="1:6" ht="15.75" x14ac:dyDescent="0.25">
      <c r="A145" s="43">
        <v>139</v>
      </c>
      <c r="B145" s="51" t="s">
        <v>373</v>
      </c>
      <c r="C145" s="46">
        <v>8</v>
      </c>
      <c r="D145" s="46"/>
      <c r="E145" s="47">
        <f>+D145+C145</f>
        <v>8</v>
      </c>
      <c r="F145" s="48">
        <f t="shared" si="2"/>
        <v>8</v>
      </c>
    </row>
    <row r="146" spans="1:6" ht="15.75" x14ac:dyDescent="0.25">
      <c r="A146" s="49">
        <v>140</v>
      </c>
      <c r="B146" s="64" t="s">
        <v>374</v>
      </c>
      <c r="C146" s="65">
        <v>28.85</v>
      </c>
      <c r="D146" s="46"/>
      <c r="E146" s="47">
        <f>+D146+C146</f>
        <v>28.85</v>
      </c>
      <c r="F146" s="48">
        <f t="shared" si="2"/>
        <v>28.9</v>
      </c>
    </row>
    <row r="147" spans="1:6" ht="15.75" x14ac:dyDescent="0.25">
      <c r="A147" s="49">
        <v>141</v>
      </c>
      <c r="B147" s="51" t="s">
        <v>375</v>
      </c>
      <c r="C147" s="46">
        <v>8</v>
      </c>
      <c r="D147" s="46"/>
      <c r="E147" s="47">
        <f>+D147+C147</f>
        <v>8</v>
      </c>
      <c r="F147" s="48">
        <f t="shared" si="2"/>
        <v>8</v>
      </c>
    </row>
    <row r="148" spans="1:6" ht="15.75" x14ac:dyDescent="0.25">
      <c r="A148" s="43">
        <v>142</v>
      </c>
      <c r="B148" s="64" t="s">
        <v>376</v>
      </c>
      <c r="C148" s="53">
        <v>24.14</v>
      </c>
      <c r="D148" s="46"/>
      <c r="E148" s="47">
        <f>+D148+C148</f>
        <v>24.14</v>
      </c>
      <c r="F148" s="48">
        <f t="shared" si="2"/>
        <v>24.1</v>
      </c>
    </row>
    <row r="149" spans="1:6" ht="15.75" x14ac:dyDescent="0.25">
      <c r="A149" s="49">
        <v>143</v>
      </c>
      <c r="B149" s="64" t="s">
        <v>377</v>
      </c>
      <c r="C149" s="53">
        <v>26.35</v>
      </c>
      <c r="D149" s="46"/>
      <c r="E149" s="47">
        <f>+D149+C149</f>
        <v>26.35</v>
      </c>
      <c r="F149" s="48">
        <f t="shared" si="2"/>
        <v>26.4</v>
      </c>
    </row>
    <row r="150" spans="1:6" ht="15.75" x14ac:dyDescent="0.25">
      <c r="A150" s="49">
        <v>144</v>
      </c>
      <c r="B150" s="52" t="s">
        <v>186</v>
      </c>
      <c r="C150" s="53">
        <v>73.98</v>
      </c>
      <c r="D150" s="46"/>
      <c r="E150" s="47">
        <f>+D150+C150</f>
        <v>73.98</v>
      </c>
      <c r="F150" s="48">
        <f t="shared" si="2"/>
        <v>74</v>
      </c>
    </row>
    <row r="151" spans="1:6" ht="15.75" x14ac:dyDescent="0.25">
      <c r="A151" s="43">
        <v>145</v>
      </c>
      <c r="B151" s="51" t="s">
        <v>378</v>
      </c>
      <c r="C151" s="46">
        <v>8</v>
      </c>
      <c r="D151" s="46"/>
      <c r="E151" s="47">
        <f>+D151+C151</f>
        <v>8</v>
      </c>
      <c r="F151" s="48">
        <f t="shared" si="2"/>
        <v>8</v>
      </c>
    </row>
    <row r="152" spans="1:6" ht="15.75" x14ac:dyDescent="0.25">
      <c r="A152" s="49">
        <v>146</v>
      </c>
      <c r="B152" s="51" t="s">
        <v>379</v>
      </c>
      <c r="C152" s="46">
        <v>8</v>
      </c>
      <c r="D152" s="46"/>
      <c r="E152" s="47">
        <f>+D152+C152</f>
        <v>8</v>
      </c>
      <c r="F152" s="48">
        <f t="shared" si="2"/>
        <v>8</v>
      </c>
    </row>
    <row r="153" spans="1:6" ht="15.75" x14ac:dyDescent="0.25">
      <c r="A153" s="49">
        <v>147</v>
      </c>
      <c r="B153" s="51" t="s">
        <v>380</v>
      </c>
      <c r="C153" s="46">
        <v>8</v>
      </c>
      <c r="D153" s="46"/>
      <c r="E153" s="47">
        <f>+D153+C153</f>
        <v>8</v>
      </c>
      <c r="F153" s="48">
        <f t="shared" si="2"/>
        <v>8</v>
      </c>
    </row>
    <row r="154" spans="1:6" ht="15.75" x14ac:dyDescent="0.25">
      <c r="A154" s="43">
        <v>148</v>
      </c>
      <c r="B154" s="52" t="s">
        <v>189</v>
      </c>
      <c r="C154" s="53">
        <v>174.94</v>
      </c>
      <c r="D154" s="46"/>
      <c r="E154" s="47">
        <f>+D154+C154</f>
        <v>174.94</v>
      </c>
      <c r="F154" s="48">
        <f t="shared" si="2"/>
        <v>174.9</v>
      </c>
    </row>
    <row r="155" spans="1:6" ht="15.75" x14ac:dyDescent="0.25">
      <c r="A155" s="49">
        <v>149</v>
      </c>
      <c r="B155" s="51" t="s">
        <v>381</v>
      </c>
      <c r="C155" s="46">
        <v>8</v>
      </c>
      <c r="D155" s="46"/>
      <c r="E155" s="47">
        <f>+D155+C155</f>
        <v>8</v>
      </c>
      <c r="F155" s="48">
        <f t="shared" si="2"/>
        <v>8</v>
      </c>
    </row>
    <row r="156" spans="1:6" ht="15.75" x14ac:dyDescent="0.25">
      <c r="A156" s="49">
        <v>150</v>
      </c>
      <c r="B156" s="51" t="s">
        <v>382</v>
      </c>
      <c r="C156" s="46">
        <v>8</v>
      </c>
      <c r="D156" s="46"/>
      <c r="E156" s="47">
        <f>+D156+C156</f>
        <v>8</v>
      </c>
      <c r="F156" s="48">
        <f t="shared" si="2"/>
        <v>8</v>
      </c>
    </row>
    <row r="157" spans="1:6" ht="15.75" x14ac:dyDescent="0.25">
      <c r="A157" s="43">
        <v>151</v>
      </c>
      <c r="B157" s="51" t="s">
        <v>383</v>
      </c>
      <c r="C157" s="46">
        <v>8</v>
      </c>
      <c r="D157" s="46"/>
      <c r="E157" s="47">
        <f>+D157+C157</f>
        <v>8</v>
      </c>
      <c r="F157" s="48">
        <f t="shared" si="2"/>
        <v>8</v>
      </c>
    </row>
    <row r="158" spans="1:6" ht="15.75" x14ac:dyDescent="0.25">
      <c r="A158" s="49">
        <v>152</v>
      </c>
      <c r="B158" s="51" t="s">
        <v>384</v>
      </c>
      <c r="C158" s="46">
        <v>8</v>
      </c>
      <c r="D158" s="46"/>
      <c r="E158" s="47">
        <f>+D158+C158</f>
        <v>8</v>
      </c>
      <c r="F158" s="48">
        <f t="shared" si="2"/>
        <v>8</v>
      </c>
    </row>
    <row r="159" spans="1:6" ht="15.75" x14ac:dyDescent="0.25">
      <c r="A159" s="49">
        <v>153</v>
      </c>
      <c r="B159" s="52" t="s">
        <v>192</v>
      </c>
      <c r="C159" s="53">
        <v>13</v>
      </c>
      <c r="D159" s="46"/>
      <c r="E159" s="47">
        <f>+D159+C159</f>
        <v>13</v>
      </c>
      <c r="F159" s="48">
        <f t="shared" si="2"/>
        <v>13</v>
      </c>
    </row>
    <row r="160" spans="1:6" ht="15.75" x14ac:dyDescent="0.25">
      <c r="A160" s="43">
        <v>154</v>
      </c>
      <c r="B160" s="51" t="s">
        <v>385</v>
      </c>
      <c r="C160" s="46">
        <v>8</v>
      </c>
      <c r="D160" s="46"/>
      <c r="E160" s="47">
        <f>+D160+C160</f>
        <v>8</v>
      </c>
      <c r="F160" s="48">
        <f t="shared" si="2"/>
        <v>8</v>
      </c>
    </row>
    <row r="161" spans="1:6" ht="15.75" x14ac:dyDescent="0.25">
      <c r="A161" s="49">
        <v>155</v>
      </c>
      <c r="B161" s="51" t="s">
        <v>386</v>
      </c>
      <c r="C161" s="46">
        <v>8</v>
      </c>
      <c r="D161" s="46"/>
      <c r="E161" s="47">
        <f>+D161+C161</f>
        <v>8</v>
      </c>
      <c r="F161" s="48">
        <f t="shared" si="2"/>
        <v>8</v>
      </c>
    </row>
    <row r="162" spans="1:6" ht="15.75" x14ac:dyDescent="0.25">
      <c r="A162" s="49">
        <v>156</v>
      </c>
      <c r="B162" s="51" t="s">
        <v>387</v>
      </c>
      <c r="C162" s="46">
        <v>8</v>
      </c>
      <c r="D162" s="46"/>
      <c r="E162" s="47">
        <f>+D162+C162</f>
        <v>8</v>
      </c>
      <c r="F162" s="48">
        <f t="shared" si="2"/>
        <v>8</v>
      </c>
    </row>
    <row r="163" spans="1:6" ht="15.75" x14ac:dyDescent="0.25">
      <c r="A163" s="43">
        <v>157</v>
      </c>
      <c r="B163" s="51" t="s">
        <v>388</v>
      </c>
      <c r="C163" s="46">
        <v>8</v>
      </c>
      <c r="D163" s="46"/>
      <c r="E163" s="47">
        <f>+D163+C163</f>
        <v>8</v>
      </c>
      <c r="F163" s="48">
        <f t="shared" si="2"/>
        <v>8</v>
      </c>
    </row>
    <row r="164" spans="1:6" ht="15.75" x14ac:dyDescent="0.25">
      <c r="A164" s="49">
        <v>158</v>
      </c>
      <c r="B164" s="51" t="s">
        <v>389</v>
      </c>
      <c r="C164" s="46">
        <v>8</v>
      </c>
      <c r="D164" s="46"/>
      <c r="E164" s="47">
        <f>+D164+C164</f>
        <v>8</v>
      </c>
      <c r="F164" s="48">
        <f t="shared" si="2"/>
        <v>8</v>
      </c>
    </row>
    <row r="165" spans="1:6" ht="15.75" x14ac:dyDescent="0.25">
      <c r="A165" s="49">
        <v>159</v>
      </c>
      <c r="B165" s="51" t="s">
        <v>390</v>
      </c>
      <c r="C165" s="46">
        <v>8</v>
      </c>
      <c r="D165" s="46"/>
      <c r="E165" s="47">
        <f>+D165+C165</f>
        <v>8</v>
      </c>
      <c r="F165" s="48">
        <f t="shared" si="2"/>
        <v>8</v>
      </c>
    </row>
    <row r="166" spans="1:6" ht="15.75" x14ac:dyDescent="0.25">
      <c r="A166" s="43">
        <v>160</v>
      </c>
      <c r="B166" s="51" t="s">
        <v>391</v>
      </c>
      <c r="C166" s="46">
        <v>8</v>
      </c>
      <c r="D166" s="46"/>
      <c r="E166" s="47">
        <f>+D166+C166</f>
        <v>8</v>
      </c>
      <c r="F166" s="48">
        <f t="shared" si="2"/>
        <v>8</v>
      </c>
    </row>
    <row r="167" spans="1:6" ht="15.75" x14ac:dyDescent="0.25">
      <c r="A167" s="49">
        <v>161</v>
      </c>
      <c r="B167" s="52" t="s">
        <v>198</v>
      </c>
      <c r="C167" s="65">
        <v>86.9</v>
      </c>
      <c r="D167" s="46"/>
      <c r="E167" s="47">
        <f>+D167+C167</f>
        <v>86.9</v>
      </c>
      <c r="F167" s="48">
        <f t="shared" si="2"/>
        <v>86.9</v>
      </c>
    </row>
    <row r="168" spans="1:6" ht="15.75" x14ac:dyDescent="0.25">
      <c r="A168" s="49">
        <v>162</v>
      </c>
      <c r="B168" s="52" t="s">
        <v>392</v>
      </c>
      <c r="C168" s="53">
        <v>19.350000000000001</v>
      </c>
      <c r="D168" s="46"/>
      <c r="E168" s="47">
        <f>+D168+C168</f>
        <v>19.350000000000001</v>
      </c>
      <c r="F168" s="48">
        <f t="shared" si="2"/>
        <v>19.399999999999999</v>
      </c>
    </row>
    <row r="169" spans="1:6" ht="15.75" x14ac:dyDescent="0.25">
      <c r="A169" s="43">
        <v>163</v>
      </c>
      <c r="B169" s="51" t="s">
        <v>393</v>
      </c>
      <c r="C169" s="46">
        <v>8</v>
      </c>
      <c r="D169" s="46"/>
      <c r="E169" s="47">
        <f>+D169+C169</f>
        <v>8</v>
      </c>
      <c r="F169" s="48">
        <f t="shared" si="2"/>
        <v>8</v>
      </c>
    </row>
    <row r="170" spans="1:6" ht="15.75" x14ac:dyDescent="0.25">
      <c r="A170" s="49">
        <v>164</v>
      </c>
      <c r="B170" s="52" t="s">
        <v>394</v>
      </c>
      <c r="C170" s="53">
        <v>65.319999999999993</v>
      </c>
      <c r="D170" s="46"/>
      <c r="E170" s="47">
        <f>+D170+C170</f>
        <v>65.319999999999993</v>
      </c>
      <c r="F170" s="48">
        <f t="shared" si="2"/>
        <v>65.3</v>
      </c>
    </row>
    <row r="171" spans="1:6" ht="15.75" x14ac:dyDescent="0.25">
      <c r="A171" s="49">
        <v>165</v>
      </c>
      <c r="B171" s="51" t="s">
        <v>395</v>
      </c>
      <c r="C171" s="46">
        <v>8</v>
      </c>
      <c r="D171" s="46"/>
      <c r="E171" s="47">
        <f>+D171+C171</f>
        <v>8</v>
      </c>
      <c r="F171" s="48">
        <f t="shared" si="2"/>
        <v>8</v>
      </c>
    </row>
    <row r="172" spans="1:6" ht="15.75" x14ac:dyDescent="0.25">
      <c r="A172" s="43">
        <v>166</v>
      </c>
      <c r="B172" s="52" t="s">
        <v>204</v>
      </c>
      <c r="C172" s="53">
        <v>78</v>
      </c>
      <c r="D172" s="46"/>
      <c r="E172" s="47">
        <f>+D172+C172</f>
        <v>78</v>
      </c>
      <c r="F172" s="48">
        <f t="shared" si="2"/>
        <v>78</v>
      </c>
    </row>
    <row r="173" spans="1:6" ht="15.75" x14ac:dyDescent="0.25">
      <c r="A173" s="49">
        <v>167</v>
      </c>
      <c r="B173" s="52" t="s">
        <v>396</v>
      </c>
      <c r="C173" s="53">
        <v>19.89</v>
      </c>
      <c r="D173" s="46"/>
      <c r="E173" s="47">
        <f>+D173+C173</f>
        <v>19.89</v>
      </c>
      <c r="F173" s="48">
        <f t="shared" si="2"/>
        <v>19.899999999999999</v>
      </c>
    </row>
    <row r="174" spans="1:6" ht="15.75" x14ac:dyDescent="0.25">
      <c r="A174" s="49">
        <v>168</v>
      </c>
      <c r="B174" s="51" t="s">
        <v>397</v>
      </c>
      <c r="C174" s="46">
        <v>8</v>
      </c>
      <c r="D174" s="46"/>
      <c r="E174" s="47">
        <f>+D174+C174</f>
        <v>8</v>
      </c>
      <c r="F174" s="48">
        <f t="shared" si="2"/>
        <v>8</v>
      </c>
    </row>
    <row r="175" spans="1:6" ht="15.75" x14ac:dyDescent="0.25">
      <c r="A175" s="43">
        <v>169</v>
      </c>
      <c r="B175" s="52" t="s">
        <v>398</v>
      </c>
      <c r="C175" s="48">
        <v>21.2</v>
      </c>
      <c r="D175" s="46"/>
      <c r="E175" s="47">
        <f>+D175+C175</f>
        <v>21.2</v>
      </c>
      <c r="F175" s="48">
        <f t="shared" si="2"/>
        <v>21.2</v>
      </c>
    </row>
    <row r="176" spans="1:6" ht="15.75" x14ac:dyDescent="0.25">
      <c r="A176" s="49">
        <v>170</v>
      </c>
      <c r="B176" s="52" t="s">
        <v>213</v>
      </c>
      <c r="C176" s="53">
        <v>13.52</v>
      </c>
      <c r="D176" s="46"/>
      <c r="E176" s="47">
        <f>+D176+C176</f>
        <v>13.52</v>
      </c>
      <c r="F176" s="48">
        <f t="shared" si="2"/>
        <v>13.5</v>
      </c>
    </row>
    <row r="177" spans="1:6" ht="15.75" x14ac:dyDescent="0.25">
      <c r="A177" s="49">
        <v>171</v>
      </c>
      <c r="B177" s="51" t="s">
        <v>399</v>
      </c>
      <c r="C177" s="46">
        <v>8</v>
      </c>
      <c r="D177" s="46"/>
      <c r="E177" s="47">
        <f>+D177+C177</f>
        <v>8</v>
      </c>
      <c r="F177" s="48">
        <f t="shared" si="2"/>
        <v>8</v>
      </c>
    </row>
    <row r="178" spans="1:6" ht="15.75" x14ac:dyDescent="0.25">
      <c r="A178" s="43">
        <v>172</v>
      </c>
      <c r="B178" s="51" t="s">
        <v>400</v>
      </c>
      <c r="C178" s="46">
        <v>8</v>
      </c>
      <c r="D178" s="46"/>
      <c r="E178" s="47">
        <f>+D178+C178</f>
        <v>8</v>
      </c>
      <c r="F178" s="48">
        <f t="shared" si="2"/>
        <v>8</v>
      </c>
    </row>
    <row r="179" spans="1:6" ht="15.75" x14ac:dyDescent="0.25">
      <c r="A179" s="49">
        <v>173</v>
      </c>
      <c r="B179" s="51" t="s">
        <v>401</v>
      </c>
      <c r="C179" s="46">
        <v>8</v>
      </c>
      <c r="D179" s="46"/>
      <c r="E179" s="47">
        <f>+D179+C179</f>
        <v>8</v>
      </c>
      <c r="F179" s="48">
        <f t="shared" si="2"/>
        <v>8</v>
      </c>
    </row>
    <row r="180" spans="1:6" ht="15.75" x14ac:dyDescent="0.25">
      <c r="A180" s="49">
        <v>174</v>
      </c>
      <c r="B180" s="52" t="s">
        <v>216</v>
      </c>
      <c r="C180" s="53">
        <v>45</v>
      </c>
      <c r="D180" s="46"/>
      <c r="E180" s="47">
        <f>+D180+C180</f>
        <v>45</v>
      </c>
      <c r="F180" s="48">
        <f t="shared" si="2"/>
        <v>45</v>
      </c>
    </row>
    <row r="181" spans="1:6" ht="15.75" x14ac:dyDescent="0.25">
      <c r="A181" s="43">
        <v>175</v>
      </c>
      <c r="B181" s="51" t="s">
        <v>402</v>
      </c>
      <c r="C181" s="46">
        <v>8</v>
      </c>
      <c r="D181" s="46"/>
      <c r="E181" s="47">
        <f>+D181+C181</f>
        <v>8</v>
      </c>
      <c r="F181" s="48">
        <f t="shared" si="2"/>
        <v>8</v>
      </c>
    </row>
    <row r="182" spans="1:6" ht="15.75" x14ac:dyDescent="0.25">
      <c r="A182" s="49">
        <v>176</v>
      </c>
      <c r="B182" s="52" t="s">
        <v>403</v>
      </c>
      <c r="C182" s="53">
        <v>9.08</v>
      </c>
      <c r="D182" s="46"/>
      <c r="E182" s="47">
        <f>+D182+C182</f>
        <v>9.08</v>
      </c>
      <c r="F182" s="48">
        <f t="shared" si="2"/>
        <v>9.1</v>
      </c>
    </row>
    <row r="183" spans="1:6" ht="15.75" x14ac:dyDescent="0.25">
      <c r="A183" s="49">
        <v>177</v>
      </c>
      <c r="B183" s="52" t="s">
        <v>404</v>
      </c>
      <c r="C183" s="53">
        <v>82.75</v>
      </c>
      <c r="D183" s="46"/>
      <c r="E183" s="47">
        <f>+D183+C183</f>
        <v>82.75</v>
      </c>
      <c r="F183" s="48">
        <f t="shared" si="2"/>
        <v>82.8</v>
      </c>
    </row>
    <row r="184" spans="1:6" ht="15.75" x14ac:dyDescent="0.25">
      <c r="A184" s="43">
        <v>178</v>
      </c>
      <c r="B184" s="51" t="s">
        <v>405</v>
      </c>
      <c r="C184" s="46">
        <v>8</v>
      </c>
      <c r="D184" s="46"/>
      <c r="E184" s="47">
        <f>+D184+C184</f>
        <v>8</v>
      </c>
      <c r="F184" s="48">
        <f t="shared" si="2"/>
        <v>8</v>
      </c>
    </row>
    <row r="185" spans="1:6" ht="15.75" x14ac:dyDescent="0.25">
      <c r="A185" s="49">
        <v>179</v>
      </c>
      <c r="B185" s="52" t="s">
        <v>406</v>
      </c>
      <c r="C185" s="53">
        <v>52.32</v>
      </c>
      <c r="D185" s="46"/>
      <c r="E185" s="47">
        <f>+D185+C185</f>
        <v>52.32</v>
      </c>
      <c r="F185" s="48">
        <f t="shared" si="2"/>
        <v>52.3</v>
      </c>
    </row>
    <row r="186" spans="1:6" ht="15.75" x14ac:dyDescent="0.25">
      <c r="A186" s="49">
        <v>180</v>
      </c>
      <c r="B186" s="51" t="s">
        <v>407</v>
      </c>
      <c r="C186" s="46">
        <v>8</v>
      </c>
      <c r="D186" s="46"/>
      <c r="E186" s="47">
        <f>+D186+C186</f>
        <v>8</v>
      </c>
      <c r="F186" s="48">
        <f t="shared" si="2"/>
        <v>8</v>
      </c>
    </row>
    <row r="187" spans="1:6" ht="15.75" x14ac:dyDescent="0.25">
      <c r="A187" s="43">
        <v>181</v>
      </c>
      <c r="B187" s="51" t="s">
        <v>408</v>
      </c>
      <c r="C187" s="46">
        <v>8</v>
      </c>
      <c r="D187" s="46"/>
      <c r="E187" s="47">
        <f>+D187+C187</f>
        <v>8</v>
      </c>
      <c r="F187" s="48">
        <f t="shared" si="2"/>
        <v>8</v>
      </c>
    </row>
    <row r="188" spans="1:6" ht="15.75" x14ac:dyDescent="0.25">
      <c r="A188" s="49">
        <v>182</v>
      </c>
      <c r="B188" s="52" t="s">
        <v>228</v>
      </c>
      <c r="C188" s="53">
        <v>10</v>
      </c>
      <c r="D188" s="46"/>
      <c r="E188" s="47">
        <f>+D188+C188</f>
        <v>10</v>
      </c>
      <c r="F188" s="48">
        <f t="shared" si="2"/>
        <v>10</v>
      </c>
    </row>
    <row r="189" spans="1:6" ht="15.75" x14ac:dyDescent="0.25">
      <c r="A189" s="49">
        <v>183</v>
      </c>
      <c r="B189" s="51" t="s">
        <v>409</v>
      </c>
      <c r="C189" s="46">
        <v>8</v>
      </c>
      <c r="D189" s="46"/>
      <c r="E189" s="47">
        <f>+D189+C189</f>
        <v>8</v>
      </c>
      <c r="F189" s="48">
        <f t="shared" si="2"/>
        <v>8</v>
      </c>
    </row>
    <row r="190" spans="1:6" ht="15.75" x14ac:dyDescent="0.25">
      <c r="A190" s="43">
        <v>184</v>
      </c>
      <c r="B190" s="52" t="s">
        <v>237</v>
      </c>
      <c r="C190" s="53">
        <v>239.94</v>
      </c>
      <c r="D190" s="46"/>
      <c r="E190" s="47">
        <f>+D190+C190</f>
        <v>239.94</v>
      </c>
      <c r="F190" s="48">
        <f t="shared" si="2"/>
        <v>239.9</v>
      </c>
    </row>
    <row r="191" spans="1:6" ht="15.75" x14ac:dyDescent="0.25">
      <c r="A191" s="49">
        <v>185</v>
      </c>
      <c r="B191" s="52" t="s">
        <v>240</v>
      </c>
      <c r="C191" s="53">
        <v>20</v>
      </c>
      <c r="D191" s="46"/>
      <c r="E191" s="47">
        <f>+D191+C191</f>
        <v>20</v>
      </c>
      <c r="F191" s="48">
        <f t="shared" si="2"/>
        <v>20</v>
      </c>
    </row>
    <row r="192" spans="1:6" x14ac:dyDescent="0.25">
      <c r="A192" s="66"/>
      <c r="B192" s="67" t="s">
        <v>410</v>
      </c>
      <c r="C192" s="46"/>
      <c r="D192" s="46"/>
      <c r="E192" s="47"/>
      <c r="F192" s="48">
        <f t="shared" si="2"/>
        <v>0</v>
      </c>
    </row>
    <row r="193" spans="1:6" ht="15.75" x14ac:dyDescent="0.25">
      <c r="A193" s="49">
        <v>1</v>
      </c>
      <c r="B193" s="51" t="s">
        <v>411</v>
      </c>
      <c r="C193" s="46">
        <v>12</v>
      </c>
      <c r="D193" s="46"/>
      <c r="E193" s="47">
        <f>+D193+C193</f>
        <v>12</v>
      </c>
      <c r="F193" s="48">
        <f t="shared" si="2"/>
        <v>12</v>
      </c>
    </row>
    <row r="194" spans="1:6" ht="15.75" x14ac:dyDescent="0.25">
      <c r="A194" s="49">
        <v>2</v>
      </c>
      <c r="B194" s="51" t="s">
        <v>412</v>
      </c>
      <c r="C194" s="46">
        <v>15</v>
      </c>
      <c r="D194" s="46"/>
      <c r="E194" s="47">
        <f>+D194+C194</f>
        <v>15</v>
      </c>
      <c r="F194" s="48">
        <f t="shared" si="2"/>
        <v>15</v>
      </c>
    </row>
    <row r="195" spans="1:6" ht="15.75" x14ac:dyDescent="0.25">
      <c r="A195" s="49">
        <v>3</v>
      </c>
      <c r="B195" s="51" t="s">
        <v>413</v>
      </c>
      <c r="C195" s="46">
        <v>6</v>
      </c>
      <c r="D195" s="46"/>
      <c r="E195" s="47">
        <f>+D195+C195</f>
        <v>6</v>
      </c>
      <c r="F195" s="48">
        <f t="shared" si="2"/>
        <v>6</v>
      </c>
    </row>
    <row r="196" spans="1:6" ht="15.75" x14ac:dyDescent="0.25">
      <c r="A196" s="49">
        <v>4</v>
      </c>
      <c r="B196" s="51" t="s">
        <v>414</v>
      </c>
      <c r="C196" s="46">
        <v>6</v>
      </c>
      <c r="D196" s="46"/>
      <c r="E196" s="47">
        <f>+D196+C196</f>
        <v>6</v>
      </c>
      <c r="F196" s="48">
        <f t="shared" si="2"/>
        <v>6</v>
      </c>
    </row>
    <row r="197" spans="1:6" ht="15.75" x14ac:dyDescent="0.25">
      <c r="A197" s="49">
        <v>5</v>
      </c>
      <c r="B197" s="51" t="s">
        <v>415</v>
      </c>
      <c r="C197" s="46">
        <v>6</v>
      </c>
      <c r="D197" s="46"/>
      <c r="E197" s="47">
        <f>+D197+C197</f>
        <v>6</v>
      </c>
      <c r="F197" s="48">
        <f t="shared" si="2"/>
        <v>6</v>
      </c>
    </row>
    <row r="198" spans="1:6" ht="15.75" x14ac:dyDescent="0.25">
      <c r="A198" s="49">
        <v>6</v>
      </c>
      <c r="B198" s="52" t="s">
        <v>416</v>
      </c>
      <c r="C198" s="46">
        <v>6</v>
      </c>
      <c r="D198" s="46"/>
      <c r="E198" s="47">
        <f>+D198+C198</f>
        <v>6</v>
      </c>
      <c r="F198" s="48">
        <f t="shared" si="2"/>
        <v>6</v>
      </c>
    </row>
    <row r="199" spans="1:6" ht="15.75" x14ac:dyDescent="0.25">
      <c r="A199" s="49">
        <v>7</v>
      </c>
      <c r="B199" s="51" t="s">
        <v>417</v>
      </c>
      <c r="C199" s="46">
        <v>6</v>
      </c>
      <c r="D199" s="46"/>
      <c r="E199" s="47">
        <f>+D199+C199</f>
        <v>6</v>
      </c>
      <c r="F199" s="48">
        <f t="shared" si="2"/>
        <v>6</v>
      </c>
    </row>
    <row r="200" spans="1:6" ht="15.75" x14ac:dyDescent="0.25">
      <c r="A200" s="49">
        <v>8</v>
      </c>
      <c r="B200" s="51" t="s">
        <v>418</v>
      </c>
      <c r="C200" s="46">
        <v>6</v>
      </c>
      <c r="D200" s="46"/>
      <c r="E200" s="47">
        <f>+D200+C200</f>
        <v>6</v>
      </c>
      <c r="F200" s="48">
        <f t="shared" ref="F200:F255" si="3">+ROUND(E200,1)</f>
        <v>6</v>
      </c>
    </row>
    <row r="201" spans="1:6" ht="15.75" x14ac:dyDescent="0.25">
      <c r="A201" s="49">
        <v>9</v>
      </c>
      <c r="B201" s="51" t="s">
        <v>419</v>
      </c>
      <c r="C201" s="46">
        <v>6</v>
      </c>
      <c r="D201" s="46"/>
      <c r="E201" s="47">
        <f>+D201+C201</f>
        <v>6</v>
      </c>
      <c r="F201" s="48">
        <f t="shared" si="3"/>
        <v>6</v>
      </c>
    </row>
    <row r="202" spans="1:6" ht="15.75" x14ac:dyDescent="0.25">
      <c r="A202" s="49">
        <v>10</v>
      </c>
      <c r="B202" s="51" t="s">
        <v>420</v>
      </c>
      <c r="C202" s="46">
        <v>6</v>
      </c>
      <c r="D202" s="46"/>
      <c r="E202" s="47">
        <f>+D202+C202</f>
        <v>6</v>
      </c>
      <c r="F202" s="48">
        <f t="shared" si="3"/>
        <v>6</v>
      </c>
    </row>
    <row r="203" spans="1:6" ht="15.75" x14ac:dyDescent="0.25">
      <c r="A203" s="49">
        <v>11</v>
      </c>
      <c r="B203" s="51" t="s">
        <v>421</v>
      </c>
      <c r="C203" s="46">
        <v>6</v>
      </c>
      <c r="D203" s="46"/>
      <c r="E203" s="47">
        <f>+D203+C203</f>
        <v>6</v>
      </c>
      <c r="F203" s="48">
        <f t="shared" si="3"/>
        <v>6</v>
      </c>
    </row>
    <row r="204" spans="1:6" ht="15.75" x14ac:dyDescent="0.25">
      <c r="A204" s="49">
        <v>12</v>
      </c>
      <c r="B204" s="51" t="s">
        <v>422</v>
      </c>
      <c r="C204" s="46">
        <v>6</v>
      </c>
      <c r="D204" s="46"/>
      <c r="E204" s="47">
        <f>+D204+C204</f>
        <v>6</v>
      </c>
      <c r="F204" s="48">
        <f t="shared" si="3"/>
        <v>6</v>
      </c>
    </row>
    <row r="205" spans="1:6" ht="15.75" x14ac:dyDescent="0.25">
      <c r="A205" s="49">
        <v>13</v>
      </c>
      <c r="B205" s="51" t="s">
        <v>423</v>
      </c>
      <c r="C205" s="46">
        <v>6</v>
      </c>
      <c r="D205" s="46"/>
      <c r="E205" s="47">
        <f>+D205+C205</f>
        <v>6</v>
      </c>
      <c r="F205" s="48">
        <f t="shared" si="3"/>
        <v>6</v>
      </c>
    </row>
    <row r="206" spans="1:6" ht="15.75" x14ac:dyDescent="0.25">
      <c r="A206" s="49">
        <v>14</v>
      </c>
      <c r="B206" s="52" t="s">
        <v>234</v>
      </c>
      <c r="C206" s="48">
        <v>31.88</v>
      </c>
      <c r="D206" s="46"/>
      <c r="E206" s="47">
        <f>+D206+C206</f>
        <v>31.88</v>
      </c>
      <c r="F206" s="48">
        <f t="shared" si="3"/>
        <v>31.9</v>
      </c>
    </row>
    <row r="207" spans="1:6" ht="15.75" x14ac:dyDescent="0.25">
      <c r="A207" s="49">
        <v>15</v>
      </c>
      <c r="B207" s="51" t="s">
        <v>424</v>
      </c>
      <c r="C207" s="46">
        <v>6</v>
      </c>
      <c r="D207" s="46"/>
      <c r="E207" s="47">
        <f>+D207+C207</f>
        <v>6</v>
      </c>
      <c r="F207" s="48">
        <f t="shared" si="3"/>
        <v>6</v>
      </c>
    </row>
    <row r="208" spans="1:6" ht="15.75" x14ac:dyDescent="0.25">
      <c r="A208" s="49">
        <v>16</v>
      </c>
      <c r="B208" s="51" t="s">
        <v>425</v>
      </c>
      <c r="C208" s="46">
        <v>6</v>
      </c>
      <c r="D208" s="46"/>
      <c r="E208" s="47">
        <f>+D208+C208</f>
        <v>6</v>
      </c>
      <c r="F208" s="48">
        <f t="shared" si="3"/>
        <v>6</v>
      </c>
    </row>
    <row r="209" spans="1:6" ht="15.75" x14ac:dyDescent="0.25">
      <c r="A209" s="49">
        <v>17</v>
      </c>
      <c r="B209" s="51" t="s">
        <v>426</v>
      </c>
      <c r="C209" s="46">
        <v>6</v>
      </c>
      <c r="D209" s="46"/>
      <c r="E209" s="47">
        <f>+D209+C209</f>
        <v>6</v>
      </c>
      <c r="F209" s="48">
        <f t="shared" si="3"/>
        <v>6</v>
      </c>
    </row>
    <row r="210" spans="1:6" ht="15.75" x14ac:dyDescent="0.25">
      <c r="A210" s="49">
        <v>18</v>
      </c>
      <c r="B210" s="51" t="s">
        <v>427</v>
      </c>
      <c r="C210" s="46">
        <v>6</v>
      </c>
      <c r="D210" s="46"/>
      <c r="E210" s="47">
        <f>+D210+C210</f>
        <v>6</v>
      </c>
      <c r="F210" s="48">
        <f t="shared" si="3"/>
        <v>6</v>
      </c>
    </row>
    <row r="211" spans="1:6" ht="15.75" x14ac:dyDescent="0.25">
      <c r="A211" s="49">
        <v>19</v>
      </c>
      <c r="B211" s="51" t="s">
        <v>428</v>
      </c>
      <c r="C211" s="46">
        <v>6</v>
      </c>
      <c r="D211" s="46"/>
      <c r="E211" s="47">
        <f>+D211+C211</f>
        <v>6</v>
      </c>
      <c r="F211" s="48">
        <f t="shared" si="3"/>
        <v>6</v>
      </c>
    </row>
    <row r="212" spans="1:6" ht="15.75" x14ac:dyDescent="0.25">
      <c r="A212" s="49">
        <v>20</v>
      </c>
      <c r="B212" s="51" t="s">
        <v>429</v>
      </c>
      <c r="C212" s="46">
        <v>6</v>
      </c>
      <c r="D212" s="46"/>
      <c r="E212" s="47">
        <f>+D212+C212</f>
        <v>6</v>
      </c>
      <c r="F212" s="48">
        <f t="shared" si="3"/>
        <v>6</v>
      </c>
    </row>
    <row r="213" spans="1:6" ht="15.75" x14ac:dyDescent="0.25">
      <c r="A213" s="49">
        <v>21</v>
      </c>
      <c r="B213" s="51" t="s">
        <v>430</v>
      </c>
      <c r="C213" s="46">
        <v>6</v>
      </c>
      <c r="D213" s="46"/>
      <c r="E213" s="47">
        <f>+D213+C213</f>
        <v>6</v>
      </c>
      <c r="F213" s="48">
        <f t="shared" si="3"/>
        <v>6</v>
      </c>
    </row>
    <row r="214" spans="1:6" ht="15.75" x14ac:dyDescent="0.25">
      <c r="A214" s="49">
        <v>22</v>
      </c>
      <c r="B214" s="51" t="s">
        <v>431</v>
      </c>
      <c r="C214" s="46">
        <v>6</v>
      </c>
      <c r="D214" s="46"/>
      <c r="E214" s="47">
        <f>+D214+C214</f>
        <v>6</v>
      </c>
      <c r="F214" s="48">
        <f t="shared" si="3"/>
        <v>6</v>
      </c>
    </row>
    <row r="215" spans="1:6" ht="15.75" x14ac:dyDescent="0.25">
      <c r="A215" s="49">
        <v>23</v>
      </c>
      <c r="B215" s="51" t="s">
        <v>432</v>
      </c>
      <c r="C215" s="46">
        <v>6</v>
      </c>
      <c r="D215" s="46"/>
      <c r="E215" s="47">
        <f>+D215+C215</f>
        <v>6</v>
      </c>
      <c r="F215" s="48">
        <f t="shared" si="3"/>
        <v>6</v>
      </c>
    </row>
    <row r="216" spans="1:6" ht="15.75" x14ac:dyDescent="0.25">
      <c r="A216" s="49">
        <v>24</v>
      </c>
      <c r="B216" s="51" t="s">
        <v>433</v>
      </c>
      <c r="C216" s="46">
        <v>6</v>
      </c>
      <c r="D216" s="46"/>
      <c r="E216" s="47">
        <f>+D216+C216</f>
        <v>6</v>
      </c>
      <c r="F216" s="48">
        <f t="shared" si="3"/>
        <v>6</v>
      </c>
    </row>
    <row r="217" spans="1:6" ht="15.75" x14ac:dyDescent="0.25">
      <c r="A217" s="49">
        <v>25</v>
      </c>
      <c r="B217" s="51" t="s">
        <v>434</v>
      </c>
      <c r="C217" s="46">
        <v>6</v>
      </c>
      <c r="D217" s="46"/>
      <c r="E217" s="47">
        <f>+D217+C217</f>
        <v>6</v>
      </c>
      <c r="F217" s="48">
        <f t="shared" si="3"/>
        <v>6</v>
      </c>
    </row>
    <row r="218" spans="1:6" ht="15.75" x14ac:dyDescent="0.25">
      <c r="A218" s="49">
        <v>26</v>
      </c>
      <c r="B218" s="52" t="s">
        <v>245</v>
      </c>
      <c r="C218" s="48">
        <v>10.61</v>
      </c>
      <c r="D218" s="46"/>
      <c r="E218" s="47">
        <f>+D218+C218</f>
        <v>10.61</v>
      </c>
      <c r="F218" s="48">
        <f t="shared" si="3"/>
        <v>10.6</v>
      </c>
    </row>
    <row r="219" spans="1:6" ht="15.75" x14ac:dyDescent="0.25">
      <c r="A219" s="49">
        <v>27</v>
      </c>
      <c r="B219" s="51" t="s">
        <v>435</v>
      </c>
      <c r="C219" s="46">
        <v>6</v>
      </c>
      <c r="D219" s="46"/>
      <c r="E219" s="47">
        <f>+D219+C219</f>
        <v>6</v>
      </c>
      <c r="F219" s="48">
        <f t="shared" si="3"/>
        <v>6</v>
      </c>
    </row>
    <row r="220" spans="1:6" ht="15.75" x14ac:dyDescent="0.25">
      <c r="A220" s="49">
        <v>28</v>
      </c>
      <c r="B220" s="51" t="s">
        <v>436</v>
      </c>
      <c r="C220" s="46">
        <v>6</v>
      </c>
      <c r="D220" s="46"/>
      <c r="E220" s="47">
        <f>+D220+C220</f>
        <v>6</v>
      </c>
      <c r="F220" s="48">
        <f t="shared" si="3"/>
        <v>6</v>
      </c>
    </row>
    <row r="221" spans="1:6" ht="15.75" x14ac:dyDescent="0.25">
      <c r="A221" s="49">
        <v>29</v>
      </c>
      <c r="B221" s="51" t="s">
        <v>437</v>
      </c>
      <c r="C221" s="46">
        <v>6</v>
      </c>
      <c r="D221" s="46"/>
      <c r="E221" s="47">
        <f>+D221+C221</f>
        <v>6</v>
      </c>
      <c r="F221" s="48">
        <f t="shared" si="3"/>
        <v>6</v>
      </c>
    </row>
    <row r="222" spans="1:6" ht="15.75" x14ac:dyDescent="0.25">
      <c r="A222" s="49">
        <v>31</v>
      </c>
      <c r="B222" s="51" t="s">
        <v>438</v>
      </c>
      <c r="C222" s="46">
        <v>6</v>
      </c>
      <c r="D222" s="46"/>
      <c r="E222" s="47">
        <f>+D222+C222</f>
        <v>6</v>
      </c>
      <c r="F222" s="48">
        <f t="shared" si="3"/>
        <v>6</v>
      </c>
    </row>
    <row r="223" spans="1:6" ht="15.75" x14ac:dyDescent="0.25">
      <c r="A223" s="49">
        <v>32</v>
      </c>
      <c r="B223" s="51" t="s">
        <v>439</v>
      </c>
      <c r="C223" s="46">
        <v>6</v>
      </c>
      <c r="D223" s="46"/>
      <c r="E223" s="47">
        <f>+D223+C223</f>
        <v>6</v>
      </c>
      <c r="F223" s="48">
        <f t="shared" si="3"/>
        <v>6</v>
      </c>
    </row>
    <row r="224" spans="1:6" ht="15.75" x14ac:dyDescent="0.25">
      <c r="A224" s="49">
        <v>33</v>
      </c>
      <c r="B224" s="52" t="s">
        <v>248</v>
      </c>
      <c r="C224" s="48">
        <v>8</v>
      </c>
      <c r="D224" s="46"/>
      <c r="E224" s="47">
        <f>+D224+C224</f>
        <v>8</v>
      </c>
      <c r="F224" s="48">
        <f t="shared" si="3"/>
        <v>8</v>
      </c>
    </row>
    <row r="225" spans="1:6" ht="15.75" x14ac:dyDescent="0.25">
      <c r="A225" s="49">
        <v>34</v>
      </c>
      <c r="B225" s="51" t="s">
        <v>440</v>
      </c>
      <c r="C225" s="46">
        <v>6</v>
      </c>
      <c r="D225" s="46"/>
      <c r="E225" s="47">
        <f>+D225+C225</f>
        <v>6</v>
      </c>
      <c r="F225" s="48">
        <f t="shared" si="3"/>
        <v>6</v>
      </c>
    </row>
    <row r="226" spans="1:6" ht="15.75" x14ac:dyDescent="0.25">
      <c r="A226" s="49">
        <v>35</v>
      </c>
      <c r="B226" s="51" t="s">
        <v>441</v>
      </c>
      <c r="C226" s="46">
        <v>6</v>
      </c>
      <c r="D226" s="46"/>
      <c r="E226" s="47">
        <f>+D226+C226</f>
        <v>6</v>
      </c>
      <c r="F226" s="48">
        <f t="shared" si="3"/>
        <v>6</v>
      </c>
    </row>
    <row r="227" spans="1:6" ht="15.75" x14ac:dyDescent="0.25">
      <c r="A227" s="49">
        <v>36</v>
      </c>
      <c r="B227" s="51" t="s">
        <v>442</v>
      </c>
      <c r="C227" s="46">
        <v>6</v>
      </c>
      <c r="D227" s="46"/>
      <c r="E227" s="47">
        <f>+D227+C227</f>
        <v>6</v>
      </c>
      <c r="F227" s="48">
        <f t="shared" si="3"/>
        <v>6</v>
      </c>
    </row>
    <row r="228" spans="1:6" ht="15.75" x14ac:dyDescent="0.25">
      <c r="A228" s="49">
        <v>37</v>
      </c>
      <c r="B228" s="51" t="s">
        <v>443</v>
      </c>
      <c r="C228" s="46">
        <v>6</v>
      </c>
      <c r="D228" s="46"/>
      <c r="E228" s="47">
        <f>+D228+C228</f>
        <v>6</v>
      </c>
      <c r="F228" s="48">
        <f t="shared" si="3"/>
        <v>6</v>
      </c>
    </row>
    <row r="229" spans="1:6" ht="15.75" x14ac:dyDescent="0.25">
      <c r="A229" s="49">
        <v>38</v>
      </c>
      <c r="B229" s="51" t="s">
        <v>444</v>
      </c>
      <c r="C229" s="46">
        <v>6</v>
      </c>
      <c r="D229" s="46"/>
      <c r="E229" s="47">
        <f>+D229+C229</f>
        <v>6</v>
      </c>
      <c r="F229" s="48">
        <f t="shared" si="3"/>
        <v>6</v>
      </c>
    </row>
    <row r="230" spans="1:6" ht="15.75" x14ac:dyDescent="0.25">
      <c r="A230" s="49">
        <v>39</v>
      </c>
      <c r="B230" s="51" t="s">
        <v>445</v>
      </c>
      <c r="C230" s="46">
        <v>6</v>
      </c>
      <c r="D230" s="46"/>
      <c r="E230" s="47">
        <f>+D230+C230</f>
        <v>6</v>
      </c>
      <c r="F230" s="48">
        <f t="shared" si="3"/>
        <v>6</v>
      </c>
    </row>
    <row r="231" spans="1:6" ht="15.75" x14ac:dyDescent="0.25">
      <c r="A231" s="49">
        <v>40</v>
      </c>
      <c r="B231" s="51" t="s">
        <v>446</v>
      </c>
      <c r="C231" s="46">
        <v>6</v>
      </c>
      <c r="D231" s="46"/>
      <c r="E231" s="47">
        <f>+D231+C231</f>
        <v>6</v>
      </c>
      <c r="F231" s="48">
        <f t="shared" si="3"/>
        <v>6</v>
      </c>
    </row>
    <row r="232" spans="1:6" ht="15.75" x14ac:dyDescent="0.25">
      <c r="A232" s="49">
        <v>41</v>
      </c>
      <c r="B232" s="51" t="s">
        <v>447</v>
      </c>
      <c r="C232" s="46">
        <v>6</v>
      </c>
      <c r="D232" s="46"/>
      <c r="E232" s="47">
        <f>+D232+C232</f>
        <v>6</v>
      </c>
      <c r="F232" s="48">
        <f t="shared" si="3"/>
        <v>6</v>
      </c>
    </row>
    <row r="233" spans="1:6" ht="15.75" x14ac:dyDescent="0.25">
      <c r="A233" s="49">
        <v>42</v>
      </c>
      <c r="B233" s="51" t="s">
        <v>448</v>
      </c>
      <c r="C233" s="46">
        <v>6</v>
      </c>
      <c r="D233" s="46"/>
      <c r="E233" s="47">
        <f>+D233+C233</f>
        <v>6</v>
      </c>
      <c r="F233" s="48">
        <f t="shared" si="3"/>
        <v>6</v>
      </c>
    </row>
    <row r="234" spans="1:6" ht="15.75" x14ac:dyDescent="0.25">
      <c r="A234" s="49">
        <v>43</v>
      </c>
      <c r="B234" s="51" t="s">
        <v>449</v>
      </c>
      <c r="C234" s="46">
        <v>6</v>
      </c>
      <c r="D234" s="46"/>
      <c r="E234" s="47">
        <f>+D234+C234</f>
        <v>6</v>
      </c>
      <c r="F234" s="48">
        <f t="shared" si="3"/>
        <v>6</v>
      </c>
    </row>
    <row r="235" spans="1:6" ht="15.75" x14ac:dyDescent="0.25">
      <c r="A235" s="49">
        <v>44</v>
      </c>
      <c r="B235" s="51" t="s">
        <v>450</v>
      </c>
      <c r="C235" s="46">
        <v>6</v>
      </c>
      <c r="D235" s="46"/>
      <c r="E235" s="47">
        <f>+D235+C235</f>
        <v>6</v>
      </c>
      <c r="F235" s="48">
        <f t="shared" si="3"/>
        <v>6</v>
      </c>
    </row>
    <row r="236" spans="1:6" ht="15.75" x14ac:dyDescent="0.25">
      <c r="A236" s="49">
        <v>45</v>
      </c>
      <c r="B236" s="51" t="s">
        <v>451</v>
      </c>
      <c r="C236" s="46">
        <v>6</v>
      </c>
      <c r="D236" s="46"/>
      <c r="E236" s="47">
        <f>+D236+C236</f>
        <v>6</v>
      </c>
      <c r="F236" s="48">
        <f t="shared" si="3"/>
        <v>6</v>
      </c>
    </row>
    <row r="237" spans="1:6" ht="15.75" x14ac:dyDescent="0.25">
      <c r="A237" s="49">
        <v>46</v>
      </c>
      <c r="B237" s="51" t="s">
        <v>452</v>
      </c>
      <c r="C237" s="46">
        <v>6</v>
      </c>
      <c r="D237" s="46"/>
      <c r="E237" s="47">
        <f>+D237+C237</f>
        <v>6</v>
      </c>
      <c r="F237" s="48">
        <f t="shared" si="3"/>
        <v>6</v>
      </c>
    </row>
    <row r="238" spans="1:6" ht="15.75" x14ac:dyDescent="0.25">
      <c r="A238" s="56">
        <v>47</v>
      </c>
      <c r="B238" s="52" t="s">
        <v>247</v>
      </c>
      <c r="C238" s="48">
        <v>10</v>
      </c>
      <c r="D238" s="46"/>
      <c r="E238" s="47">
        <f>+D238+C238</f>
        <v>10</v>
      </c>
      <c r="F238" s="48">
        <f t="shared" si="3"/>
        <v>10</v>
      </c>
    </row>
    <row r="239" spans="1:6" ht="15.75" x14ac:dyDescent="0.25">
      <c r="A239" s="49">
        <v>48</v>
      </c>
      <c r="B239" s="51" t="s">
        <v>453</v>
      </c>
      <c r="C239" s="46">
        <v>6</v>
      </c>
      <c r="D239" s="46"/>
      <c r="E239" s="47">
        <f>+D239+C239</f>
        <v>6</v>
      </c>
      <c r="F239" s="48">
        <f t="shared" si="3"/>
        <v>6</v>
      </c>
    </row>
    <row r="240" spans="1:6" ht="15.75" x14ac:dyDescent="0.25">
      <c r="A240" s="49">
        <v>49</v>
      </c>
      <c r="B240" s="51" t="s">
        <v>454</v>
      </c>
      <c r="C240" s="46">
        <v>6</v>
      </c>
      <c r="D240" s="46"/>
      <c r="E240" s="47">
        <f>+D240+C240</f>
        <v>6</v>
      </c>
      <c r="F240" s="48">
        <f t="shared" si="3"/>
        <v>6</v>
      </c>
    </row>
    <row r="241" spans="1:6" ht="15.75" x14ac:dyDescent="0.25">
      <c r="A241" s="49">
        <v>50</v>
      </c>
      <c r="B241" s="51" t="s">
        <v>455</v>
      </c>
      <c r="C241" s="46">
        <v>6</v>
      </c>
      <c r="D241" s="46"/>
      <c r="E241" s="47">
        <f>+D241+C241</f>
        <v>6</v>
      </c>
      <c r="F241" s="48">
        <f t="shared" si="3"/>
        <v>6</v>
      </c>
    </row>
    <row r="242" spans="1:6" ht="15.75" x14ac:dyDescent="0.25">
      <c r="A242" s="49">
        <v>51</v>
      </c>
      <c r="B242" s="51" t="s">
        <v>456</v>
      </c>
      <c r="C242" s="46">
        <v>6</v>
      </c>
      <c r="D242" s="46"/>
      <c r="E242" s="47">
        <f>+D242+C242</f>
        <v>6</v>
      </c>
      <c r="F242" s="48">
        <f t="shared" si="3"/>
        <v>6</v>
      </c>
    </row>
    <row r="243" spans="1:6" ht="15.75" x14ac:dyDescent="0.25">
      <c r="A243" s="49">
        <v>53</v>
      </c>
      <c r="B243" s="51" t="s">
        <v>457</v>
      </c>
      <c r="C243" s="46">
        <v>6</v>
      </c>
      <c r="D243" s="46"/>
      <c r="E243" s="47">
        <f>+D243+C243</f>
        <v>6</v>
      </c>
      <c r="F243" s="48">
        <f t="shared" si="3"/>
        <v>6</v>
      </c>
    </row>
    <row r="244" spans="1:6" ht="15.75" x14ac:dyDescent="0.25">
      <c r="A244" s="49">
        <v>54</v>
      </c>
      <c r="B244" s="51" t="s">
        <v>458</v>
      </c>
      <c r="C244" s="46">
        <v>6</v>
      </c>
      <c r="D244" s="46"/>
      <c r="E244" s="47">
        <f>+D244+C244</f>
        <v>6</v>
      </c>
      <c r="F244" s="48">
        <f t="shared" si="3"/>
        <v>6</v>
      </c>
    </row>
    <row r="245" spans="1:6" ht="15.75" x14ac:dyDescent="0.25">
      <c r="A245" s="49">
        <v>55</v>
      </c>
      <c r="B245" s="51" t="s">
        <v>459</v>
      </c>
      <c r="C245" s="46">
        <v>6</v>
      </c>
      <c r="D245" s="46"/>
      <c r="E245" s="47">
        <f>+D245+C245</f>
        <v>6</v>
      </c>
      <c r="F245" s="48">
        <f t="shared" si="3"/>
        <v>6</v>
      </c>
    </row>
    <row r="246" spans="1:6" ht="15.75" x14ac:dyDescent="0.25">
      <c r="A246" s="49">
        <v>56</v>
      </c>
      <c r="B246" s="51" t="s">
        <v>460</v>
      </c>
      <c r="C246" s="46">
        <v>6</v>
      </c>
      <c r="D246" s="46"/>
      <c r="E246" s="47">
        <f>+D246+C246</f>
        <v>6</v>
      </c>
      <c r="F246" s="48">
        <f t="shared" si="3"/>
        <v>6</v>
      </c>
    </row>
    <row r="247" spans="1:6" ht="15.75" x14ac:dyDescent="0.25">
      <c r="A247" s="49">
        <v>57</v>
      </c>
      <c r="B247" s="51" t="s">
        <v>461</v>
      </c>
      <c r="C247" s="46">
        <v>6</v>
      </c>
      <c r="D247" s="46"/>
      <c r="E247" s="47">
        <f>+D247+C247</f>
        <v>6</v>
      </c>
      <c r="F247" s="48">
        <f t="shared" si="3"/>
        <v>6</v>
      </c>
    </row>
    <row r="248" spans="1:6" ht="15.75" x14ac:dyDescent="0.25">
      <c r="A248" s="49">
        <v>58</v>
      </c>
      <c r="B248" s="51" t="s">
        <v>462</v>
      </c>
      <c r="C248" s="46">
        <v>6</v>
      </c>
      <c r="D248" s="46"/>
      <c r="E248" s="47">
        <f>+D248+C248</f>
        <v>6</v>
      </c>
      <c r="F248" s="48">
        <f t="shared" si="3"/>
        <v>6</v>
      </c>
    </row>
    <row r="249" spans="1:6" ht="15.75" x14ac:dyDescent="0.25">
      <c r="A249" s="49">
        <v>59</v>
      </c>
      <c r="B249" s="51" t="s">
        <v>463</v>
      </c>
      <c r="C249" s="46">
        <v>6</v>
      </c>
      <c r="D249" s="46"/>
      <c r="E249" s="47">
        <f>+D249+C249</f>
        <v>6</v>
      </c>
      <c r="F249" s="48">
        <f t="shared" si="3"/>
        <v>6</v>
      </c>
    </row>
    <row r="250" spans="1:6" ht="15.75" x14ac:dyDescent="0.25">
      <c r="A250" s="49">
        <v>62</v>
      </c>
      <c r="B250" s="51" t="s">
        <v>464</v>
      </c>
      <c r="C250" s="46">
        <v>6</v>
      </c>
      <c r="D250" s="46"/>
      <c r="E250" s="47">
        <f>+D250+C250</f>
        <v>6</v>
      </c>
      <c r="F250" s="48">
        <f t="shared" si="3"/>
        <v>6</v>
      </c>
    </row>
    <row r="251" spans="1:6" ht="15.75" x14ac:dyDescent="0.25">
      <c r="A251" s="49">
        <v>63</v>
      </c>
      <c r="B251" s="51" t="s">
        <v>465</v>
      </c>
      <c r="C251" s="46">
        <v>6</v>
      </c>
      <c r="D251" s="46"/>
      <c r="E251" s="47">
        <f>+D251+C251</f>
        <v>6</v>
      </c>
      <c r="F251" s="48">
        <f t="shared" si="3"/>
        <v>6</v>
      </c>
    </row>
    <row r="252" spans="1:6" ht="15.75" x14ac:dyDescent="0.25">
      <c r="A252" s="49">
        <v>64</v>
      </c>
      <c r="B252" s="51" t="s">
        <v>466</v>
      </c>
      <c r="C252" s="46">
        <v>6</v>
      </c>
      <c r="D252" s="46"/>
      <c r="E252" s="47">
        <f>+D252+C252</f>
        <v>6</v>
      </c>
      <c r="F252" s="48">
        <f t="shared" si="3"/>
        <v>6</v>
      </c>
    </row>
    <row r="253" spans="1:6" ht="15.75" x14ac:dyDescent="0.25">
      <c r="A253" s="49">
        <v>65</v>
      </c>
      <c r="B253" s="51" t="s">
        <v>467</v>
      </c>
      <c r="C253" s="46">
        <v>6</v>
      </c>
      <c r="D253" s="46"/>
      <c r="E253" s="47">
        <f>+D253+C253</f>
        <v>6</v>
      </c>
      <c r="F253" s="48">
        <f t="shared" si="3"/>
        <v>6</v>
      </c>
    </row>
    <row r="254" spans="1:6" ht="15.75" x14ac:dyDescent="0.25">
      <c r="A254" s="68"/>
      <c r="B254" s="69"/>
      <c r="C254" s="46"/>
      <c r="D254" s="70"/>
      <c r="E254" s="47">
        <f>+D254+C254</f>
        <v>0</v>
      </c>
      <c r="F254" s="48">
        <f t="shared" si="3"/>
        <v>0</v>
      </c>
    </row>
    <row r="255" spans="1:6" ht="15.75" thickBot="1" x14ac:dyDescent="0.3">
      <c r="A255" s="71"/>
      <c r="B255" s="72" t="s">
        <v>470</v>
      </c>
      <c r="C255" s="46">
        <v>5550.69</v>
      </c>
      <c r="D255" s="70"/>
      <c r="E255" s="47">
        <f>+D255+C255</f>
        <v>5550.69</v>
      </c>
      <c r="F255" s="48">
        <f t="shared" si="3"/>
        <v>5550.7</v>
      </c>
    </row>
    <row r="256" spans="1:6" ht="16.5" thickBot="1" x14ac:dyDescent="0.3">
      <c r="A256" s="73"/>
      <c r="B256" s="74" t="s">
        <v>263</v>
      </c>
      <c r="C256" s="75">
        <f>SUM(C7:C255)</f>
        <v>10750.599999999999</v>
      </c>
      <c r="D256" s="75">
        <f t="shared" ref="D256:F256" si="4">SUM(D7:D255)</f>
        <v>0</v>
      </c>
      <c r="E256" s="76">
        <f t="shared" si="4"/>
        <v>10750.599999999999</v>
      </c>
      <c r="F256" s="77">
        <f t="shared" si="4"/>
        <v>10750.900000000001</v>
      </c>
    </row>
    <row r="257" spans="1:6" ht="16.5" thickBot="1" x14ac:dyDescent="0.3">
      <c r="A257" s="78"/>
      <c r="B257" s="79" t="s">
        <v>468</v>
      </c>
      <c r="C257" s="75">
        <v>10750.6</v>
      </c>
      <c r="D257" s="80"/>
      <c r="E257" s="42"/>
      <c r="F257" s="80"/>
    </row>
    <row r="258" spans="1:6" ht="16.5" thickBot="1" x14ac:dyDescent="0.3">
      <c r="A258" s="78"/>
      <c r="B258" s="79" t="s">
        <v>469</v>
      </c>
      <c r="C258" s="75"/>
      <c r="D258" s="80"/>
      <c r="E258" s="42"/>
      <c r="F258" s="42"/>
    </row>
  </sheetData>
  <mergeCells count="7">
    <mergeCell ref="A2:F3"/>
    <mergeCell ref="A5:A6"/>
    <mergeCell ref="B5:B6"/>
    <mergeCell ref="C5:C6"/>
    <mergeCell ref="D5:D6"/>
    <mergeCell ref="E5:E6"/>
    <mergeCell ref="F5:F6"/>
  </mergeCells>
  <pageMargins left="0.51181102362204722" right="0.51181102362204722" top="0.35433070866141736" bottom="0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AGUA OCTUBRE CON MEDIDORES</vt:lpstr>
      <vt:lpstr>Agua de octubre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cooperativa primero de mayo</dc:creator>
  <cp:lastModifiedBy>Oscar Alfredo Paredes Flores</cp:lastModifiedBy>
  <cp:lastPrinted>2025-11-15T16:49:21Z</cp:lastPrinted>
  <dcterms:created xsi:type="dcterms:W3CDTF">2025-09-13T16:16:20Z</dcterms:created>
  <dcterms:modified xsi:type="dcterms:W3CDTF">2025-11-15T16:52:59Z</dcterms:modified>
</cp:coreProperties>
</file>