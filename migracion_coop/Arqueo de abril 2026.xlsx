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da95182cb3f82b/Desktop/Arqueo 2026/"/>
    </mc:Choice>
  </mc:AlternateContent>
  <xr:revisionPtr revIDLastSave="134" documentId="13_ncr:1_{A0CFFEB9-2FF5-453C-B36E-FD19DC021DCD}" xr6:coauthVersionLast="47" xr6:coauthVersionMax="47" xr10:uidLastSave="{141CB270-50DB-478E-AB3E-53F212037D98}"/>
  <bookViews>
    <workbookView xWindow="390" yWindow="0" windowWidth="21735" windowHeight="15480" xr2:uid="{93C29D74-2743-46E1-8DBF-BFDD7A09026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33" i="1" l="1"/>
  <c r="AF33" i="1"/>
  <c r="L35" i="1"/>
  <c r="M35" i="1"/>
  <c r="X35" i="1"/>
  <c r="Y35" i="1"/>
  <c r="AO31" i="1"/>
  <c r="AO32" i="1" s="1"/>
  <c r="AF31" i="1"/>
  <c r="AF32" i="1" s="1"/>
  <c r="AO30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S35" i="1"/>
  <c r="T35" i="1"/>
  <c r="U35" i="1"/>
  <c r="V35" i="1"/>
  <c r="W35" i="1"/>
  <c r="E35" i="1"/>
  <c r="F35" i="1"/>
  <c r="G35" i="1"/>
  <c r="H35" i="1"/>
  <c r="I35" i="1"/>
  <c r="J35" i="1"/>
  <c r="K35" i="1"/>
  <c r="C35" i="1"/>
  <c r="C35" i="2"/>
  <c r="D35" i="2"/>
  <c r="E35" i="2"/>
  <c r="F35" i="2"/>
  <c r="G35" i="2"/>
  <c r="H35" i="2"/>
  <c r="J35" i="2"/>
  <c r="K35" i="2"/>
  <c r="L35" i="2"/>
  <c r="M35" i="2"/>
  <c r="N35" i="2"/>
  <c r="O35" i="2"/>
  <c r="P35" i="2"/>
  <c r="B3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4" i="2"/>
  <c r="Q5" i="2"/>
  <c r="AI11" i="1"/>
  <c r="Q35" i="2" l="1"/>
  <c r="AP35" i="1"/>
  <c r="AN35" i="1"/>
  <c r="AM35" i="1"/>
  <c r="AL35" i="1"/>
  <c r="AK35" i="1"/>
  <c r="AJ35" i="1"/>
  <c r="AH35" i="1"/>
  <c r="AE35" i="1"/>
  <c r="AC35" i="1"/>
  <c r="AB35" i="1"/>
  <c r="R35" i="1"/>
  <c r="Q35" i="1"/>
  <c r="P35" i="1"/>
  <c r="O35" i="1"/>
  <c r="N35" i="1"/>
  <c r="B35" i="1"/>
  <c r="AI34" i="1"/>
  <c r="Z34" i="1"/>
  <c r="AA34" i="1" s="1"/>
  <c r="AG34" i="1" s="1"/>
  <c r="AI33" i="1"/>
  <c r="Z33" i="1"/>
  <c r="D33" i="1"/>
  <c r="AI32" i="1"/>
  <c r="Z32" i="1"/>
  <c r="D32" i="1"/>
  <c r="AI31" i="1"/>
  <c r="Z31" i="1"/>
  <c r="D31" i="1"/>
  <c r="AI30" i="1"/>
  <c r="D30" i="1"/>
  <c r="AI29" i="1"/>
  <c r="D29" i="1"/>
  <c r="AI28" i="1"/>
  <c r="D28" i="1"/>
  <c r="AI27" i="1"/>
  <c r="D27" i="1"/>
  <c r="AI26" i="1"/>
  <c r="D26" i="1"/>
  <c r="AI25" i="1"/>
  <c r="D25" i="1"/>
  <c r="AI24" i="1"/>
  <c r="D24" i="1"/>
  <c r="AI23" i="1"/>
  <c r="D23" i="1"/>
  <c r="AI22" i="1"/>
  <c r="D22" i="1"/>
  <c r="AI21" i="1"/>
  <c r="AA21" i="1"/>
  <c r="AG21" i="1" s="1"/>
  <c r="AI20" i="1"/>
  <c r="D20" i="1"/>
  <c r="AI19" i="1"/>
  <c r="D19" i="1"/>
  <c r="AI18" i="1"/>
  <c r="D18" i="1"/>
  <c r="AI17" i="1"/>
  <c r="D17" i="1"/>
  <c r="AI16" i="1"/>
  <c r="D16" i="1"/>
  <c r="AI15" i="1"/>
  <c r="D15" i="1"/>
  <c r="AI14" i="1"/>
  <c r="D14" i="1"/>
  <c r="AI13" i="1"/>
  <c r="D13" i="1"/>
  <c r="AI12" i="1"/>
  <c r="D12" i="1"/>
  <c r="D11" i="1"/>
  <c r="AI10" i="1"/>
  <c r="D10" i="1"/>
  <c r="AI9" i="1"/>
  <c r="D9" i="1"/>
  <c r="AI8" i="1"/>
  <c r="D8" i="1"/>
  <c r="AI7" i="1"/>
  <c r="D7" i="1"/>
  <c r="AI6" i="1"/>
  <c r="D6" i="1"/>
  <c r="AI5" i="1"/>
  <c r="D5" i="1"/>
  <c r="AI4" i="1"/>
  <c r="D4" i="1"/>
  <c r="AA33" i="1" l="1"/>
  <c r="AD33" i="1" s="1"/>
  <c r="AA29" i="1"/>
  <c r="AG29" i="1" s="1"/>
  <c r="Z35" i="1"/>
  <c r="AA19" i="1"/>
  <c r="AD19" i="1" s="1"/>
  <c r="AA24" i="1"/>
  <c r="AG24" i="1" s="1"/>
  <c r="AA32" i="1"/>
  <c r="AG32" i="1" s="1"/>
  <c r="AA17" i="1"/>
  <c r="AG17" i="1" s="1"/>
  <c r="AA13" i="1"/>
  <c r="AD13" i="1" s="1"/>
  <c r="AA16" i="1"/>
  <c r="AG16" i="1" s="1"/>
  <c r="AA20" i="1"/>
  <c r="AG20" i="1" s="1"/>
  <c r="AA11" i="1"/>
  <c r="AD11" i="1" s="1"/>
  <c r="AA8" i="1"/>
  <c r="AG8" i="1" s="1"/>
  <c r="AA7" i="1"/>
  <c r="AG7" i="1" s="1"/>
  <c r="AA27" i="1"/>
  <c r="AD27" i="1" s="1"/>
  <c r="AA5" i="1"/>
  <c r="AD5" i="1" s="1"/>
  <c r="AI35" i="1"/>
  <c r="AA23" i="1"/>
  <c r="AG23" i="1" s="1"/>
  <c r="AA10" i="1"/>
  <c r="AD10" i="1" s="1"/>
  <c r="AA14" i="1"/>
  <c r="AG14" i="1" s="1"/>
  <c r="AA26" i="1"/>
  <c r="AG26" i="1" s="1"/>
  <c r="AA30" i="1"/>
  <c r="AD30" i="1" s="1"/>
  <c r="D35" i="1"/>
  <c r="AA28" i="1"/>
  <c r="AG28" i="1" s="1"/>
  <c r="AA18" i="1"/>
  <c r="AD18" i="1" s="1"/>
  <c r="AA25" i="1"/>
  <c r="AG25" i="1" s="1"/>
  <c r="AA22" i="1"/>
  <c r="AG22" i="1" s="1"/>
  <c r="AA12" i="1"/>
  <c r="AD12" i="1" s="1"/>
  <c r="AA31" i="1"/>
  <c r="AD31" i="1" s="1"/>
  <c r="AA9" i="1"/>
  <c r="AD9" i="1" s="1"/>
  <c r="AA15" i="1"/>
  <c r="AD15" i="1" s="1"/>
  <c r="AA6" i="1"/>
  <c r="AD34" i="1"/>
  <c r="AA4" i="1"/>
  <c r="AD21" i="1"/>
  <c r="AG33" i="1" l="1"/>
  <c r="AD32" i="1"/>
  <c r="AD29" i="1"/>
  <c r="AD24" i="1"/>
  <c r="AG19" i="1"/>
  <c r="AD17" i="1"/>
  <c r="AD20" i="1"/>
  <c r="AD16" i="1"/>
  <c r="AG27" i="1"/>
  <c r="AD8" i="1"/>
  <c r="AG13" i="1"/>
  <c r="AD7" i="1"/>
  <c r="AG10" i="1"/>
  <c r="AG11" i="1"/>
  <c r="AD23" i="1"/>
  <c r="AG5" i="1"/>
  <c r="AD14" i="1"/>
  <c r="AD26" i="1"/>
  <c r="AG30" i="1"/>
  <c r="AD25" i="1"/>
  <c r="AD22" i="1"/>
  <c r="AG18" i="1"/>
  <c r="AD28" i="1"/>
  <c r="AG31" i="1"/>
  <c r="AG15" i="1"/>
  <c r="AG9" i="1"/>
  <c r="AG12" i="1"/>
  <c r="AD4" i="1"/>
  <c r="AF4" i="1" s="1"/>
  <c r="AF5" i="1" s="1"/>
  <c r="AG4" i="1"/>
  <c r="AA35" i="1"/>
  <c r="AG6" i="1"/>
  <c r="AD6" i="1"/>
  <c r="AF6" i="1" l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G35" i="1"/>
  <c r="AO4" i="1"/>
  <c r="AO5" i="1" s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D35" i="1"/>
</calcChain>
</file>

<file path=xl/sharedStrings.xml><?xml version="1.0" encoding="utf-8"?>
<sst xmlns="http://schemas.openxmlformats.org/spreadsheetml/2006/main" count="65" uniqueCount="49">
  <si>
    <t>FECHA</t>
  </si>
  <si>
    <t xml:space="preserve">COBRADOR - </t>
  </si>
  <si>
    <t>INQUILINOS</t>
  </si>
  <si>
    <t>TOTAL INGRESO SECRETARIA</t>
  </si>
  <si>
    <t>TOTAL. INGR. OFICINA</t>
  </si>
  <si>
    <t>EGRESO de oficina</t>
  </si>
  <si>
    <t>SALDO DIARIO DE CAJA</t>
  </si>
  <si>
    <t>SALDO ACUM. CAJA. FÁTIMA</t>
  </si>
  <si>
    <t>SALDO ACUM. TOTAL</t>
  </si>
  <si>
    <t>SOCIOS</t>
  </si>
  <si>
    <t>SS.HH 1er PISO</t>
  </si>
  <si>
    <t>luz</t>
  </si>
  <si>
    <t>agua</t>
  </si>
  <si>
    <t>TICKET</t>
  </si>
  <si>
    <t>espacio</t>
  </si>
  <si>
    <t>PARQUEO</t>
  </si>
  <si>
    <t>alquiler 2do piso</t>
  </si>
  <si>
    <t>alquiler</t>
  </si>
  <si>
    <t>EGRESO DE Santa Rosa</t>
  </si>
  <si>
    <t>INGRESO CAJA Y BANCO</t>
  </si>
  <si>
    <t>GASTO DE LA CTA. CTE.</t>
  </si>
  <si>
    <t>GASTO CAJA Y BANCO</t>
  </si>
  <si>
    <t>BOVEDA PRESIDENTE</t>
  </si>
  <si>
    <t>ACTIVIDAD SATA ROSA 2024</t>
  </si>
  <si>
    <t>ACTIVIDAD SATA ROSA 2025</t>
  </si>
  <si>
    <t>LIMOSNA STA ROSA</t>
  </si>
  <si>
    <t>DEPOSITO AL BANCO</t>
  </si>
  <si>
    <t>DOLARES</t>
  </si>
  <si>
    <t>Luz</t>
  </si>
  <si>
    <t>Agua</t>
  </si>
  <si>
    <t>G. Adm.</t>
  </si>
  <si>
    <t>P.S.</t>
  </si>
  <si>
    <t>Deposito</t>
  </si>
  <si>
    <t>otros (multa Cap.)</t>
  </si>
  <si>
    <t>talonari santa rosa</t>
  </si>
  <si>
    <t>fallecimt</t>
  </si>
  <si>
    <t>deposito</t>
  </si>
  <si>
    <t xml:space="preserve">INGRESO BBVA </t>
  </si>
  <si>
    <t>TOTAL INGRESO BANCO BBVA</t>
  </si>
  <si>
    <t>GARANTIA</t>
  </si>
  <si>
    <t>M. Capacit.</t>
  </si>
  <si>
    <t>fallecimt.</t>
  </si>
  <si>
    <t>Inicial</t>
  </si>
  <si>
    <t>Deposito BBVA en QR</t>
  </si>
  <si>
    <t>multa</t>
  </si>
  <si>
    <t>talonari sta. Rosa</t>
  </si>
  <si>
    <t>fumigacion</t>
  </si>
  <si>
    <t>fumig.</t>
  </si>
  <si>
    <t>tal. sta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</si>
</sst>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43" fontId="2" fillId="0" borderId="6" xfId="2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3" fontId="2" fillId="0" borderId="10" xfId="2" applyFont="1" applyFill="1" applyBorder="1" applyAlignment="1">
      <alignment horizontal="center" vertical="center" wrapText="1"/>
    </xf>
    <xf numFmtId="43" fontId="2" fillId="0" borderId="11" xfId="2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43" fontId="6" fillId="0" borderId="15" xfId="2" applyFont="1" applyFill="1" applyBorder="1"/>
    <xf numFmtId="43" fontId="2" fillId="0" borderId="15" xfId="2" applyFont="1" applyFill="1" applyBorder="1"/>
    <xf numFmtId="0" fontId="6" fillId="0" borderId="0" xfId="0" applyFont="1"/>
    <xf numFmtId="43" fontId="7" fillId="0" borderId="15" xfId="2" applyFont="1" applyFill="1" applyBorder="1"/>
    <xf numFmtId="43" fontId="8" fillId="0" borderId="16" xfId="2" applyFont="1" applyFill="1" applyBorder="1"/>
    <xf numFmtId="43" fontId="8" fillId="0" borderId="17" xfId="2" applyFont="1" applyFill="1" applyBorder="1"/>
    <xf numFmtId="14" fontId="9" fillId="0" borderId="16" xfId="0" applyNumberFormat="1" applyFont="1" applyBorder="1"/>
    <xf numFmtId="43" fontId="10" fillId="0" borderId="16" xfId="2" applyFont="1" applyFill="1" applyBorder="1"/>
    <xf numFmtId="43" fontId="11" fillId="0" borderId="16" xfId="2" applyFont="1" applyFill="1" applyBorder="1"/>
    <xf numFmtId="43" fontId="6" fillId="0" borderId="0" xfId="1" applyFont="1"/>
    <xf numFmtId="43" fontId="11" fillId="2" borderId="16" xfId="2" applyFont="1" applyFill="1" applyBorder="1"/>
    <xf numFmtId="43" fontId="12" fillId="0" borderId="16" xfId="0" applyNumberFormat="1" applyFont="1" applyBorder="1"/>
    <xf numFmtId="43" fontId="13" fillId="0" borderId="16" xfId="2" applyFont="1" applyFill="1" applyBorder="1"/>
    <xf numFmtId="43" fontId="9" fillId="0" borderId="16" xfId="2" applyFont="1" applyFill="1" applyBorder="1"/>
    <xf numFmtId="43" fontId="0" fillId="0" borderId="0" xfId="1" applyFont="1"/>
    <xf numFmtId="43" fontId="11" fillId="0" borderId="17" xfId="2" applyFont="1" applyFill="1" applyBorder="1"/>
    <xf numFmtId="43" fontId="12" fillId="0" borderId="18" xfId="0" applyNumberFormat="1" applyFont="1" applyBorder="1"/>
    <xf numFmtId="43" fontId="12" fillId="0" borderId="19" xfId="0" applyNumberFormat="1" applyFont="1" applyBorder="1"/>
    <xf numFmtId="43" fontId="11" fillId="0" borderId="15" xfId="2" applyFont="1" applyFill="1" applyBorder="1"/>
    <xf numFmtId="0" fontId="12" fillId="0" borderId="0" xfId="0" applyFont="1"/>
    <xf numFmtId="43" fontId="12" fillId="0" borderId="0" xfId="0" applyNumberFormat="1" applyFont="1"/>
    <xf numFmtId="43" fontId="7" fillId="0" borderId="15" xfId="1" applyFont="1" applyFill="1" applyBorder="1"/>
    <xf numFmtId="43" fontId="6" fillId="0" borderId="0" xfId="2" applyFont="1" applyFill="1" applyBorder="1"/>
    <xf numFmtId="0" fontId="2" fillId="0" borderId="16" xfId="0" applyFont="1" applyBorder="1" applyAlignment="1">
      <alignment horizontal="center" vertical="center" wrapText="1"/>
    </xf>
    <xf numFmtId="0" fontId="0" fillId="0" borderId="16" xfId="0" applyBorder="1"/>
    <xf numFmtId="14" fontId="0" fillId="0" borderId="16" xfId="0" applyNumberFormat="1" applyBorder="1"/>
    <xf numFmtId="0" fontId="0" fillId="0" borderId="16" xfId="0" applyBorder="1" applyAlignment="1">
      <alignment horizontal="center"/>
    </xf>
    <xf numFmtId="43" fontId="0" fillId="0" borderId="16" xfId="1" applyFont="1" applyBorder="1"/>
    <xf numFmtId="43" fontId="12" fillId="0" borderId="16" xfId="1" applyFont="1" applyBorder="1"/>
    <xf numFmtId="43" fontId="0" fillId="0" borderId="0" xfId="0" applyNumberFormat="1"/>
    <xf numFmtId="0" fontId="6" fillId="0" borderId="1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3" fontId="14" fillId="0" borderId="16" xfId="1" applyFont="1" applyBorder="1"/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3" fontId="2" fillId="0" borderId="2" xfId="2" applyFont="1" applyFill="1" applyBorder="1" applyAlignment="1">
      <alignment horizontal="center" vertical="center" wrapText="1"/>
    </xf>
    <xf numFmtId="43" fontId="2" fillId="0" borderId="3" xfId="2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3" fontId="2" fillId="0" borderId="6" xfId="2" applyFont="1" applyFill="1" applyBorder="1" applyAlignment="1">
      <alignment horizontal="center" vertical="center" wrapText="1"/>
    </xf>
    <xf numFmtId="43" fontId="2" fillId="0" borderId="11" xfId="2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3">
    <cellStyle name="Millares" xfId="1" builtinId="3"/>
    <cellStyle name="Millares 2" xfId="2" xr:uid="{52722DCB-E427-470A-91F7-03402EFCC8A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22B1-E74D-41A2-B7BE-5A430277FF96}">
  <dimension ref="A1:AP35"/>
  <sheetViews>
    <sheetView tabSelected="1" topLeftCell="V13" workbookViewId="0">
      <selection activeCell="AN27" sqref="AN27"/>
    </sheetView>
  </sheetViews>
  <sheetFormatPr baseColWidth="10" defaultRowHeight="15" x14ac:dyDescent="0.25"/>
  <cols>
    <col min="1" max="1" width="9.5703125" customWidth="1"/>
    <col min="2" max="2" width="8.42578125" customWidth="1"/>
    <col min="3" max="3" width="9" customWidth="1"/>
    <col min="4" max="4" width="9.5703125" customWidth="1"/>
    <col min="5" max="5" width="8.28515625" customWidth="1"/>
    <col min="6" max="6" width="8.140625" customWidth="1"/>
    <col min="7" max="7" width="8.42578125" customWidth="1"/>
    <col min="8" max="8" width="8.140625" customWidth="1"/>
    <col min="9" max="9" width="9.140625" customWidth="1"/>
    <col min="10" max="10" width="7.7109375" customWidth="1"/>
    <col min="11" max="13" width="7.5703125" customWidth="1"/>
    <col min="14" max="14" width="9" customWidth="1"/>
    <col min="15" max="15" width="8.42578125" customWidth="1"/>
    <col min="16" max="16" width="7.5703125" customWidth="1"/>
    <col min="17" max="17" width="9.140625" customWidth="1"/>
    <col min="18" max="18" width="9.42578125" customWidth="1"/>
    <col min="19" max="19" width="7.7109375" customWidth="1"/>
    <col min="20" max="20" width="8.28515625" customWidth="1"/>
    <col min="21" max="21" width="7.5703125" customWidth="1"/>
    <col min="22" max="22" width="8" customWidth="1"/>
    <col min="23" max="23" width="9.28515625" customWidth="1"/>
    <col min="24" max="24" width="6.7109375" customWidth="1"/>
    <col min="25" max="25" width="7.5703125" customWidth="1"/>
    <col min="26" max="26" width="10.28515625" customWidth="1"/>
    <col min="27" max="27" width="10.140625" customWidth="1"/>
    <col min="28" max="28" width="9.42578125" customWidth="1"/>
    <col min="29" max="29" width="7" customWidth="1"/>
    <col min="30" max="30" width="10.140625" customWidth="1"/>
    <col min="31" max="31" width="8.85546875" customWidth="1"/>
    <col min="32" max="32" width="10.85546875" customWidth="1"/>
    <col min="33" max="33" width="10.28515625" customWidth="1"/>
    <col min="34" max="34" width="9.140625" customWidth="1"/>
    <col min="35" max="35" width="9.7109375" customWidth="1"/>
    <col min="36" max="36" width="9.28515625" customWidth="1"/>
    <col min="37" max="37" width="8.5703125" customWidth="1"/>
    <col min="38" max="38" width="7.85546875" customWidth="1"/>
    <col min="39" max="39" width="8.28515625" customWidth="1"/>
    <col min="40" max="40" width="9" customWidth="1"/>
  </cols>
  <sheetData>
    <row r="1" spans="1:42" ht="15.75" thickBot="1" x14ac:dyDescent="0.3">
      <c r="A1" s="48" t="s">
        <v>0</v>
      </c>
      <c r="B1" s="50" t="s">
        <v>1</v>
      </c>
      <c r="C1" s="51"/>
      <c r="D1" s="52"/>
      <c r="E1" s="54" t="s">
        <v>9</v>
      </c>
      <c r="F1" s="54"/>
      <c r="G1" s="54"/>
      <c r="H1" s="54"/>
      <c r="I1" s="54"/>
      <c r="J1" s="54"/>
      <c r="K1" s="54"/>
      <c r="L1" s="54"/>
      <c r="M1" s="54"/>
      <c r="N1" s="54"/>
      <c r="O1" s="55" t="s">
        <v>2</v>
      </c>
      <c r="P1" s="55"/>
      <c r="Q1" s="55"/>
      <c r="R1" s="55"/>
      <c r="S1" s="55"/>
      <c r="T1" s="55"/>
      <c r="U1" s="55"/>
      <c r="V1" s="55"/>
      <c r="W1" s="56"/>
      <c r="X1" s="42"/>
      <c r="Y1" s="45"/>
      <c r="Z1" s="46" t="s">
        <v>3</v>
      </c>
      <c r="AA1" s="57" t="s">
        <v>4</v>
      </c>
      <c r="AB1" s="59" t="s">
        <v>5</v>
      </c>
      <c r="AC1" s="1"/>
      <c r="AD1" s="57" t="s">
        <v>6</v>
      </c>
      <c r="AE1" s="2"/>
      <c r="AF1" s="61" t="s">
        <v>7</v>
      </c>
      <c r="AG1" s="3"/>
      <c r="AH1" s="3"/>
      <c r="AI1" s="3"/>
      <c r="AJ1" s="4"/>
      <c r="AK1" s="4"/>
      <c r="AL1" s="4"/>
      <c r="AM1" s="4"/>
      <c r="AN1" s="4"/>
      <c r="AO1" s="61" t="s">
        <v>8</v>
      </c>
    </row>
    <row r="2" spans="1:42" ht="39" thickBot="1" x14ac:dyDescent="0.3">
      <c r="A2" s="49"/>
      <c r="B2" s="5" t="s">
        <v>9</v>
      </c>
      <c r="C2" s="6" t="s">
        <v>2</v>
      </c>
      <c r="D2" s="53"/>
      <c r="E2" s="34" t="s">
        <v>28</v>
      </c>
      <c r="F2" s="34" t="s">
        <v>29</v>
      </c>
      <c r="G2" s="34" t="s">
        <v>30</v>
      </c>
      <c r="H2" s="34" t="s">
        <v>31</v>
      </c>
      <c r="I2" s="34" t="s">
        <v>32</v>
      </c>
      <c r="J2" s="34" t="s">
        <v>35</v>
      </c>
      <c r="K2" s="34" t="s">
        <v>34</v>
      </c>
      <c r="L2" s="34" t="s">
        <v>44</v>
      </c>
      <c r="M2" s="34" t="s">
        <v>46</v>
      </c>
      <c r="N2" s="34" t="s">
        <v>10</v>
      </c>
      <c r="O2" s="34" t="s">
        <v>11</v>
      </c>
      <c r="P2" s="34" t="s">
        <v>12</v>
      </c>
      <c r="Q2" s="34" t="s">
        <v>13</v>
      </c>
      <c r="R2" s="34" t="s">
        <v>14</v>
      </c>
      <c r="S2" s="34" t="s">
        <v>36</v>
      </c>
      <c r="T2" s="34" t="s">
        <v>15</v>
      </c>
      <c r="U2" s="34" t="s">
        <v>33</v>
      </c>
      <c r="V2" s="34" t="s">
        <v>16</v>
      </c>
      <c r="W2" s="34" t="s">
        <v>17</v>
      </c>
      <c r="X2" s="43" t="s">
        <v>45</v>
      </c>
      <c r="Y2" s="43" t="s">
        <v>46</v>
      </c>
      <c r="Z2" s="47"/>
      <c r="AA2" s="58"/>
      <c r="AB2" s="60"/>
      <c r="AC2" s="6" t="s">
        <v>18</v>
      </c>
      <c r="AD2" s="58"/>
      <c r="AE2" s="7" t="s">
        <v>43</v>
      </c>
      <c r="AF2" s="62"/>
      <c r="AG2" s="8" t="s">
        <v>19</v>
      </c>
      <c r="AH2" s="8" t="s">
        <v>20</v>
      </c>
      <c r="AI2" s="8" t="s">
        <v>21</v>
      </c>
      <c r="AJ2" s="9" t="s">
        <v>22</v>
      </c>
      <c r="AK2" s="9" t="s">
        <v>23</v>
      </c>
      <c r="AL2" s="9" t="s">
        <v>24</v>
      </c>
      <c r="AM2" s="10" t="s">
        <v>25</v>
      </c>
      <c r="AN2" s="10" t="s">
        <v>26</v>
      </c>
      <c r="AO2" s="63"/>
      <c r="AP2" t="s">
        <v>27</v>
      </c>
    </row>
    <row r="3" spans="1:42" x14ac:dyDescent="0.25">
      <c r="A3" s="41" t="s">
        <v>42</v>
      </c>
      <c r="B3" s="11"/>
      <c r="C3" s="11"/>
      <c r="D3" s="12"/>
      <c r="E3" s="33"/>
      <c r="F3" s="33"/>
      <c r="G3" s="33"/>
      <c r="H3" s="33"/>
      <c r="I3" s="33"/>
      <c r="J3" s="33"/>
      <c r="K3" s="33"/>
      <c r="L3" s="33"/>
      <c r="M3" s="33"/>
      <c r="N3" s="13"/>
      <c r="O3" s="13"/>
      <c r="P3" s="13"/>
      <c r="Q3" s="11"/>
      <c r="R3" s="11"/>
      <c r="S3" s="11"/>
      <c r="T3" s="11"/>
      <c r="U3" s="11"/>
      <c r="V3" s="11"/>
      <c r="W3" s="11"/>
      <c r="X3" s="11"/>
      <c r="Y3" s="11"/>
      <c r="Z3" s="12"/>
      <c r="AA3" s="11"/>
      <c r="AB3" s="11"/>
      <c r="AC3" s="11"/>
      <c r="AD3" s="11"/>
      <c r="AE3" s="11"/>
      <c r="AF3" s="32">
        <v>5566.9</v>
      </c>
      <c r="AG3" s="14"/>
      <c r="AH3" s="14"/>
      <c r="AI3" s="14"/>
      <c r="AJ3" s="15">
        <v>40758.300000000003</v>
      </c>
      <c r="AK3" s="15">
        <v>1221.2</v>
      </c>
      <c r="AL3" s="15">
        <v>7931.4</v>
      </c>
      <c r="AM3" s="15">
        <v>1774</v>
      </c>
      <c r="AN3" s="15"/>
      <c r="AO3" s="22">
        <v>57251.8</v>
      </c>
      <c r="AP3" s="16">
        <v>5266</v>
      </c>
    </row>
    <row r="4" spans="1:42" x14ac:dyDescent="0.25">
      <c r="A4" s="17">
        <v>46113</v>
      </c>
      <c r="B4" s="18"/>
      <c r="C4" s="19"/>
      <c r="D4" s="18">
        <f>SUM(B4+C4)</f>
        <v>0</v>
      </c>
      <c r="N4" s="20">
        <v>501.5</v>
      </c>
      <c r="O4" s="20"/>
      <c r="P4" s="20"/>
      <c r="Q4" s="19">
        <v>10</v>
      </c>
      <c r="R4" s="19">
        <v>90</v>
      </c>
      <c r="S4" s="19"/>
      <c r="T4" s="19">
        <v>72.5</v>
      </c>
      <c r="U4" s="19"/>
      <c r="V4" s="19"/>
      <c r="W4" s="19">
        <v>1780</v>
      </c>
      <c r="X4" s="19"/>
      <c r="Y4" s="19"/>
      <c r="Z4" s="18">
        <f t="shared" ref="Z4:Z29" si="0">SUM(E4:Y4)</f>
        <v>2454</v>
      </c>
      <c r="AA4" s="19">
        <f t="shared" ref="AA4:AA34" si="1">SUM(D4+Z4)</f>
        <v>2454</v>
      </c>
      <c r="AB4" s="19">
        <v>544</v>
      </c>
      <c r="AC4" s="19">
        <v>544</v>
      </c>
      <c r="AD4" s="19">
        <f t="shared" ref="AD4:AD34" si="2">SUM(AA4-AB4)</f>
        <v>1910</v>
      </c>
      <c r="AE4" s="19">
        <v>500</v>
      </c>
      <c r="AF4" s="14">
        <f>SUM(AF3+AD4)</f>
        <v>7476.9</v>
      </c>
      <c r="AG4" s="21">
        <f>SUM(AA4+AE4)</f>
        <v>2954</v>
      </c>
      <c r="AH4" s="19"/>
      <c r="AI4" s="21">
        <f t="shared" ref="AI4:AI34" si="3">SUM(AB4+AH4)</f>
        <v>544</v>
      </c>
      <c r="AJ4" s="19"/>
      <c r="AK4" s="19"/>
      <c r="AL4" s="19"/>
      <c r="AM4" s="19"/>
      <c r="AN4" s="15"/>
      <c r="AO4" s="22">
        <f t="shared" ref="AO4:AO33" si="4">SUM(AO3+AD4-AN4)</f>
        <v>59161.8</v>
      </c>
    </row>
    <row r="5" spans="1:42" x14ac:dyDescent="0.25">
      <c r="A5" s="17">
        <v>46114</v>
      </c>
      <c r="B5" s="19"/>
      <c r="C5" s="19"/>
      <c r="D5" s="18">
        <f>SUM(B5+C5)</f>
        <v>0</v>
      </c>
      <c r="E5" s="19"/>
      <c r="F5" s="19"/>
      <c r="G5" s="19"/>
      <c r="H5" s="19"/>
      <c r="I5" s="19"/>
      <c r="J5" s="19"/>
      <c r="K5" s="19"/>
      <c r="L5" s="19"/>
      <c r="M5" s="19"/>
      <c r="N5" s="19">
        <v>436</v>
      </c>
      <c r="O5" s="19"/>
      <c r="P5" s="19"/>
      <c r="Q5" s="19"/>
      <c r="R5" s="19"/>
      <c r="S5" s="19"/>
      <c r="T5" s="19">
        <v>59</v>
      </c>
      <c r="U5" s="19"/>
      <c r="V5" s="19"/>
      <c r="W5" s="19"/>
      <c r="X5" s="19"/>
      <c r="Y5" s="19"/>
      <c r="Z5" s="18">
        <f t="shared" si="0"/>
        <v>495</v>
      </c>
      <c r="AA5" s="19">
        <f t="shared" si="1"/>
        <v>495</v>
      </c>
      <c r="AB5" s="19"/>
      <c r="AC5" s="19"/>
      <c r="AD5" s="19">
        <f t="shared" si="2"/>
        <v>495</v>
      </c>
      <c r="AE5" s="19"/>
      <c r="AF5" s="14">
        <f t="shared" ref="AF5:AF6" si="5">SUM(AF4+AD5)</f>
        <v>7971.9</v>
      </c>
      <c r="AG5" s="21">
        <f t="shared" ref="AG5:AG34" si="6">SUM(AA5+AE5)</f>
        <v>495</v>
      </c>
      <c r="AH5" s="19"/>
      <c r="AI5" s="21">
        <f t="shared" si="3"/>
        <v>0</v>
      </c>
      <c r="AJ5" s="19"/>
      <c r="AK5" s="19"/>
      <c r="AL5" s="19"/>
      <c r="AM5" s="19"/>
      <c r="AN5" s="15"/>
      <c r="AO5" s="22">
        <f t="shared" si="4"/>
        <v>59656.800000000003</v>
      </c>
    </row>
    <row r="6" spans="1:42" x14ac:dyDescent="0.25">
      <c r="A6" s="17">
        <v>46115</v>
      </c>
      <c r="B6" s="19"/>
      <c r="C6" s="19"/>
      <c r="D6" s="18">
        <f t="shared" ref="D6:D33" si="7">SUM(B6+C6)</f>
        <v>0</v>
      </c>
      <c r="E6" s="19"/>
      <c r="F6" s="19"/>
      <c r="G6" s="19"/>
      <c r="H6" s="19"/>
      <c r="I6" s="19"/>
      <c r="J6" s="19"/>
      <c r="K6" s="19"/>
      <c r="L6" s="19"/>
      <c r="M6" s="19"/>
      <c r="N6" s="19">
        <v>226.5</v>
      </c>
      <c r="O6" s="19"/>
      <c r="P6" s="19"/>
      <c r="Q6" s="19"/>
      <c r="R6" s="19"/>
      <c r="S6" s="19"/>
      <c r="T6" s="19">
        <v>30.9</v>
      </c>
      <c r="U6" s="19"/>
      <c r="V6" s="19"/>
      <c r="W6" s="19"/>
      <c r="X6" s="19"/>
      <c r="Y6" s="19"/>
      <c r="Z6" s="18">
        <f t="shared" si="0"/>
        <v>257.39999999999998</v>
      </c>
      <c r="AA6" s="19">
        <f t="shared" si="1"/>
        <v>257.39999999999998</v>
      </c>
      <c r="AB6" s="23"/>
      <c r="AC6" s="23"/>
      <c r="AD6" s="19">
        <f t="shared" si="2"/>
        <v>257.39999999999998</v>
      </c>
      <c r="AE6" s="19"/>
      <c r="AF6" s="14">
        <f t="shared" si="5"/>
        <v>8229.2999999999993</v>
      </c>
      <c r="AG6" s="21">
        <f t="shared" si="6"/>
        <v>257.39999999999998</v>
      </c>
      <c r="AH6" s="19"/>
      <c r="AI6" s="21">
        <f t="shared" si="3"/>
        <v>0</v>
      </c>
      <c r="AJ6" s="19"/>
      <c r="AK6" s="19"/>
      <c r="AL6" s="19"/>
      <c r="AM6" s="19"/>
      <c r="AN6" s="15"/>
      <c r="AO6" s="22">
        <f t="shared" si="4"/>
        <v>59914.200000000004</v>
      </c>
    </row>
    <row r="7" spans="1:42" x14ac:dyDescent="0.25">
      <c r="A7" s="17">
        <v>46116</v>
      </c>
      <c r="B7" s="19"/>
      <c r="C7" s="19"/>
      <c r="D7" s="18">
        <f t="shared" si="7"/>
        <v>0</v>
      </c>
      <c r="E7" s="19"/>
      <c r="F7" s="19"/>
      <c r="G7" s="19"/>
      <c r="H7" s="19"/>
      <c r="I7" s="19"/>
      <c r="J7" s="19"/>
      <c r="K7" s="19"/>
      <c r="L7" s="19"/>
      <c r="M7" s="19"/>
      <c r="N7" s="19">
        <v>377.5</v>
      </c>
      <c r="O7" s="19"/>
      <c r="P7" s="19"/>
      <c r="Q7" s="19">
        <v>10</v>
      </c>
      <c r="R7" s="19"/>
      <c r="S7" s="19"/>
      <c r="T7" s="19"/>
      <c r="U7" s="19"/>
      <c r="V7" s="19">
        <v>650</v>
      </c>
      <c r="W7" s="19">
        <v>500</v>
      </c>
      <c r="X7" s="19"/>
      <c r="Y7" s="19"/>
      <c r="Z7" s="18">
        <f t="shared" si="0"/>
        <v>1537.5</v>
      </c>
      <c r="AA7" s="19">
        <f t="shared" si="1"/>
        <v>1537.5</v>
      </c>
      <c r="AB7" s="19">
        <v>742.4</v>
      </c>
      <c r="AC7" s="19"/>
      <c r="AD7" s="19">
        <f t="shared" si="2"/>
        <v>795.1</v>
      </c>
      <c r="AE7" s="19"/>
      <c r="AF7" s="14">
        <f>SUM(AF6+AD7-AJ7)</f>
        <v>9024.4</v>
      </c>
      <c r="AG7" s="21">
        <f>SUM(AA7+AE7)</f>
        <v>1537.5</v>
      </c>
      <c r="AH7" s="19"/>
      <c r="AI7" s="21">
        <f t="shared" si="3"/>
        <v>742.4</v>
      </c>
      <c r="AJ7" s="19"/>
      <c r="AK7" s="19"/>
      <c r="AL7" s="19"/>
      <c r="AM7" s="19"/>
      <c r="AN7" s="15"/>
      <c r="AO7" s="22">
        <f t="shared" si="4"/>
        <v>60709.3</v>
      </c>
    </row>
    <row r="8" spans="1:42" x14ac:dyDescent="0.25">
      <c r="A8" s="17">
        <v>46117</v>
      </c>
      <c r="B8" s="19"/>
      <c r="C8" s="19"/>
      <c r="D8" s="18">
        <f t="shared" si="7"/>
        <v>0</v>
      </c>
      <c r="E8" s="19"/>
      <c r="F8" s="19"/>
      <c r="G8" s="19"/>
      <c r="H8" s="19"/>
      <c r="I8" s="19"/>
      <c r="J8" s="19"/>
      <c r="K8" s="19"/>
      <c r="L8" s="19"/>
      <c r="M8" s="19"/>
      <c r="N8" s="19">
        <v>504.5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8">
        <f t="shared" si="0"/>
        <v>504.5</v>
      </c>
      <c r="AA8" s="19">
        <f t="shared" si="1"/>
        <v>504.5</v>
      </c>
      <c r="AB8" s="19"/>
      <c r="AC8" s="19"/>
      <c r="AD8" s="19">
        <f t="shared" si="2"/>
        <v>504.5</v>
      </c>
      <c r="AE8" s="19"/>
      <c r="AF8" s="14">
        <f>SUM(AF7+AD8-AJ8)</f>
        <v>9528.9</v>
      </c>
      <c r="AG8" s="21">
        <f t="shared" si="6"/>
        <v>504.5</v>
      </c>
      <c r="AH8" s="19"/>
      <c r="AI8" s="21">
        <f t="shared" si="3"/>
        <v>0</v>
      </c>
      <c r="AJ8" s="15"/>
      <c r="AK8" s="15"/>
      <c r="AL8" s="15"/>
      <c r="AM8" s="15"/>
      <c r="AN8" s="15"/>
      <c r="AO8" s="22">
        <f t="shared" si="4"/>
        <v>61213.8</v>
      </c>
    </row>
    <row r="9" spans="1:42" x14ac:dyDescent="0.25">
      <c r="A9" s="17">
        <v>46118</v>
      </c>
      <c r="B9" s="19"/>
      <c r="C9" s="19"/>
      <c r="D9" s="18">
        <f t="shared" si="7"/>
        <v>0</v>
      </c>
      <c r="E9" s="19"/>
      <c r="F9" s="19"/>
      <c r="G9" s="19"/>
      <c r="H9" s="19"/>
      <c r="I9" s="19"/>
      <c r="J9" s="19"/>
      <c r="K9" s="19"/>
      <c r="L9" s="19"/>
      <c r="M9" s="19"/>
      <c r="N9" s="19">
        <v>352.5</v>
      </c>
      <c r="O9" s="19"/>
      <c r="P9" s="19"/>
      <c r="Q9" s="19">
        <v>20</v>
      </c>
      <c r="R9" s="19"/>
      <c r="S9" s="19"/>
      <c r="T9" s="19">
        <v>136.4</v>
      </c>
      <c r="U9" s="19"/>
      <c r="V9" s="19"/>
      <c r="W9" s="19">
        <v>1900</v>
      </c>
      <c r="X9" s="19"/>
      <c r="Y9" s="19"/>
      <c r="Z9" s="18">
        <f t="shared" si="0"/>
        <v>2408.9</v>
      </c>
      <c r="AA9" s="19">
        <f t="shared" si="1"/>
        <v>2408.9</v>
      </c>
      <c r="AB9" s="19">
        <v>265.5</v>
      </c>
      <c r="AC9" s="19"/>
      <c r="AD9" s="19">
        <f t="shared" si="2"/>
        <v>2143.4</v>
      </c>
      <c r="AE9" s="19">
        <v>65</v>
      </c>
      <c r="AF9" s="14">
        <f>SUM(AF8+AD9-AJ9)</f>
        <v>3972.2999999999993</v>
      </c>
      <c r="AG9" s="21">
        <f t="shared" si="6"/>
        <v>2473.9</v>
      </c>
      <c r="AH9" s="19">
        <v>54281.5</v>
      </c>
      <c r="AI9" s="21">
        <f t="shared" si="3"/>
        <v>54547</v>
      </c>
      <c r="AJ9" s="19">
        <v>7700</v>
      </c>
      <c r="AK9" s="19"/>
      <c r="AL9" s="19"/>
      <c r="AM9" s="19"/>
      <c r="AN9" s="15"/>
      <c r="AO9" s="22">
        <f t="shared" si="4"/>
        <v>63357.200000000004</v>
      </c>
    </row>
    <row r="10" spans="1:42" x14ac:dyDescent="0.25">
      <c r="A10" s="17">
        <v>46119</v>
      </c>
      <c r="B10" s="19"/>
      <c r="C10" s="19"/>
      <c r="D10" s="18">
        <f t="shared" si="7"/>
        <v>0</v>
      </c>
      <c r="E10" s="19"/>
      <c r="F10" s="19"/>
      <c r="G10" s="19"/>
      <c r="H10" s="19"/>
      <c r="I10" s="19"/>
      <c r="J10" s="19"/>
      <c r="K10" s="19"/>
      <c r="L10" s="19"/>
      <c r="M10" s="19"/>
      <c r="N10" s="19">
        <v>481</v>
      </c>
      <c r="O10" s="19">
        <v>197.2</v>
      </c>
      <c r="P10" s="19">
        <v>37</v>
      </c>
      <c r="Q10" s="19"/>
      <c r="R10" s="19"/>
      <c r="S10" s="19"/>
      <c r="T10" s="19">
        <v>67</v>
      </c>
      <c r="U10" s="19"/>
      <c r="V10" s="19">
        <v>650</v>
      </c>
      <c r="W10" s="19">
        <v>1720</v>
      </c>
      <c r="X10" s="19"/>
      <c r="Y10" s="19"/>
      <c r="Z10" s="18">
        <f t="shared" si="0"/>
        <v>3152.2</v>
      </c>
      <c r="AA10" s="19">
        <f t="shared" si="1"/>
        <v>3152.2</v>
      </c>
      <c r="AB10" s="19">
        <v>28.9</v>
      </c>
      <c r="AC10" s="19"/>
      <c r="AD10" s="19">
        <f t="shared" si="2"/>
        <v>3123.2999999999997</v>
      </c>
      <c r="AE10" s="19">
        <v>645</v>
      </c>
      <c r="AF10" s="14">
        <f t="shared" ref="AF10:AF12" si="8">SUM(AF9+AD10-AJ10)</f>
        <v>7095.5999999999985</v>
      </c>
      <c r="AG10" s="21">
        <f t="shared" si="6"/>
        <v>3797.2</v>
      </c>
      <c r="AH10" s="19">
        <v>10144.700000000001</v>
      </c>
      <c r="AI10" s="21">
        <f>SUM(AB10+AH10)</f>
        <v>10173.6</v>
      </c>
      <c r="AJ10" s="19"/>
      <c r="AK10" s="19"/>
      <c r="AL10" s="19"/>
      <c r="AM10" s="19"/>
      <c r="AN10" s="15"/>
      <c r="AO10" s="22">
        <f t="shared" si="4"/>
        <v>66480.5</v>
      </c>
    </row>
    <row r="11" spans="1:42" x14ac:dyDescent="0.25">
      <c r="A11" s="17">
        <v>46120</v>
      </c>
      <c r="B11" s="19"/>
      <c r="C11" s="19"/>
      <c r="D11" s="18">
        <f t="shared" si="7"/>
        <v>0</v>
      </c>
      <c r="E11" s="19"/>
      <c r="F11" s="19"/>
      <c r="G11" s="19">
        <v>180</v>
      </c>
      <c r="H11" s="19">
        <v>15</v>
      </c>
      <c r="I11" s="19">
        <v>350</v>
      </c>
      <c r="J11" s="19"/>
      <c r="K11" s="19"/>
      <c r="L11" s="19"/>
      <c r="M11" s="19"/>
      <c r="N11" s="19">
        <v>496</v>
      </c>
      <c r="O11" s="19">
        <v>236.8</v>
      </c>
      <c r="P11" s="19">
        <v>83</v>
      </c>
      <c r="Q11" s="19"/>
      <c r="R11" s="19">
        <v>40</v>
      </c>
      <c r="S11" s="19"/>
      <c r="T11" s="19">
        <v>64.5</v>
      </c>
      <c r="U11" s="19">
        <v>113.2</v>
      </c>
      <c r="V11" s="19"/>
      <c r="W11" s="19">
        <v>5478.7</v>
      </c>
      <c r="X11" s="19"/>
      <c r="Y11" s="19"/>
      <c r="Z11" s="18">
        <f t="shared" si="0"/>
        <v>7057.2</v>
      </c>
      <c r="AA11" s="19">
        <f t="shared" si="1"/>
        <v>7057.2</v>
      </c>
      <c r="AB11" s="19">
        <v>1492.5</v>
      </c>
      <c r="AC11" s="19"/>
      <c r="AD11" s="19">
        <f t="shared" si="2"/>
        <v>5564.7</v>
      </c>
      <c r="AE11" s="19">
        <v>2074.4</v>
      </c>
      <c r="AF11" s="14">
        <f t="shared" si="8"/>
        <v>12660.3</v>
      </c>
      <c r="AG11" s="21">
        <f t="shared" si="6"/>
        <v>9131.6</v>
      </c>
      <c r="AH11" s="19"/>
      <c r="AI11" s="21">
        <f>SUM(AB11+AH11)</f>
        <v>1492.5</v>
      </c>
      <c r="AJ11" s="19"/>
      <c r="AK11" s="19"/>
      <c r="AL11" s="19"/>
      <c r="AM11" s="19"/>
      <c r="AN11" s="15"/>
      <c r="AO11" s="22">
        <f t="shared" si="4"/>
        <v>72045.2</v>
      </c>
    </row>
    <row r="12" spans="1:42" x14ac:dyDescent="0.25">
      <c r="A12" s="17">
        <v>46121</v>
      </c>
      <c r="B12" s="19"/>
      <c r="C12" s="19"/>
      <c r="D12" s="18">
        <f t="shared" si="7"/>
        <v>0</v>
      </c>
      <c r="E12" s="19"/>
      <c r="F12" s="19"/>
      <c r="G12" s="19"/>
      <c r="H12" s="19"/>
      <c r="I12" s="19"/>
      <c r="J12" s="19"/>
      <c r="K12" s="19"/>
      <c r="L12" s="19"/>
      <c r="M12" s="19"/>
      <c r="N12" s="19">
        <v>495</v>
      </c>
      <c r="O12" s="19">
        <v>33.299999999999997</v>
      </c>
      <c r="P12" s="19">
        <v>15</v>
      </c>
      <c r="Q12" s="19"/>
      <c r="R12" s="19">
        <v>30</v>
      </c>
      <c r="S12" s="19"/>
      <c r="T12" s="19">
        <v>44.9</v>
      </c>
      <c r="U12" s="19">
        <v>28.3</v>
      </c>
      <c r="V12" s="19"/>
      <c r="W12" s="19">
        <v>980</v>
      </c>
      <c r="X12" s="19"/>
      <c r="Y12" s="19"/>
      <c r="Z12" s="18">
        <f t="shared" si="0"/>
        <v>1626.5</v>
      </c>
      <c r="AA12" s="19">
        <f t="shared" si="1"/>
        <v>1626.5</v>
      </c>
      <c r="AB12" s="19">
        <v>1353.1</v>
      </c>
      <c r="AC12" s="19"/>
      <c r="AD12" s="19">
        <f t="shared" si="2"/>
        <v>273.40000000000009</v>
      </c>
      <c r="AE12" s="19">
        <v>642.79999999999995</v>
      </c>
      <c r="AF12" s="14">
        <f t="shared" si="8"/>
        <v>6933.6999999999989</v>
      </c>
      <c r="AG12" s="21">
        <f t="shared" si="6"/>
        <v>2269.3000000000002</v>
      </c>
      <c r="AH12" s="19"/>
      <c r="AI12" s="21">
        <f t="shared" si="3"/>
        <v>1353.1</v>
      </c>
      <c r="AJ12" s="19">
        <v>6000</v>
      </c>
      <c r="AK12" s="19"/>
      <c r="AL12" s="19"/>
      <c r="AM12" s="19"/>
      <c r="AN12" s="15"/>
      <c r="AO12" s="22">
        <f t="shared" si="4"/>
        <v>72318.599999999991</v>
      </c>
    </row>
    <row r="13" spans="1:42" x14ac:dyDescent="0.25">
      <c r="A13" s="17">
        <v>46122</v>
      </c>
      <c r="B13" s="19">
        <v>1916</v>
      </c>
      <c r="C13" s="19">
        <v>2645</v>
      </c>
      <c r="D13" s="18">
        <f t="shared" si="7"/>
        <v>4561</v>
      </c>
      <c r="E13" s="19"/>
      <c r="F13" s="19"/>
      <c r="G13" s="19">
        <v>712</v>
      </c>
      <c r="H13" s="19">
        <v>60</v>
      </c>
      <c r="I13" s="19"/>
      <c r="J13" s="19">
        <v>20</v>
      </c>
      <c r="K13" s="19">
        <v>15</v>
      </c>
      <c r="L13" s="19"/>
      <c r="M13" s="19"/>
      <c r="N13" s="19">
        <v>502</v>
      </c>
      <c r="O13" s="19"/>
      <c r="P13" s="19"/>
      <c r="Q13" s="19">
        <v>10</v>
      </c>
      <c r="R13" s="19">
        <v>100</v>
      </c>
      <c r="S13" s="19"/>
      <c r="T13" s="19">
        <v>72</v>
      </c>
      <c r="U13" s="19"/>
      <c r="V13" s="19"/>
      <c r="W13" s="19">
        <v>200</v>
      </c>
      <c r="X13" s="19"/>
      <c r="Y13" s="19"/>
      <c r="Z13" s="18">
        <f t="shared" si="0"/>
        <v>1691</v>
      </c>
      <c r="AA13" s="19">
        <f t="shared" si="1"/>
        <v>6252</v>
      </c>
      <c r="AB13" s="19">
        <v>111.5</v>
      </c>
      <c r="AC13" s="19"/>
      <c r="AD13" s="19">
        <f t="shared" si="2"/>
        <v>6140.5</v>
      </c>
      <c r="AE13" s="19">
        <v>726</v>
      </c>
      <c r="AF13" s="14">
        <f t="shared" ref="AF13:AF33" si="9">SUM(AF12+AD13-AJ13)</f>
        <v>13074.199999999999</v>
      </c>
      <c r="AG13" s="21">
        <f t="shared" si="6"/>
        <v>6978</v>
      </c>
      <c r="AH13" s="19"/>
      <c r="AI13" s="21">
        <f t="shared" si="3"/>
        <v>111.5</v>
      </c>
      <c r="AJ13" s="19"/>
      <c r="AK13" s="19"/>
      <c r="AL13" s="19"/>
      <c r="AM13" s="19"/>
      <c r="AN13" s="15">
        <v>34000</v>
      </c>
      <c r="AO13" s="22">
        <f t="shared" si="4"/>
        <v>44459.099999999991</v>
      </c>
    </row>
    <row r="14" spans="1:42" x14ac:dyDescent="0.25">
      <c r="A14" s="17">
        <v>46123</v>
      </c>
      <c r="B14" s="19"/>
      <c r="C14" s="19"/>
      <c r="D14" s="18">
        <f t="shared" si="7"/>
        <v>0</v>
      </c>
      <c r="E14" s="19"/>
      <c r="F14" s="19"/>
      <c r="G14" s="19"/>
      <c r="H14" s="19"/>
      <c r="I14" s="19"/>
      <c r="J14" s="19"/>
      <c r="K14" s="19"/>
      <c r="L14" s="19"/>
      <c r="M14" s="19"/>
      <c r="N14" s="19">
        <v>508.5</v>
      </c>
      <c r="O14" s="19"/>
      <c r="P14" s="19"/>
      <c r="Q14" s="19">
        <v>10</v>
      </c>
      <c r="R14" s="19">
        <v>30</v>
      </c>
      <c r="S14" s="19"/>
      <c r="T14" s="19">
        <v>65</v>
      </c>
      <c r="U14" s="19"/>
      <c r="V14" s="19"/>
      <c r="W14" s="19"/>
      <c r="X14" s="19"/>
      <c r="Y14" s="19"/>
      <c r="Z14" s="18">
        <f t="shared" si="0"/>
        <v>613.5</v>
      </c>
      <c r="AA14" s="19">
        <f t="shared" si="1"/>
        <v>613.5</v>
      </c>
      <c r="AB14" s="19">
        <v>300</v>
      </c>
      <c r="AC14" s="19"/>
      <c r="AD14" s="19">
        <f t="shared" si="2"/>
        <v>313.5</v>
      </c>
      <c r="AE14" s="19">
        <v>1500</v>
      </c>
      <c r="AF14" s="14">
        <f t="shared" si="9"/>
        <v>4887.6999999999989</v>
      </c>
      <c r="AG14" s="21">
        <f t="shared" si="6"/>
        <v>2113.5</v>
      </c>
      <c r="AH14" s="19"/>
      <c r="AI14" s="21">
        <f t="shared" si="3"/>
        <v>300</v>
      </c>
      <c r="AJ14" s="19">
        <v>8500</v>
      </c>
      <c r="AK14" s="19"/>
      <c r="AL14" s="19"/>
      <c r="AM14" s="19"/>
      <c r="AN14" s="15"/>
      <c r="AO14" s="22">
        <f t="shared" si="4"/>
        <v>44772.599999999991</v>
      </c>
    </row>
    <row r="15" spans="1:42" x14ac:dyDescent="0.25">
      <c r="A15" s="17">
        <v>46124</v>
      </c>
      <c r="B15" s="19"/>
      <c r="C15" s="19"/>
      <c r="D15" s="18">
        <f t="shared" si="7"/>
        <v>0</v>
      </c>
      <c r="E15" s="19"/>
      <c r="F15" s="19"/>
      <c r="G15" s="19"/>
      <c r="H15" s="19"/>
      <c r="I15" s="19"/>
      <c r="J15" s="19"/>
      <c r="K15" s="19"/>
      <c r="L15" s="19"/>
      <c r="M15" s="19"/>
      <c r="N15" s="19">
        <v>566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8">
        <f t="shared" si="0"/>
        <v>566</v>
      </c>
      <c r="AA15" s="19">
        <f t="shared" si="1"/>
        <v>566</v>
      </c>
      <c r="AB15" s="19"/>
      <c r="AC15" s="19"/>
      <c r="AD15" s="19">
        <f t="shared" si="2"/>
        <v>566</v>
      </c>
      <c r="AE15" s="19"/>
      <c r="AF15" s="14">
        <f t="shared" si="9"/>
        <v>5453.6999999999989</v>
      </c>
      <c r="AG15" s="21">
        <f t="shared" si="6"/>
        <v>566</v>
      </c>
      <c r="AH15" s="19"/>
      <c r="AI15" s="21">
        <f t="shared" si="3"/>
        <v>0</v>
      </c>
      <c r="AJ15" s="19"/>
      <c r="AK15" s="24"/>
      <c r="AL15" s="24"/>
      <c r="AM15" s="19"/>
      <c r="AN15" s="15"/>
      <c r="AO15" s="22">
        <f t="shared" si="4"/>
        <v>45338.599999999991</v>
      </c>
      <c r="AP15" s="25"/>
    </row>
    <row r="16" spans="1:42" x14ac:dyDescent="0.25">
      <c r="A16" s="17">
        <v>46125</v>
      </c>
      <c r="B16" s="19"/>
      <c r="C16" s="19"/>
      <c r="D16" s="18">
        <f t="shared" si="7"/>
        <v>0</v>
      </c>
      <c r="E16" s="19">
        <v>5.9</v>
      </c>
      <c r="F16" s="19">
        <v>10</v>
      </c>
      <c r="G16" s="19">
        <v>116</v>
      </c>
      <c r="H16" s="19">
        <v>10</v>
      </c>
      <c r="I16" s="19"/>
      <c r="J16" s="19"/>
      <c r="K16" s="19"/>
      <c r="L16" s="19"/>
      <c r="M16" s="19"/>
      <c r="N16" s="19">
        <v>349</v>
      </c>
      <c r="O16" s="19"/>
      <c r="P16" s="19"/>
      <c r="Q16" s="19">
        <v>20</v>
      </c>
      <c r="R16" s="19"/>
      <c r="S16" s="19"/>
      <c r="T16" s="19"/>
      <c r="U16" s="19"/>
      <c r="V16" s="19"/>
      <c r="W16" s="19"/>
      <c r="X16" s="19"/>
      <c r="Y16" s="19"/>
      <c r="Z16" s="18">
        <f t="shared" si="0"/>
        <v>510.9</v>
      </c>
      <c r="AA16" s="19">
        <f t="shared" si="1"/>
        <v>510.9</v>
      </c>
      <c r="AB16" s="19">
        <v>1084.4000000000001</v>
      </c>
      <c r="AC16" s="19"/>
      <c r="AD16" s="19">
        <f t="shared" si="2"/>
        <v>-573.50000000000011</v>
      </c>
      <c r="AE16" s="19">
        <v>36.4</v>
      </c>
      <c r="AF16" s="14">
        <f t="shared" si="9"/>
        <v>4880.1999999999989</v>
      </c>
      <c r="AG16" s="21">
        <f t="shared" si="6"/>
        <v>547.29999999999995</v>
      </c>
      <c r="AH16" s="19"/>
      <c r="AI16" s="21">
        <f t="shared" si="3"/>
        <v>1084.4000000000001</v>
      </c>
      <c r="AJ16" s="19"/>
      <c r="AK16" s="19"/>
      <c r="AL16" s="19"/>
      <c r="AM16" s="19"/>
      <c r="AN16" s="15"/>
      <c r="AO16" s="22">
        <f t="shared" si="4"/>
        <v>44765.099999999991</v>
      </c>
    </row>
    <row r="17" spans="1:42" x14ac:dyDescent="0.25">
      <c r="A17" s="17">
        <v>46126</v>
      </c>
      <c r="B17" s="19"/>
      <c r="C17" s="19"/>
      <c r="D17" s="18">
        <f t="shared" si="7"/>
        <v>0</v>
      </c>
      <c r="E17" s="19"/>
      <c r="F17" s="19"/>
      <c r="G17" s="19">
        <v>60</v>
      </c>
      <c r="H17" s="19">
        <v>5</v>
      </c>
      <c r="I17" s="19"/>
      <c r="J17" s="19"/>
      <c r="K17" s="19"/>
      <c r="L17" s="19"/>
      <c r="M17" s="19"/>
      <c r="N17" s="19">
        <v>494.5</v>
      </c>
      <c r="O17" s="19"/>
      <c r="P17" s="19"/>
      <c r="Q17" s="19">
        <v>10</v>
      </c>
      <c r="R17" s="19"/>
      <c r="S17" s="19">
        <v>600</v>
      </c>
      <c r="T17" s="19">
        <v>70</v>
      </c>
      <c r="U17" s="19"/>
      <c r="V17" s="19"/>
      <c r="W17" s="19"/>
      <c r="X17" s="19"/>
      <c r="Y17" s="19"/>
      <c r="Z17" s="18">
        <f t="shared" si="0"/>
        <v>1239.5</v>
      </c>
      <c r="AA17" s="19">
        <f t="shared" si="1"/>
        <v>1239.5</v>
      </c>
      <c r="AB17" s="19">
        <v>10</v>
      </c>
      <c r="AC17" s="19"/>
      <c r="AD17" s="19">
        <f t="shared" si="2"/>
        <v>1229.5</v>
      </c>
      <c r="AE17" s="19">
        <v>60</v>
      </c>
      <c r="AF17" s="14">
        <f t="shared" si="9"/>
        <v>6109.6999999999989</v>
      </c>
      <c r="AG17" s="21">
        <f t="shared" si="6"/>
        <v>1299.5</v>
      </c>
      <c r="AH17" s="19"/>
      <c r="AI17" s="21">
        <f t="shared" si="3"/>
        <v>10</v>
      </c>
      <c r="AJ17" s="19"/>
      <c r="AK17" s="19"/>
      <c r="AL17" s="19"/>
      <c r="AM17" s="19"/>
      <c r="AN17" s="15"/>
      <c r="AO17" s="22">
        <f t="shared" si="4"/>
        <v>45994.599999999991</v>
      </c>
    </row>
    <row r="18" spans="1:42" x14ac:dyDescent="0.25">
      <c r="A18" s="17">
        <v>46127</v>
      </c>
      <c r="B18" s="19"/>
      <c r="C18" s="19"/>
      <c r="D18" s="18">
        <f t="shared" si="7"/>
        <v>0</v>
      </c>
      <c r="E18" s="19"/>
      <c r="F18" s="19"/>
      <c r="G18" s="19"/>
      <c r="H18" s="19"/>
      <c r="I18" s="19"/>
      <c r="J18" s="19"/>
      <c r="K18" s="19"/>
      <c r="L18" s="19"/>
      <c r="M18" s="19"/>
      <c r="N18" s="19">
        <v>491</v>
      </c>
      <c r="O18" s="19">
        <v>297.3</v>
      </c>
      <c r="P18" s="19">
        <v>129.4</v>
      </c>
      <c r="Q18" s="19">
        <v>10</v>
      </c>
      <c r="R18" s="19"/>
      <c r="S18" s="19"/>
      <c r="T18" s="19">
        <v>74.5</v>
      </c>
      <c r="U18" s="19">
        <v>84.9</v>
      </c>
      <c r="V18" s="19"/>
      <c r="W18" s="19">
        <v>5200.2</v>
      </c>
      <c r="X18" s="19"/>
      <c r="Y18" s="19"/>
      <c r="Z18" s="18">
        <f t="shared" si="0"/>
        <v>6287.2999999999993</v>
      </c>
      <c r="AA18" s="19">
        <f t="shared" si="1"/>
        <v>6287.2999999999993</v>
      </c>
      <c r="AB18" s="19">
        <v>6750</v>
      </c>
      <c r="AC18" s="19"/>
      <c r="AD18" s="19">
        <f t="shared" si="2"/>
        <v>-462.70000000000073</v>
      </c>
      <c r="AE18" s="15">
        <v>1376.3</v>
      </c>
      <c r="AF18" s="14">
        <f t="shared" si="9"/>
        <v>5646.9999999999982</v>
      </c>
      <c r="AG18" s="21">
        <f t="shared" si="6"/>
        <v>7663.5999999999995</v>
      </c>
      <c r="AH18" s="19"/>
      <c r="AI18" s="21">
        <f t="shared" si="3"/>
        <v>6750</v>
      </c>
      <c r="AJ18" s="19"/>
      <c r="AK18" s="19"/>
      <c r="AL18" s="19"/>
      <c r="AM18" s="19"/>
      <c r="AN18" s="15"/>
      <c r="AO18" s="22">
        <f t="shared" si="4"/>
        <v>45531.899999999994</v>
      </c>
    </row>
    <row r="19" spans="1:42" x14ac:dyDescent="0.25">
      <c r="A19" s="17">
        <v>46128</v>
      </c>
      <c r="B19" s="19"/>
      <c r="C19" s="19"/>
      <c r="D19" s="18">
        <f t="shared" si="7"/>
        <v>0</v>
      </c>
      <c r="E19" s="19"/>
      <c r="F19" s="19"/>
      <c r="G19" s="19">
        <v>80</v>
      </c>
      <c r="H19" s="19">
        <v>10</v>
      </c>
      <c r="I19" s="19"/>
      <c r="J19" s="19"/>
      <c r="K19" s="19"/>
      <c r="L19" s="19"/>
      <c r="M19" s="19"/>
      <c r="N19" s="19">
        <v>486</v>
      </c>
      <c r="O19" s="19"/>
      <c r="P19" s="19"/>
      <c r="Q19" s="19">
        <v>10</v>
      </c>
      <c r="R19" s="19"/>
      <c r="S19" s="19"/>
      <c r="T19" s="19">
        <v>68</v>
      </c>
      <c r="U19" s="19"/>
      <c r="V19" s="19"/>
      <c r="W19" s="19">
        <v>2700</v>
      </c>
      <c r="X19" s="19"/>
      <c r="Y19" s="19"/>
      <c r="Z19" s="18">
        <f t="shared" si="0"/>
        <v>3354</v>
      </c>
      <c r="AA19" s="19">
        <f t="shared" si="1"/>
        <v>3354</v>
      </c>
      <c r="AB19" s="19">
        <v>150.9</v>
      </c>
      <c r="AC19" s="19"/>
      <c r="AD19" s="19">
        <f t="shared" si="2"/>
        <v>3203.1</v>
      </c>
      <c r="AE19" s="19">
        <v>550.20000000000005</v>
      </c>
      <c r="AF19" s="14">
        <f t="shared" si="9"/>
        <v>8850.0999999999985</v>
      </c>
      <c r="AG19" s="21">
        <f t="shared" si="6"/>
        <v>3904.2</v>
      </c>
      <c r="AH19" s="19"/>
      <c r="AI19" s="21">
        <f t="shared" si="3"/>
        <v>150.9</v>
      </c>
      <c r="AJ19" s="19"/>
      <c r="AK19" s="19"/>
      <c r="AL19" s="19"/>
      <c r="AM19" s="19"/>
      <c r="AN19" s="15"/>
      <c r="AO19" s="22">
        <f t="shared" si="4"/>
        <v>48734.999999999993</v>
      </c>
    </row>
    <row r="20" spans="1:42" x14ac:dyDescent="0.25">
      <c r="A20" s="17">
        <v>46129</v>
      </c>
      <c r="B20" s="19">
        <v>1834</v>
      </c>
      <c r="C20" s="19">
        <v>2745</v>
      </c>
      <c r="D20" s="18">
        <f t="shared" si="7"/>
        <v>4579</v>
      </c>
      <c r="E20" s="19">
        <v>172.6</v>
      </c>
      <c r="F20" s="19">
        <v>13.3</v>
      </c>
      <c r="G20" s="19">
        <v>60</v>
      </c>
      <c r="H20" s="19">
        <v>5</v>
      </c>
      <c r="I20" s="19"/>
      <c r="J20" s="19"/>
      <c r="K20" s="19"/>
      <c r="L20" s="19">
        <v>226</v>
      </c>
      <c r="M20" s="19"/>
      <c r="N20" s="19">
        <v>521</v>
      </c>
      <c r="O20" s="19"/>
      <c r="P20" s="19"/>
      <c r="Q20" s="19"/>
      <c r="R20" s="19">
        <v>30</v>
      </c>
      <c r="S20" s="19"/>
      <c r="T20" s="19">
        <v>54.6</v>
      </c>
      <c r="U20" s="19"/>
      <c r="V20" s="19">
        <v>100</v>
      </c>
      <c r="W20" s="19">
        <v>300</v>
      </c>
      <c r="X20" s="19"/>
      <c r="Y20" s="19"/>
      <c r="Z20" s="18">
        <f t="shared" si="0"/>
        <v>1482.5</v>
      </c>
      <c r="AA20" s="19">
        <f t="shared" si="1"/>
        <v>6061.5</v>
      </c>
      <c r="AB20" s="19"/>
      <c r="AC20" s="19"/>
      <c r="AD20" s="19">
        <f t="shared" si="2"/>
        <v>6061.5</v>
      </c>
      <c r="AE20" s="19">
        <v>30</v>
      </c>
      <c r="AF20" s="14">
        <f t="shared" si="9"/>
        <v>6911.5999999999985</v>
      </c>
      <c r="AG20" s="21">
        <f t="shared" si="6"/>
        <v>6091.5</v>
      </c>
      <c r="AH20" s="19"/>
      <c r="AI20" s="21">
        <f t="shared" si="3"/>
        <v>0</v>
      </c>
      <c r="AJ20" s="19">
        <v>8000</v>
      </c>
      <c r="AK20" s="19"/>
      <c r="AL20" s="19"/>
      <c r="AM20" s="19"/>
      <c r="AN20" s="15"/>
      <c r="AO20" s="22">
        <f t="shared" si="4"/>
        <v>54796.499999999993</v>
      </c>
    </row>
    <row r="21" spans="1:42" x14ac:dyDescent="0.25">
      <c r="A21" s="17">
        <v>46130</v>
      </c>
      <c r="B21" s="19"/>
      <c r="C21" s="19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>
        <v>491</v>
      </c>
      <c r="O21" s="19"/>
      <c r="P21" s="19"/>
      <c r="Q21" s="19"/>
      <c r="R21" s="19"/>
      <c r="S21" s="19"/>
      <c r="T21" s="19">
        <v>71.599999999999994</v>
      </c>
      <c r="U21" s="19"/>
      <c r="V21" s="19"/>
      <c r="W21" s="19"/>
      <c r="X21" s="19"/>
      <c r="Y21" s="19"/>
      <c r="Z21" s="18">
        <f t="shared" si="0"/>
        <v>562.6</v>
      </c>
      <c r="AA21" s="19">
        <f t="shared" si="1"/>
        <v>562.6</v>
      </c>
      <c r="AB21" s="19">
        <v>410</v>
      </c>
      <c r="AC21" s="19"/>
      <c r="AD21" s="19">
        <f t="shared" si="2"/>
        <v>152.60000000000002</v>
      </c>
      <c r="AE21" s="19"/>
      <c r="AF21" s="14">
        <f t="shared" si="9"/>
        <v>7064.1999999999989</v>
      </c>
      <c r="AG21" s="21">
        <f t="shared" si="6"/>
        <v>562.6</v>
      </c>
      <c r="AH21" s="19"/>
      <c r="AI21" s="21">
        <f t="shared" si="3"/>
        <v>410</v>
      </c>
      <c r="AJ21" s="19"/>
      <c r="AK21" s="19"/>
      <c r="AL21" s="19"/>
      <c r="AM21" s="19"/>
      <c r="AN21" s="15"/>
      <c r="AO21" s="22">
        <f t="shared" si="4"/>
        <v>54949.099999999991</v>
      </c>
    </row>
    <row r="22" spans="1:42" x14ac:dyDescent="0.25">
      <c r="A22" s="17">
        <v>46131</v>
      </c>
      <c r="B22" s="19"/>
      <c r="C22" s="19"/>
      <c r="D22" s="18">
        <f t="shared" si="7"/>
        <v>0</v>
      </c>
      <c r="E22" s="19"/>
      <c r="F22" s="19"/>
      <c r="G22" s="19"/>
      <c r="H22" s="19"/>
      <c r="I22" s="19"/>
      <c r="J22" s="19"/>
      <c r="K22" s="19"/>
      <c r="L22" s="19"/>
      <c r="M22" s="19"/>
      <c r="N22" s="19">
        <v>486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8">
        <f t="shared" si="0"/>
        <v>486</v>
      </c>
      <c r="AA22" s="19">
        <f t="shared" si="1"/>
        <v>486</v>
      </c>
      <c r="AB22" s="19"/>
      <c r="AC22" s="19"/>
      <c r="AD22" s="19">
        <f t="shared" si="2"/>
        <v>486</v>
      </c>
      <c r="AE22" s="19"/>
      <c r="AF22" s="14">
        <f t="shared" si="9"/>
        <v>7550.1999999999989</v>
      </c>
      <c r="AG22" s="21">
        <f t="shared" si="6"/>
        <v>486</v>
      </c>
      <c r="AH22" s="19"/>
      <c r="AI22" s="21">
        <f t="shared" si="3"/>
        <v>0</v>
      </c>
      <c r="AJ22" s="19"/>
      <c r="AK22" s="19"/>
      <c r="AL22" s="19"/>
      <c r="AM22" s="19"/>
      <c r="AN22" s="15"/>
      <c r="AO22" s="22">
        <f t="shared" si="4"/>
        <v>55435.099999999991</v>
      </c>
    </row>
    <row r="23" spans="1:42" x14ac:dyDescent="0.25">
      <c r="A23" s="17">
        <v>46132</v>
      </c>
      <c r="B23" s="19"/>
      <c r="C23" s="19"/>
      <c r="D23" s="18">
        <f t="shared" si="7"/>
        <v>0</v>
      </c>
      <c r="E23" s="19"/>
      <c r="F23" s="19"/>
      <c r="G23" s="19"/>
      <c r="H23" s="19"/>
      <c r="I23" s="19"/>
      <c r="J23" s="19"/>
      <c r="K23" s="19"/>
      <c r="L23" s="19"/>
      <c r="M23" s="19"/>
      <c r="N23" s="19">
        <v>342</v>
      </c>
      <c r="O23" s="19">
        <v>14.4</v>
      </c>
      <c r="P23" s="19">
        <v>6</v>
      </c>
      <c r="Q23" s="19">
        <v>30</v>
      </c>
      <c r="R23" s="19"/>
      <c r="S23" s="19"/>
      <c r="T23" s="19">
        <v>75.3</v>
      </c>
      <c r="U23" s="19"/>
      <c r="V23" s="19"/>
      <c r="W23" s="19">
        <v>900</v>
      </c>
      <c r="X23" s="19"/>
      <c r="Y23" s="19"/>
      <c r="Z23" s="18">
        <f t="shared" si="0"/>
        <v>1367.7</v>
      </c>
      <c r="AA23" s="19">
        <f t="shared" si="1"/>
        <v>1367.7</v>
      </c>
      <c r="AB23" s="19">
        <v>647</v>
      </c>
      <c r="AC23" s="19"/>
      <c r="AD23" s="19">
        <f t="shared" si="2"/>
        <v>720.7</v>
      </c>
      <c r="AE23" s="19">
        <v>1266.2</v>
      </c>
      <c r="AF23" s="14">
        <f t="shared" si="9"/>
        <v>8270.9</v>
      </c>
      <c r="AG23" s="21">
        <f t="shared" si="6"/>
        <v>2633.9</v>
      </c>
      <c r="AH23" s="19">
        <v>3277.28</v>
      </c>
      <c r="AI23" s="21">
        <f t="shared" si="3"/>
        <v>3924.28</v>
      </c>
      <c r="AJ23" s="19"/>
      <c r="AK23" s="19"/>
      <c r="AL23" s="19"/>
      <c r="AM23" s="19"/>
      <c r="AN23" s="15"/>
      <c r="AO23" s="22">
        <f t="shared" si="4"/>
        <v>56155.799999999988</v>
      </c>
    </row>
    <row r="24" spans="1:42" x14ac:dyDescent="0.25">
      <c r="A24" s="17">
        <v>46133</v>
      </c>
      <c r="B24" s="19"/>
      <c r="C24" s="19"/>
      <c r="D24" s="18">
        <f t="shared" si="7"/>
        <v>0</v>
      </c>
      <c r="E24" s="19">
        <v>766.5</v>
      </c>
      <c r="F24" s="19">
        <v>76</v>
      </c>
      <c r="G24" s="19"/>
      <c r="H24" s="19"/>
      <c r="I24" s="19">
        <v>200</v>
      </c>
      <c r="J24" s="19"/>
      <c r="K24" s="19"/>
      <c r="L24" s="19"/>
      <c r="M24" s="19"/>
      <c r="N24" s="19">
        <v>542.5</v>
      </c>
      <c r="O24" s="19">
        <v>19.100000000000001</v>
      </c>
      <c r="P24" s="19">
        <v>6</v>
      </c>
      <c r="Q24" s="19">
        <v>10</v>
      </c>
      <c r="R24" s="19"/>
      <c r="S24" s="19"/>
      <c r="T24" s="19">
        <v>55</v>
      </c>
      <c r="U24" s="19"/>
      <c r="V24" s="19"/>
      <c r="W24" s="19">
        <v>350</v>
      </c>
      <c r="X24" s="19"/>
      <c r="Y24" s="19"/>
      <c r="Z24" s="18">
        <f t="shared" si="0"/>
        <v>2025.1</v>
      </c>
      <c r="AA24" s="19">
        <f t="shared" si="1"/>
        <v>2025.1</v>
      </c>
      <c r="AB24" s="19">
        <v>931</v>
      </c>
      <c r="AC24" s="19"/>
      <c r="AD24" s="19">
        <f t="shared" si="2"/>
        <v>1094.0999999999999</v>
      </c>
      <c r="AE24" s="19"/>
      <c r="AF24" s="14">
        <f t="shared" si="9"/>
        <v>9365</v>
      </c>
      <c r="AG24" s="21">
        <f t="shared" si="6"/>
        <v>2025.1</v>
      </c>
      <c r="AH24" s="19"/>
      <c r="AI24" s="21">
        <f t="shared" si="3"/>
        <v>931</v>
      </c>
      <c r="AJ24" s="19"/>
      <c r="AK24" s="19"/>
      <c r="AL24" s="19"/>
      <c r="AM24" s="19"/>
      <c r="AN24" s="15"/>
      <c r="AO24" s="22">
        <f t="shared" si="4"/>
        <v>57249.899999999987</v>
      </c>
    </row>
    <row r="25" spans="1:42" x14ac:dyDescent="0.25">
      <c r="A25" s="17">
        <v>46134</v>
      </c>
      <c r="B25" s="19"/>
      <c r="C25" s="19"/>
      <c r="D25" s="18">
        <f t="shared" si="7"/>
        <v>0</v>
      </c>
      <c r="E25" s="26">
        <v>2199.6</v>
      </c>
      <c r="F25" s="26">
        <v>90.8</v>
      </c>
      <c r="G25" s="26">
        <v>60</v>
      </c>
      <c r="H25" s="26">
        <v>5</v>
      </c>
      <c r="I25" s="26"/>
      <c r="J25" s="26"/>
      <c r="K25" s="26"/>
      <c r="L25" s="26"/>
      <c r="M25" s="26"/>
      <c r="N25" s="26">
        <v>538</v>
      </c>
      <c r="O25" s="26">
        <v>150.6</v>
      </c>
      <c r="P25" s="26">
        <v>88</v>
      </c>
      <c r="Q25" s="19">
        <v>10</v>
      </c>
      <c r="R25" s="19"/>
      <c r="S25" s="19"/>
      <c r="T25" s="19">
        <v>64</v>
      </c>
      <c r="U25" s="19"/>
      <c r="V25" s="19"/>
      <c r="W25" s="19">
        <v>3300</v>
      </c>
      <c r="X25" s="19">
        <v>15</v>
      </c>
      <c r="Y25" s="19"/>
      <c r="Z25" s="18">
        <f t="shared" si="0"/>
        <v>6521</v>
      </c>
      <c r="AA25" s="19">
        <f t="shared" si="1"/>
        <v>6521</v>
      </c>
      <c r="AB25" s="19">
        <v>1216</v>
      </c>
      <c r="AC25" s="19"/>
      <c r="AD25" s="19">
        <f t="shared" si="2"/>
        <v>5305</v>
      </c>
      <c r="AE25" s="19">
        <v>1572.7</v>
      </c>
      <c r="AF25" s="14">
        <f t="shared" si="9"/>
        <v>14670</v>
      </c>
      <c r="AG25" s="21">
        <f t="shared" si="6"/>
        <v>8093.7</v>
      </c>
      <c r="AH25" s="19"/>
      <c r="AI25" s="21">
        <f t="shared" si="3"/>
        <v>1216</v>
      </c>
      <c r="AJ25" s="19"/>
      <c r="AK25" s="19"/>
      <c r="AL25" s="19"/>
      <c r="AM25" s="19"/>
      <c r="AN25" s="15"/>
      <c r="AO25" s="22">
        <f t="shared" si="4"/>
        <v>62554.899999999987</v>
      </c>
    </row>
    <row r="26" spans="1:42" x14ac:dyDescent="0.25">
      <c r="A26" s="17">
        <v>46135</v>
      </c>
      <c r="B26" s="27"/>
      <c r="C26" s="28"/>
      <c r="D26" s="18">
        <f t="shared" si="7"/>
        <v>0</v>
      </c>
      <c r="E26" s="19">
        <v>927.1</v>
      </c>
      <c r="F26" s="19">
        <v>162.6</v>
      </c>
      <c r="G26" s="19">
        <v>240</v>
      </c>
      <c r="H26" s="19">
        <v>20</v>
      </c>
      <c r="I26" s="19"/>
      <c r="J26" s="19"/>
      <c r="K26" s="19"/>
      <c r="L26" s="19"/>
      <c r="M26" s="19"/>
      <c r="N26" s="19">
        <v>546</v>
      </c>
      <c r="O26" s="19"/>
      <c r="P26" s="19"/>
      <c r="Q26" s="19">
        <v>10</v>
      </c>
      <c r="R26" s="19"/>
      <c r="S26" s="19"/>
      <c r="T26" s="19">
        <v>59.5</v>
      </c>
      <c r="U26" s="19"/>
      <c r="V26" s="19"/>
      <c r="W26" s="19"/>
      <c r="X26" s="19"/>
      <c r="Y26" s="19"/>
      <c r="Z26" s="18">
        <f t="shared" si="0"/>
        <v>1965.2</v>
      </c>
      <c r="AA26" s="19">
        <f t="shared" si="1"/>
        <v>1965.2</v>
      </c>
      <c r="AB26" s="19">
        <v>867.3</v>
      </c>
      <c r="AC26" s="19"/>
      <c r="AD26" s="19">
        <f t="shared" si="2"/>
        <v>1097.9000000000001</v>
      </c>
      <c r="AE26" s="19">
        <v>565</v>
      </c>
      <c r="AF26" s="14">
        <f t="shared" si="9"/>
        <v>6767.9</v>
      </c>
      <c r="AG26" s="21">
        <f t="shared" si="6"/>
        <v>2530.1999999999998</v>
      </c>
      <c r="AH26" s="19"/>
      <c r="AI26" s="21">
        <f t="shared" si="3"/>
        <v>867.3</v>
      </c>
      <c r="AJ26" s="19">
        <v>9000</v>
      </c>
      <c r="AK26" s="19"/>
      <c r="AL26" s="19"/>
      <c r="AM26" s="19"/>
      <c r="AN26" s="15"/>
      <c r="AO26" s="22">
        <f t="shared" si="4"/>
        <v>63652.799999999988</v>
      </c>
    </row>
    <row r="27" spans="1:42" x14ac:dyDescent="0.25">
      <c r="A27" s="17">
        <v>46136</v>
      </c>
      <c r="B27" s="27">
        <v>1495</v>
      </c>
      <c r="C27" s="28">
        <v>2220</v>
      </c>
      <c r="D27" s="18">
        <f t="shared" si="7"/>
        <v>3715</v>
      </c>
      <c r="E27" s="19">
        <v>23.3</v>
      </c>
      <c r="F27" s="19">
        <v>6</v>
      </c>
      <c r="G27" s="19">
        <v>60</v>
      </c>
      <c r="H27" s="19">
        <v>5</v>
      </c>
      <c r="I27" s="19"/>
      <c r="J27" s="19"/>
      <c r="K27" s="19"/>
      <c r="L27" s="19"/>
      <c r="M27" s="19"/>
      <c r="N27" s="19">
        <v>520</v>
      </c>
      <c r="O27" s="19"/>
      <c r="P27" s="19"/>
      <c r="Q27" s="19">
        <v>10</v>
      </c>
      <c r="R27" s="19"/>
      <c r="S27" s="19"/>
      <c r="T27" s="19">
        <v>61.2</v>
      </c>
      <c r="U27" s="19"/>
      <c r="V27" s="19"/>
      <c r="W27" s="19">
        <v>300</v>
      </c>
      <c r="X27" s="19"/>
      <c r="Y27" s="19"/>
      <c r="Z27" s="18">
        <f t="shared" si="0"/>
        <v>985.5</v>
      </c>
      <c r="AA27" s="19">
        <f t="shared" si="1"/>
        <v>4700.5</v>
      </c>
      <c r="AB27" s="19">
        <v>132.9</v>
      </c>
      <c r="AC27" s="19"/>
      <c r="AD27" s="19">
        <f t="shared" si="2"/>
        <v>4567.6000000000004</v>
      </c>
      <c r="AE27" s="19">
        <v>30</v>
      </c>
      <c r="AF27" s="14">
        <f t="shared" si="9"/>
        <v>11335.5</v>
      </c>
      <c r="AG27" s="21">
        <f t="shared" si="6"/>
        <v>4730.5</v>
      </c>
      <c r="AH27" s="19"/>
      <c r="AI27" s="21">
        <f t="shared" si="3"/>
        <v>132.9</v>
      </c>
      <c r="AJ27" s="19"/>
      <c r="AK27" s="19"/>
      <c r="AL27" s="19"/>
      <c r="AM27" s="19"/>
      <c r="AN27" s="15">
        <v>29600</v>
      </c>
      <c r="AO27" s="22">
        <f t="shared" si="4"/>
        <v>38620.399999999994</v>
      </c>
    </row>
    <row r="28" spans="1:42" x14ac:dyDescent="0.25">
      <c r="A28" s="17">
        <v>46137</v>
      </c>
      <c r="B28" s="27"/>
      <c r="C28" s="28"/>
      <c r="D28" s="18">
        <f t="shared" si="7"/>
        <v>0</v>
      </c>
      <c r="E28" s="19">
        <v>101.8</v>
      </c>
      <c r="F28" s="19">
        <v>6</v>
      </c>
      <c r="G28" s="19">
        <v>120</v>
      </c>
      <c r="H28" s="19">
        <v>10</v>
      </c>
      <c r="I28" s="19"/>
      <c r="J28" s="19"/>
      <c r="K28" s="19"/>
      <c r="L28" s="19"/>
      <c r="M28" s="19"/>
      <c r="N28" s="19">
        <v>521.5</v>
      </c>
      <c r="O28" s="19"/>
      <c r="P28" s="19"/>
      <c r="Q28" s="19">
        <v>10</v>
      </c>
      <c r="R28" s="19"/>
      <c r="S28" s="19"/>
      <c r="T28" s="19">
        <v>61.5</v>
      </c>
      <c r="U28" s="19"/>
      <c r="V28" s="19"/>
      <c r="W28" s="19"/>
      <c r="X28" s="19"/>
      <c r="Y28" s="19"/>
      <c r="Z28" s="18">
        <f t="shared" si="0"/>
        <v>830.8</v>
      </c>
      <c r="AA28" s="19">
        <f t="shared" si="1"/>
        <v>830.8</v>
      </c>
      <c r="AB28" s="19">
        <v>30</v>
      </c>
      <c r="AC28" s="19"/>
      <c r="AD28" s="19">
        <f t="shared" si="2"/>
        <v>800.8</v>
      </c>
      <c r="AE28" s="19"/>
      <c r="AF28" s="14">
        <f t="shared" si="9"/>
        <v>12136.3</v>
      </c>
      <c r="AG28" s="21">
        <f t="shared" si="6"/>
        <v>830.8</v>
      </c>
      <c r="AH28" s="19"/>
      <c r="AI28" s="21">
        <f t="shared" si="3"/>
        <v>30</v>
      </c>
      <c r="AJ28" s="19"/>
      <c r="AK28" s="19"/>
      <c r="AL28" s="19"/>
      <c r="AM28" s="19"/>
      <c r="AN28" s="15"/>
      <c r="AO28" s="22">
        <f t="shared" si="4"/>
        <v>39421.199999999997</v>
      </c>
    </row>
    <row r="29" spans="1:42" x14ac:dyDescent="0.25">
      <c r="A29" s="17">
        <v>46138</v>
      </c>
      <c r="B29" s="27"/>
      <c r="C29" s="28"/>
      <c r="D29" s="18">
        <f t="shared" si="7"/>
        <v>0</v>
      </c>
      <c r="E29" s="19"/>
      <c r="F29" s="19"/>
      <c r="G29" s="19"/>
      <c r="H29" s="19"/>
      <c r="I29" s="19"/>
      <c r="J29" s="19"/>
      <c r="K29" s="19"/>
      <c r="L29" s="19"/>
      <c r="M29" s="19"/>
      <c r="N29" s="19">
        <v>598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8">
        <f t="shared" si="0"/>
        <v>598</v>
      </c>
      <c r="AA29" s="19">
        <f t="shared" si="1"/>
        <v>598</v>
      </c>
      <c r="AB29" s="15"/>
      <c r="AC29" s="15"/>
      <c r="AD29" s="19">
        <f t="shared" si="2"/>
        <v>598</v>
      </c>
      <c r="AE29" s="15"/>
      <c r="AF29" s="14">
        <f t="shared" si="9"/>
        <v>12734.3</v>
      </c>
      <c r="AG29" s="21">
        <f t="shared" si="6"/>
        <v>598</v>
      </c>
      <c r="AH29" s="19"/>
      <c r="AI29" s="21">
        <f t="shared" si="3"/>
        <v>0</v>
      </c>
      <c r="AJ29" s="19"/>
      <c r="AK29" s="19"/>
      <c r="AL29" s="19"/>
      <c r="AM29" s="19"/>
      <c r="AN29" s="15"/>
      <c r="AO29" s="22">
        <f t="shared" si="4"/>
        <v>40019.199999999997</v>
      </c>
      <c r="AP29" s="25"/>
    </row>
    <row r="30" spans="1:42" x14ac:dyDescent="0.25">
      <c r="A30" s="17">
        <v>46139</v>
      </c>
      <c r="B30" s="27"/>
      <c r="C30" s="28"/>
      <c r="D30" s="18">
        <f t="shared" si="7"/>
        <v>0</v>
      </c>
      <c r="E30" s="19">
        <v>432.6</v>
      </c>
      <c r="F30" s="19">
        <v>58.4</v>
      </c>
      <c r="G30" s="19">
        <v>60</v>
      </c>
      <c r="H30" s="19">
        <v>5</v>
      </c>
      <c r="I30" s="26"/>
      <c r="J30" s="26"/>
      <c r="K30" s="26"/>
      <c r="L30" s="26"/>
      <c r="M30" s="26">
        <v>10</v>
      </c>
      <c r="N30" s="19">
        <v>335.5</v>
      </c>
      <c r="O30" s="19">
        <v>16.600000000000001</v>
      </c>
      <c r="P30" s="19">
        <v>12</v>
      </c>
      <c r="Q30" s="19">
        <v>40</v>
      </c>
      <c r="R30" s="19"/>
      <c r="S30" s="19"/>
      <c r="T30" s="19">
        <v>70.7</v>
      </c>
      <c r="U30" s="19"/>
      <c r="V30" s="19"/>
      <c r="W30" s="19">
        <v>50</v>
      </c>
      <c r="X30" s="19"/>
      <c r="Y30" s="19">
        <v>10</v>
      </c>
      <c r="Z30" s="18">
        <f>SUM(E30:Y30)</f>
        <v>1100.8</v>
      </c>
      <c r="AA30" s="19">
        <f t="shared" si="1"/>
        <v>1100.8</v>
      </c>
      <c r="AB30" s="19">
        <v>2685.5</v>
      </c>
      <c r="AC30" s="19"/>
      <c r="AD30" s="19">
        <f t="shared" si="2"/>
        <v>-1584.7</v>
      </c>
      <c r="AE30" s="19"/>
      <c r="AF30" s="14">
        <f t="shared" si="9"/>
        <v>11149.599999999999</v>
      </c>
      <c r="AG30" s="21">
        <f t="shared" si="6"/>
        <v>1100.8</v>
      </c>
      <c r="AH30" s="19"/>
      <c r="AI30" s="21">
        <f t="shared" si="3"/>
        <v>2685.5</v>
      </c>
      <c r="AJ30" s="19"/>
      <c r="AK30" s="19"/>
      <c r="AL30" s="19"/>
      <c r="AM30" s="19"/>
      <c r="AN30" s="15"/>
      <c r="AO30" s="22">
        <f t="shared" si="4"/>
        <v>38434.5</v>
      </c>
      <c r="AP30" s="25"/>
    </row>
    <row r="31" spans="1:42" x14ac:dyDescent="0.25">
      <c r="A31" s="17">
        <v>46140</v>
      </c>
      <c r="B31" s="27"/>
      <c r="C31" s="28"/>
      <c r="D31" s="18">
        <f t="shared" si="7"/>
        <v>0</v>
      </c>
      <c r="E31" s="19">
        <v>1135.4000000000001</v>
      </c>
      <c r="F31" s="19">
        <v>285.3</v>
      </c>
      <c r="G31" s="19">
        <v>60</v>
      </c>
      <c r="H31" s="19">
        <v>5</v>
      </c>
      <c r="I31" s="19"/>
      <c r="J31" s="19"/>
      <c r="K31" s="19"/>
      <c r="L31" s="19"/>
      <c r="M31" s="19">
        <v>5</v>
      </c>
      <c r="N31" s="19">
        <v>539</v>
      </c>
      <c r="O31" s="19">
        <v>275.10000000000002</v>
      </c>
      <c r="P31" s="19">
        <v>18</v>
      </c>
      <c r="Q31" s="19">
        <v>10</v>
      </c>
      <c r="R31" s="19"/>
      <c r="S31" s="19"/>
      <c r="T31" s="19">
        <v>66.400000000000006</v>
      </c>
      <c r="U31" s="19"/>
      <c r="V31" s="19"/>
      <c r="W31" s="19">
        <v>100</v>
      </c>
      <c r="X31" s="19"/>
      <c r="Y31" s="19"/>
      <c r="Z31" s="18">
        <f t="shared" ref="Z31:Z34" si="10">SUM(E31:W31)</f>
        <v>2499.2000000000003</v>
      </c>
      <c r="AA31" s="19">
        <f t="shared" si="1"/>
        <v>2499.2000000000003</v>
      </c>
      <c r="AB31" s="19">
        <v>200</v>
      </c>
      <c r="AC31" s="19"/>
      <c r="AD31" s="19">
        <f t="shared" si="2"/>
        <v>2299.2000000000003</v>
      </c>
      <c r="AE31" s="19">
        <v>867.2</v>
      </c>
      <c r="AF31" s="14">
        <f t="shared" si="9"/>
        <v>13448.8</v>
      </c>
      <c r="AG31" s="21">
        <f t="shared" si="6"/>
        <v>3366.4000000000005</v>
      </c>
      <c r="AH31" s="19"/>
      <c r="AI31" s="21">
        <f t="shared" si="3"/>
        <v>200</v>
      </c>
      <c r="AJ31" s="19"/>
      <c r="AK31" s="19"/>
      <c r="AL31" s="19"/>
      <c r="AM31" s="19"/>
      <c r="AN31" s="15"/>
      <c r="AO31" s="22">
        <f t="shared" si="4"/>
        <v>40733.699999999997</v>
      </c>
    </row>
    <row r="32" spans="1:42" x14ac:dyDescent="0.25">
      <c r="A32" s="17">
        <v>46141</v>
      </c>
      <c r="B32" s="27">
        <v>1907</v>
      </c>
      <c r="C32" s="28">
        <v>1350</v>
      </c>
      <c r="D32" s="18">
        <f t="shared" si="7"/>
        <v>3257</v>
      </c>
      <c r="E32" s="19">
        <v>1173</v>
      </c>
      <c r="F32" s="19">
        <v>488.3</v>
      </c>
      <c r="G32" s="19">
        <v>492</v>
      </c>
      <c r="H32" s="19">
        <v>25</v>
      </c>
      <c r="I32" s="19">
        <v>200</v>
      </c>
      <c r="J32" s="19"/>
      <c r="K32" s="19"/>
      <c r="L32" s="19"/>
      <c r="M32" s="19"/>
      <c r="N32" s="19">
        <v>534</v>
      </c>
      <c r="O32" s="19">
        <v>148.30000000000001</v>
      </c>
      <c r="P32" s="19">
        <v>61</v>
      </c>
      <c r="Q32" s="19"/>
      <c r="R32" s="19"/>
      <c r="S32" s="19"/>
      <c r="T32" s="19">
        <v>59.5</v>
      </c>
      <c r="U32" s="19"/>
      <c r="V32" s="19"/>
      <c r="W32" s="19">
        <v>2500.8000000000002</v>
      </c>
      <c r="X32" s="19"/>
      <c r="Y32" s="19"/>
      <c r="Z32" s="18">
        <f t="shared" si="10"/>
        <v>5681.9000000000005</v>
      </c>
      <c r="AA32" s="19">
        <f t="shared" si="1"/>
        <v>8938.9000000000015</v>
      </c>
      <c r="AB32" s="19">
        <v>309.60000000000002</v>
      </c>
      <c r="AC32" s="19"/>
      <c r="AD32" s="19">
        <f t="shared" si="2"/>
        <v>8629.3000000000011</v>
      </c>
      <c r="AE32" s="19"/>
      <c r="AF32" s="14">
        <f t="shared" si="9"/>
        <v>22078.1</v>
      </c>
      <c r="AG32" s="21">
        <f t="shared" si="6"/>
        <v>8938.9000000000015</v>
      </c>
      <c r="AH32" s="19"/>
      <c r="AI32" s="21">
        <f t="shared" si="3"/>
        <v>309.60000000000002</v>
      </c>
      <c r="AJ32" s="19"/>
      <c r="AK32" s="19"/>
      <c r="AL32" s="19"/>
      <c r="AM32" s="19"/>
      <c r="AN32" s="15"/>
      <c r="AO32" s="22">
        <f t="shared" si="4"/>
        <v>49363</v>
      </c>
    </row>
    <row r="33" spans="1:42" x14ac:dyDescent="0.25">
      <c r="A33" s="17">
        <v>46142</v>
      </c>
      <c r="B33" s="27"/>
      <c r="C33" s="28"/>
      <c r="D33" s="18">
        <f t="shared" si="7"/>
        <v>0</v>
      </c>
      <c r="E33" s="19">
        <v>1694.5</v>
      </c>
      <c r="F33" s="19">
        <v>315</v>
      </c>
      <c r="G33" s="19">
        <v>160</v>
      </c>
      <c r="H33" s="19">
        <v>15</v>
      </c>
      <c r="I33" s="19"/>
      <c r="J33" s="19"/>
      <c r="K33" s="19"/>
      <c r="L33" s="19">
        <v>113</v>
      </c>
      <c r="M33" s="19">
        <v>5</v>
      </c>
      <c r="N33" s="19">
        <v>525.5</v>
      </c>
      <c r="O33" s="19">
        <v>44</v>
      </c>
      <c r="P33" s="19">
        <v>10</v>
      </c>
      <c r="Q33" s="19">
        <v>20</v>
      </c>
      <c r="R33" s="19">
        <v>30</v>
      </c>
      <c r="S33" s="19"/>
      <c r="T33" s="19">
        <v>56.3</v>
      </c>
      <c r="U33" s="19"/>
      <c r="V33" s="19"/>
      <c r="W33" s="19">
        <v>490</v>
      </c>
      <c r="X33" s="19"/>
      <c r="Y33" s="19"/>
      <c r="Z33" s="18">
        <f t="shared" si="10"/>
        <v>3478.3</v>
      </c>
      <c r="AA33" s="19">
        <f t="shared" si="1"/>
        <v>3478.3</v>
      </c>
      <c r="AB33" s="19">
        <v>16507.599999999999</v>
      </c>
      <c r="AC33" s="19"/>
      <c r="AD33" s="19">
        <f t="shared" si="2"/>
        <v>-13029.3</v>
      </c>
      <c r="AE33" s="19"/>
      <c r="AF33" s="14">
        <f t="shared" si="9"/>
        <v>9048.7999999999993</v>
      </c>
      <c r="AG33" s="21">
        <f t="shared" si="6"/>
        <v>3478.3</v>
      </c>
      <c r="AH33" s="19"/>
      <c r="AI33" s="21">
        <f t="shared" si="3"/>
        <v>16507.599999999999</v>
      </c>
      <c r="AJ33" s="19"/>
      <c r="AK33" s="19"/>
      <c r="AL33" s="19"/>
      <c r="AM33" s="19"/>
      <c r="AN33" s="15"/>
      <c r="AO33" s="22">
        <f t="shared" si="4"/>
        <v>36333.699999999997</v>
      </c>
    </row>
    <row r="34" spans="1:42" x14ac:dyDescent="0.25">
      <c r="A34" s="17">
        <v>46143</v>
      </c>
      <c r="B34" s="27"/>
      <c r="C34" s="2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6"/>
      <c r="S34" s="26"/>
      <c r="T34" s="26"/>
      <c r="U34" s="26"/>
      <c r="V34" s="26"/>
      <c r="W34" s="26"/>
      <c r="X34" s="26"/>
      <c r="Y34" s="26"/>
      <c r="Z34" s="18">
        <f t="shared" si="10"/>
        <v>0</v>
      </c>
      <c r="AA34" s="19">
        <f t="shared" si="1"/>
        <v>0</v>
      </c>
      <c r="AB34" s="19"/>
      <c r="AC34" s="19"/>
      <c r="AD34" s="19">
        <f t="shared" si="2"/>
        <v>0</v>
      </c>
      <c r="AE34" s="19"/>
      <c r="AF34" s="14"/>
      <c r="AG34" s="21">
        <f t="shared" si="6"/>
        <v>0</v>
      </c>
      <c r="AH34" s="29"/>
      <c r="AI34" s="21">
        <f t="shared" si="3"/>
        <v>0</v>
      </c>
      <c r="AJ34" s="29"/>
      <c r="AK34" s="29"/>
      <c r="AL34" s="29"/>
      <c r="AM34" s="29"/>
      <c r="AN34" s="15"/>
      <c r="AO34" s="22"/>
    </row>
    <row r="35" spans="1:42" x14ac:dyDescent="0.25">
      <c r="A35" s="17"/>
      <c r="B35" s="18">
        <f t="shared" ref="B35:D35" si="11">SUM(B3:B33)</f>
        <v>7152</v>
      </c>
      <c r="C35" s="18">
        <f t="shared" si="11"/>
        <v>8960</v>
      </c>
      <c r="D35" s="18">
        <f t="shared" si="11"/>
        <v>16112</v>
      </c>
      <c r="E35" s="18">
        <f t="shared" ref="E35:M35" si="12">SUM(E3:E34)</f>
        <v>8632.3000000000011</v>
      </c>
      <c r="F35" s="18">
        <f t="shared" si="12"/>
        <v>1511.7</v>
      </c>
      <c r="G35" s="18">
        <f t="shared" si="12"/>
        <v>2460</v>
      </c>
      <c r="H35" s="18">
        <f t="shared" si="12"/>
        <v>195</v>
      </c>
      <c r="I35" s="18">
        <f t="shared" si="12"/>
        <v>750</v>
      </c>
      <c r="J35" s="18">
        <f t="shared" si="12"/>
        <v>20</v>
      </c>
      <c r="K35" s="18">
        <f t="shared" si="12"/>
        <v>15</v>
      </c>
      <c r="L35" s="18">
        <f t="shared" si="12"/>
        <v>339</v>
      </c>
      <c r="M35" s="18">
        <f t="shared" si="12"/>
        <v>20</v>
      </c>
      <c r="N35" s="18">
        <f>SUM(N3:N34)</f>
        <v>14307.5</v>
      </c>
      <c r="O35" s="18">
        <f t="shared" ref="O35:AA35" si="13">SUM(O3:O34)</f>
        <v>1432.7</v>
      </c>
      <c r="P35" s="18">
        <f t="shared" si="13"/>
        <v>465.4</v>
      </c>
      <c r="Q35" s="18">
        <f t="shared" si="13"/>
        <v>260</v>
      </c>
      <c r="R35" s="18">
        <f t="shared" si="13"/>
        <v>350</v>
      </c>
      <c r="S35" s="18">
        <f t="shared" si="13"/>
        <v>600</v>
      </c>
      <c r="T35" s="18">
        <f t="shared" si="13"/>
        <v>1580.3000000000002</v>
      </c>
      <c r="U35" s="18">
        <f t="shared" si="13"/>
        <v>226.4</v>
      </c>
      <c r="V35" s="18">
        <f t="shared" si="13"/>
        <v>1400</v>
      </c>
      <c r="W35" s="18">
        <f t="shared" si="13"/>
        <v>28749.7</v>
      </c>
      <c r="X35" s="18">
        <f t="shared" si="13"/>
        <v>15</v>
      </c>
      <c r="Y35" s="18">
        <f t="shared" si="13"/>
        <v>10</v>
      </c>
      <c r="Z35" s="18">
        <f t="shared" si="13"/>
        <v>63340</v>
      </c>
      <c r="AA35" s="18">
        <f t="shared" si="13"/>
        <v>79452.000000000015</v>
      </c>
      <c r="AB35" s="18">
        <f>SUM(AB3:AB34)</f>
        <v>36770.1</v>
      </c>
      <c r="AC35" s="18">
        <f>SUM(AC3:AC34)</f>
        <v>544</v>
      </c>
      <c r="AD35" s="18">
        <f>SUM(AD3:AD34)</f>
        <v>42681.899999999994</v>
      </c>
      <c r="AE35" s="18">
        <f>SUM(AE3:AE34)</f>
        <v>12507.2</v>
      </c>
      <c r="AF35" s="18"/>
      <c r="AG35" s="29">
        <f>SUM(AG3:AG33)</f>
        <v>91959.2</v>
      </c>
      <c r="AH35" s="29">
        <f>SUM(AH3:AH33)</f>
        <v>67703.48</v>
      </c>
      <c r="AI35" s="29">
        <f>SUM(AI3:AI33)</f>
        <v>104473.57999999999</v>
      </c>
      <c r="AJ35" s="29">
        <f>SUM(AJ3:AJ34)</f>
        <v>79958.3</v>
      </c>
      <c r="AK35" s="29">
        <f t="shared" ref="AK35:AM35" si="14">SUM(AK3:AK34)</f>
        <v>1221.2</v>
      </c>
      <c r="AL35" s="29">
        <f t="shared" si="14"/>
        <v>7931.4</v>
      </c>
      <c r="AM35" s="29">
        <f t="shared" si="14"/>
        <v>1774</v>
      </c>
      <c r="AN35" s="15">
        <f>SUM(AN4:AN33)</f>
        <v>63600</v>
      </c>
      <c r="AO35" s="30"/>
      <c r="AP35" s="31">
        <f>SUM(AP3:AP33)</f>
        <v>5266</v>
      </c>
    </row>
  </sheetData>
  <mergeCells count="11">
    <mergeCell ref="AA1:AA2"/>
    <mergeCell ref="AB1:AB2"/>
    <mergeCell ref="AD1:AD2"/>
    <mergeCell ref="AF1:AF2"/>
    <mergeCell ref="AO1:AO2"/>
    <mergeCell ref="Z1:Z2"/>
    <mergeCell ref="A1:A2"/>
    <mergeCell ref="B1:C1"/>
    <mergeCell ref="D1:D2"/>
    <mergeCell ref="E1:N1"/>
    <mergeCell ref="O1:W1"/>
  </mergeCells>
  <pageMargins left="0" right="0" top="0.74803149606299213" bottom="0.55118110236220474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8A6D-67CE-4C47-ACF1-11CEE9715990}">
  <dimension ref="A1:Q36"/>
  <sheetViews>
    <sheetView topLeftCell="A7" workbookViewId="0">
      <selection activeCell="R36" sqref="R36"/>
    </sheetView>
  </sheetViews>
  <sheetFormatPr baseColWidth="10" defaultRowHeight="15" x14ac:dyDescent="0.25"/>
  <cols>
    <col min="2" max="2" width="10" customWidth="1"/>
    <col min="3" max="3" width="9.5703125" customWidth="1"/>
    <col min="4" max="4" width="9.28515625" customWidth="1"/>
    <col min="5" max="5" width="9.140625" customWidth="1"/>
    <col min="6" max="6" width="8.140625" customWidth="1"/>
    <col min="7" max="7" width="9.5703125" customWidth="1"/>
    <col min="8" max="8" width="10.28515625" customWidth="1"/>
    <col min="9" max="9" width="9.42578125" customWidth="1"/>
    <col min="10" max="10" width="9.85546875" customWidth="1"/>
    <col min="11" max="11" width="9.42578125" customWidth="1"/>
    <col min="12" max="12" width="9" customWidth="1"/>
    <col min="13" max="13" width="9.85546875" customWidth="1"/>
    <col min="14" max="14" width="10.42578125" customWidth="1"/>
    <col min="15" max="15" width="9.85546875" customWidth="1"/>
    <col min="16" max="16" width="10.28515625" customWidth="1"/>
  </cols>
  <sheetData>
    <row r="1" spans="1:17" x14ac:dyDescent="0.25">
      <c r="A1" s="35"/>
      <c r="B1" s="35" t="s">
        <v>37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x14ac:dyDescent="0.25">
      <c r="A2" s="35" t="s">
        <v>0</v>
      </c>
      <c r="B2" s="35" t="s">
        <v>9</v>
      </c>
      <c r="C2" s="35"/>
      <c r="D2" s="35"/>
      <c r="E2" s="35"/>
      <c r="F2" s="35"/>
      <c r="G2" s="64" t="s">
        <v>41</v>
      </c>
      <c r="H2" s="35"/>
      <c r="I2" s="35"/>
      <c r="J2" s="35" t="s">
        <v>2</v>
      </c>
      <c r="K2" s="35"/>
      <c r="L2" s="35"/>
      <c r="M2" s="35"/>
      <c r="N2" s="35"/>
      <c r="O2" s="35"/>
      <c r="P2" s="35"/>
      <c r="Q2" s="35" t="s">
        <v>38</v>
      </c>
    </row>
    <row r="3" spans="1:17" x14ac:dyDescent="0.25">
      <c r="A3" s="35"/>
      <c r="B3" s="37" t="s">
        <v>28</v>
      </c>
      <c r="C3" s="37" t="s">
        <v>29</v>
      </c>
      <c r="D3" s="37" t="s">
        <v>30</v>
      </c>
      <c r="E3" s="37" t="s">
        <v>31</v>
      </c>
      <c r="F3" s="37" t="s">
        <v>32</v>
      </c>
      <c r="G3" s="65"/>
      <c r="H3" s="35" t="s">
        <v>48</v>
      </c>
      <c r="I3" s="37" t="s">
        <v>47</v>
      </c>
      <c r="J3" s="37" t="s">
        <v>11</v>
      </c>
      <c r="K3" s="37" t="s">
        <v>12</v>
      </c>
      <c r="L3" s="37" t="s">
        <v>14</v>
      </c>
      <c r="M3" s="37" t="s">
        <v>36</v>
      </c>
      <c r="N3" s="35" t="s">
        <v>39</v>
      </c>
      <c r="O3" s="37" t="s">
        <v>17</v>
      </c>
      <c r="P3" s="35" t="s">
        <v>40</v>
      </c>
      <c r="Q3" s="35"/>
    </row>
    <row r="4" spans="1:17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8">
        <f t="shared" ref="Q4:Q34" si="0">SUM(B4:P4)</f>
        <v>0</v>
      </c>
    </row>
    <row r="5" spans="1:17" x14ac:dyDescent="0.25">
      <c r="A5" s="36">
        <v>46113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>
        <v>500</v>
      </c>
      <c r="P5" s="39"/>
      <c r="Q5" s="39">
        <f t="shared" si="0"/>
        <v>500</v>
      </c>
    </row>
    <row r="6" spans="1:17" x14ac:dyDescent="0.25">
      <c r="A6" s="36">
        <v>46114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>
        <f t="shared" si="0"/>
        <v>0</v>
      </c>
    </row>
    <row r="7" spans="1:17" x14ac:dyDescent="0.25">
      <c r="A7" s="36">
        <v>46115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>
        <f t="shared" si="0"/>
        <v>0</v>
      </c>
    </row>
    <row r="8" spans="1:17" x14ac:dyDescent="0.25">
      <c r="A8" s="36">
        <v>46116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>
        <f t="shared" si="0"/>
        <v>0</v>
      </c>
    </row>
    <row r="9" spans="1:17" x14ac:dyDescent="0.25">
      <c r="A9" s="36">
        <v>46117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>
        <f t="shared" si="0"/>
        <v>0</v>
      </c>
    </row>
    <row r="10" spans="1:17" x14ac:dyDescent="0.25">
      <c r="A10" s="36">
        <v>46118</v>
      </c>
      <c r="B10" s="39"/>
      <c r="C10" s="39"/>
      <c r="D10" s="39">
        <v>60</v>
      </c>
      <c r="E10" s="39">
        <v>5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>
        <f t="shared" si="0"/>
        <v>65</v>
      </c>
    </row>
    <row r="11" spans="1:17" x14ac:dyDescent="0.25">
      <c r="A11" s="36">
        <v>46119</v>
      </c>
      <c r="B11" s="39"/>
      <c r="C11" s="39"/>
      <c r="D11" s="39"/>
      <c r="E11" s="39"/>
      <c r="F11" s="39"/>
      <c r="G11" s="39"/>
      <c r="H11" s="39"/>
      <c r="I11" s="39"/>
      <c r="J11" s="39">
        <v>30</v>
      </c>
      <c r="K11" s="39">
        <v>15</v>
      </c>
      <c r="L11" s="39"/>
      <c r="M11" s="39"/>
      <c r="N11" s="39"/>
      <c r="O11" s="39">
        <v>600</v>
      </c>
      <c r="P11" s="39"/>
      <c r="Q11" s="39">
        <f t="shared" si="0"/>
        <v>645</v>
      </c>
    </row>
    <row r="12" spans="1:17" x14ac:dyDescent="0.25">
      <c r="A12" s="36">
        <v>46120</v>
      </c>
      <c r="B12" s="39"/>
      <c r="C12" s="39"/>
      <c r="D12" s="39"/>
      <c r="E12" s="39"/>
      <c r="F12" s="39"/>
      <c r="G12" s="39"/>
      <c r="H12" s="39"/>
      <c r="I12" s="39"/>
      <c r="J12" s="39">
        <v>158.4</v>
      </c>
      <c r="K12" s="39">
        <v>24</v>
      </c>
      <c r="L12" s="39"/>
      <c r="M12" s="39"/>
      <c r="N12" s="39"/>
      <c r="O12" s="39">
        <v>1892</v>
      </c>
      <c r="P12" s="39"/>
      <c r="Q12" s="39">
        <f t="shared" si="0"/>
        <v>2074.4</v>
      </c>
    </row>
    <row r="13" spans="1:17" x14ac:dyDescent="0.25">
      <c r="A13" s="36">
        <v>46121</v>
      </c>
      <c r="B13" s="39">
        <v>96.5</v>
      </c>
      <c r="C13" s="39">
        <v>21.4</v>
      </c>
      <c r="D13" s="39">
        <v>60</v>
      </c>
      <c r="E13" s="39">
        <v>5</v>
      </c>
      <c r="F13" s="39">
        <v>200</v>
      </c>
      <c r="G13" s="39"/>
      <c r="H13" s="39"/>
      <c r="I13" s="39"/>
      <c r="J13" s="39">
        <v>178.5</v>
      </c>
      <c r="K13" s="39">
        <v>21.4</v>
      </c>
      <c r="L13" s="39">
        <v>60</v>
      </c>
      <c r="M13" s="39"/>
      <c r="N13" s="39"/>
      <c r="O13" s="39"/>
      <c r="P13" s="39"/>
      <c r="Q13" s="39">
        <f t="shared" si="0"/>
        <v>642.79999999999995</v>
      </c>
    </row>
    <row r="14" spans="1:17" x14ac:dyDescent="0.25">
      <c r="A14" s="36">
        <v>46122</v>
      </c>
      <c r="B14" s="39"/>
      <c r="C14" s="39"/>
      <c r="D14" s="39">
        <v>116</v>
      </c>
      <c r="E14" s="39">
        <v>10</v>
      </c>
      <c r="F14" s="39"/>
      <c r="G14" s="39"/>
      <c r="H14" s="39"/>
      <c r="I14" s="39"/>
      <c r="J14" s="39"/>
      <c r="K14" s="39"/>
      <c r="L14" s="39">
        <v>200</v>
      </c>
      <c r="M14" s="39"/>
      <c r="N14" s="39"/>
      <c r="O14" s="39">
        <v>400</v>
      </c>
      <c r="P14" s="39"/>
      <c r="Q14" s="39">
        <f t="shared" si="0"/>
        <v>726</v>
      </c>
    </row>
    <row r="15" spans="1:17" x14ac:dyDescent="0.25">
      <c r="A15" s="36">
        <v>46123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>
        <v>1000</v>
      </c>
      <c r="O15" s="39">
        <v>500</v>
      </c>
      <c r="P15" s="39"/>
      <c r="Q15" s="39">
        <f t="shared" si="0"/>
        <v>1500</v>
      </c>
    </row>
    <row r="16" spans="1:17" x14ac:dyDescent="0.25">
      <c r="A16" s="36">
        <v>46124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>
        <f t="shared" si="0"/>
        <v>0</v>
      </c>
    </row>
    <row r="17" spans="1:17" x14ac:dyDescent="0.25">
      <c r="A17" s="36">
        <v>46125</v>
      </c>
      <c r="B17" s="39"/>
      <c r="C17" s="39"/>
      <c r="D17" s="39"/>
      <c r="E17" s="39"/>
      <c r="F17" s="39"/>
      <c r="G17" s="39"/>
      <c r="H17" s="39"/>
      <c r="I17" s="39"/>
      <c r="J17" s="39">
        <v>30.4</v>
      </c>
      <c r="K17" s="39">
        <v>6</v>
      </c>
      <c r="L17" s="39"/>
      <c r="M17" s="39"/>
      <c r="N17" s="39"/>
      <c r="O17" s="39"/>
      <c r="P17" s="39"/>
      <c r="Q17" s="39">
        <f t="shared" si="0"/>
        <v>36.4</v>
      </c>
    </row>
    <row r="18" spans="1:17" x14ac:dyDescent="0.25">
      <c r="A18" s="36">
        <v>46126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>
        <v>60</v>
      </c>
      <c r="M18" s="39"/>
      <c r="N18" s="39"/>
      <c r="O18" s="39"/>
      <c r="P18" s="39"/>
      <c r="Q18" s="39">
        <f t="shared" si="0"/>
        <v>60</v>
      </c>
    </row>
    <row r="19" spans="1:17" x14ac:dyDescent="0.25">
      <c r="A19" s="36">
        <v>46127</v>
      </c>
      <c r="B19" s="39"/>
      <c r="C19" s="39"/>
      <c r="D19" s="39"/>
      <c r="E19" s="39"/>
      <c r="F19" s="39"/>
      <c r="G19" s="39"/>
      <c r="H19" s="39"/>
      <c r="I19" s="39"/>
      <c r="J19" s="39">
        <v>30</v>
      </c>
      <c r="K19" s="39">
        <v>18</v>
      </c>
      <c r="L19" s="39"/>
      <c r="M19" s="39"/>
      <c r="N19" s="39"/>
      <c r="O19" s="39">
        <v>1300</v>
      </c>
      <c r="P19" s="39">
        <v>28.3</v>
      </c>
      <c r="Q19" s="39">
        <f t="shared" si="0"/>
        <v>1376.3</v>
      </c>
    </row>
    <row r="20" spans="1:17" x14ac:dyDescent="0.25">
      <c r="A20" s="36">
        <v>46128</v>
      </c>
      <c r="B20" s="39">
        <v>22</v>
      </c>
      <c r="C20" s="39">
        <v>10</v>
      </c>
      <c r="D20" s="39">
        <v>56</v>
      </c>
      <c r="E20" s="39">
        <v>5</v>
      </c>
      <c r="F20" s="39">
        <v>297.2</v>
      </c>
      <c r="G20" s="39"/>
      <c r="H20" s="39"/>
      <c r="I20" s="39"/>
      <c r="J20" s="39"/>
      <c r="K20" s="39"/>
      <c r="L20" s="39">
        <v>160</v>
      </c>
      <c r="M20" s="39"/>
      <c r="N20" s="39"/>
      <c r="O20" s="39"/>
      <c r="P20" s="39"/>
      <c r="Q20" s="39">
        <f t="shared" si="0"/>
        <v>550.20000000000005</v>
      </c>
    </row>
    <row r="21" spans="1:17" x14ac:dyDescent="0.25">
      <c r="A21" s="36">
        <v>46129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>
        <f t="shared" si="0"/>
        <v>0</v>
      </c>
    </row>
    <row r="22" spans="1:17" x14ac:dyDescent="0.25">
      <c r="A22" s="36">
        <v>46130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>
        <v>30</v>
      </c>
      <c r="M22" s="39"/>
      <c r="N22" s="39"/>
      <c r="O22" s="39"/>
      <c r="P22" s="39"/>
      <c r="Q22" s="39">
        <f t="shared" si="0"/>
        <v>30</v>
      </c>
    </row>
    <row r="23" spans="1:17" x14ac:dyDescent="0.25">
      <c r="A23" s="36">
        <v>46131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>
        <f t="shared" si="0"/>
        <v>0</v>
      </c>
    </row>
    <row r="24" spans="1:17" x14ac:dyDescent="0.25">
      <c r="A24" s="36">
        <v>46132</v>
      </c>
      <c r="B24" s="39">
        <v>552.79999999999995</v>
      </c>
      <c r="C24" s="39">
        <v>118.4</v>
      </c>
      <c r="D24" s="39">
        <v>60</v>
      </c>
      <c r="E24" s="39">
        <v>5</v>
      </c>
      <c r="F24" s="39"/>
      <c r="G24" s="39"/>
      <c r="H24" s="39"/>
      <c r="I24" s="39"/>
      <c r="J24" s="39"/>
      <c r="K24" s="39"/>
      <c r="L24" s="39">
        <v>30</v>
      </c>
      <c r="M24" s="39"/>
      <c r="N24" s="39"/>
      <c r="O24" s="39">
        <v>500</v>
      </c>
      <c r="P24" s="39"/>
      <c r="Q24" s="39">
        <f t="shared" si="0"/>
        <v>1266.1999999999998</v>
      </c>
    </row>
    <row r="25" spans="1:17" x14ac:dyDescent="0.25">
      <c r="A25" s="36">
        <v>46133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>
        <f t="shared" si="0"/>
        <v>0</v>
      </c>
    </row>
    <row r="26" spans="1:17" x14ac:dyDescent="0.25">
      <c r="A26" s="36">
        <v>46134</v>
      </c>
      <c r="B26" s="39"/>
      <c r="C26" s="39"/>
      <c r="D26" s="39"/>
      <c r="E26" s="39"/>
      <c r="F26" s="39"/>
      <c r="G26" s="39"/>
      <c r="H26" s="39"/>
      <c r="I26" s="39"/>
      <c r="J26" s="39">
        <v>216.7</v>
      </c>
      <c r="K26" s="39">
        <v>56</v>
      </c>
      <c r="L26" s="39"/>
      <c r="M26" s="39"/>
      <c r="N26" s="39"/>
      <c r="O26" s="39">
        <v>1300</v>
      </c>
      <c r="P26" s="39"/>
      <c r="Q26" s="39">
        <f t="shared" si="0"/>
        <v>1572.7</v>
      </c>
    </row>
    <row r="27" spans="1:17" x14ac:dyDescent="0.25">
      <c r="A27" s="36">
        <v>46135</v>
      </c>
      <c r="B27" s="39">
        <v>29</v>
      </c>
      <c r="C27" s="39">
        <v>6</v>
      </c>
      <c r="D27" s="39"/>
      <c r="E27" s="39"/>
      <c r="F27" s="39"/>
      <c r="G27" s="39"/>
      <c r="H27" s="39"/>
      <c r="I27" s="39"/>
      <c r="J27" s="39"/>
      <c r="K27" s="39"/>
      <c r="L27" s="39">
        <v>30</v>
      </c>
      <c r="M27" s="39"/>
      <c r="N27" s="39"/>
      <c r="O27" s="39">
        <v>500</v>
      </c>
      <c r="P27" s="39"/>
      <c r="Q27" s="39">
        <f t="shared" si="0"/>
        <v>565</v>
      </c>
    </row>
    <row r="28" spans="1:17" x14ac:dyDescent="0.25">
      <c r="A28" s="36">
        <v>46136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>
        <v>30</v>
      </c>
      <c r="M28" s="39"/>
      <c r="N28" s="39"/>
      <c r="O28" s="39"/>
      <c r="P28" s="39"/>
      <c r="Q28" s="39">
        <f t="shared" si="0"/>
        <v>30</v>
      </c>
    </row>
    <row r="29" spans="1:17" x14ac:dyDescent="0.25">
      <c r="A29" s="36">
        <v>46137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>
        <f t="shared" si="0"/>
        <v>0</v>
      </c>
    </row>
    <row r="30" spans="1:17" x14ac:dyDescent="0.25">
      <c r="A30" s="36">
        <v>46138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>
        <f t="shared" si="0"/>
        <v>0</v>
      </c>
    </row>
    <row r="31" spans="1:17" x14ac:dyDescent="0.25">
      <c r="A31" s="36">
        <v>46139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>
        <f t="shared" si="0"/>
        <v>0</v>
      </c>
    </row>
    <row r="32" spans="1:17" x14ac:dyDescent="0.25">
      <c r="A32" s="36">
        <v>46140</v>
      </c>
      <c r="B32" s="39">
        <v>659.9</v>
      </c>
      <c r="C32" s="39">
        <v>52.3</v>
      </c>
      <c r="D32" s="39">
        <v>140</v>
      </c>
      <c r="E32" s="39">
        <v>15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>
        <f t="shared" si="0"/>
        <v>867.19999999999993</v>
      </c>
    </row>
    <row r="33" spans="1:17" x14ac:dyDescent="0.25">
      <c r="A33" s="36">
        <v>46141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>
        <f t="shared" si="0"/>
        <v>0</v>
      </c>
    </row>
    <row r="34" spans="1:17" x14ac:dyDescent="0.25">
      <c r="A34" s="36">
        <v>46142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>
        <f t="shared" si="0"/>
        <v>0</v>
      </c>
    </row>
    <row r="35" spans="1:17" x14ac:dyDescent="0.25">
      <c r="A35" s="35"/>
      <c r="B35" s="44">
        <f>SUM(B5:B34)</f>
        <v>1360.1999999999998</v>
      </c>
      <c r="C35" s="44">
        <f t="shared" ref="C35:Q35" si="1">SUM(C5:C34)</f>
        <v>208.10000000000002</v>
      </c>
      <c r="D35" s="44">
        <f t="shared" si="1"/>
        <v>492</v>
      </c>
      <c r="E35" s="44">
        <f t="shared" si="1"/>
        <v>45</v>
      </c>
      <c r="F35" s="44">
        <f t="shared" si="1"/>
        <v>497.2</v>
      </c>
      <c r="G35" s="44">
        <f t="shared" si="1"/>
        <v>0</v>
      </c>
      <c r="H35" s="44">
        <f t="shared" si="1"/>
        <v>0</v>
      </c>
      <c r="I35" s="44"/>
      <c r="J35" s="44">
        <f t="shared" si="1"/>
        <v>644</v>
      </c>
      <c r="K35" s="44">
        <f t="shared" si="1"/>
        <v>140.4</v>
      </c>
      <c r="L35" s="44">
        <f t="shared" si="1"/>
        <v>600</v>
      </c>
      <c r="M35" s="44">
        <f t="shared" si="1"/>
        <v>0</v>
      </c>
      <c r="N35" s="44">
        <f t="shared" si="1"/>
        <v>1000</v>
      </c>
      <c r="O35" s="44">
        <f t="shared" si="1"/>
        <v>7492</v>
      </c>
      <c r="P35" s="44">
        <f t="shared" si="1"/>
        <v>28.3</v>
      </c>
      <c r="Q35" s="44">
        <f t="shared" si="1"/>
        <v>12507.2</v>
      </c>
    </row>
    <row r="36" spans="1:17" x14ac:dyDescent="0.25">
      <c r="Q36" s="40"/>
    </row>
  </sheetData>
  <mergeCells count="1"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Alfredo Paredes Flores</dc:creator>
  <cp:lastModifiedBy>Oscar Alfredo Paredes Flores</cp:lastModifiedBy>
  <cp:lastPrinted>2026-05-01T17:02:52Z</cp:lastPrinted>
  <dcterms:created xsi:type="dcterms:W3CDTF">2026-04-02T15:27:57Z</dcterms:created>
  <dcterms:modified xsi:type="dcterms:W3CDTF">2026-05-01T17:03:27Z</dcterms:modified>
</cp:coreProperties>
</file>