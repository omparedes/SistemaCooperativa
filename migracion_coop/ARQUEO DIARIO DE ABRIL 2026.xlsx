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MYM\Documents\SECRETARIA\SECRETARIA - 2026\ARQUEO 2026\"/>
    </mc:Choice>
  </mc:AlternateContent>
  <xr:revisionPtr revIDLastSave="0" documentId="13_ncr:1_{2855E6A6-1FF6-498C-81D4-EDED43D97F7A}" xr6:coauthVersionLast="47" xr6:coauthVersionMax="47" xr10:uidLastSave="{00000000-0000-0000-0000-000000000000}"/>
  <bookViews>
    <workbookView xWindow="-120" yWindow="-120" windowWidth="29040" windowHeight="15720" firstSheet="21" activeTab="29" xr2:uid="{FA69913E-2427-4F6C-B678-3DD9C307CF7F}"/>
  </bookViews>
  <sheets>
    <sheet name="01-04-2026" sheetId="2" r:id="rId1"/>
    <sheet name="02-04-2026" sheetId="3" r:id="rId2"/>
    <sheet name="03-04-2026" sheetId="4" r:id="rId3"/>
    <sheet name="04-04-2026" sheetId="5" r:id="rId4"/>
    <sheet name="05-04-2026" sheetId="6" r:id="rId5"/>
    <sheet name="06-04-2026" sheetId="7" r:id="rId6"/>
    <sheet name="07-04-2026" sheetId="8" r:id="rId7"/>
    <sheet name="08-04-2026" sheetId="9" r:id="rId8"/>
    <sheet name="09-04-2026" sheetId="10" r:id="rId9"/>
    <sheet name="10-04-2026" sheetId="11" r:id="rId10"/>
    <sheet name="11-04-2026" sheetId="12" r:id="rId11"/>
    <sheet name="12-04-2026" sheetId="13" r:id="rId12"/>
    <sheet name="13-04-2026" sheetId="14" r:id="rId13"/>
    <sheet name="14-04-2026" sheetId="15" r:id="rId14"/>
    <sheet name="15-04-2026" sheetId="16" r:id="rId15"/>
    <sheet name="16-04-2026" sheetId="17" r:id="rId16"/>
    <sheet name="17-04-2026" sheetId="18" r:id="rId17"/>
    <sheet name="18-04-2026" sheetId="19" r:id="rId18"/>
    <sheet name="19-04-2026" sheetId="20" r:id="rId19"/>
    <sheet name="20-04-2026" sheetId="21" r:id="rId20"/>
    <sheet name="21-04-2026" sheetId="22" r:id="rId21"/>
    <sheet name="22-04-2026" sheetId="23" r:id="rId22"/>
    <sheet name="23-04-2026" sheetId="24" r:id="rId23"/>
    <sheet name="24-04-2026" sheetId="25" r:id="rId24"/>
    <sheet name="25-04-2026" sheetId="26" r:id="rId25"/>
    <sheet name="26-04-2026" sheetId="27" r:id="rId26"/>
    <sheet name="27-04-2026" sheetId="28" r:id="rId27"/>
    <sheet name="28-04-2026" sheetId="29" r:id="rId28"/>
    <sheet name="29-04-2026" sheetId="30" r:id="rId29"/>
    <sheet name="30-04-2026" sheetId="31" r:id="rId30"/>
    <sheet name="ARQUEO RESUMIDO" sheetId="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2" i="31" l="1"/>
  <c r="K53" i="31"/>
  <c r="K64" i="31" s="1"/>
  <c r="K54" i="31"/>
  <c r="K55" i="31"/>
  <c r="K56" i="31"/>
  <c r="K57" i="31"/>
  <c r="K58" i="31"/>
  <c r="K59" i="31"/>
  <c r="K60" i="31"/>
  <c r="K61" i="31"/>
  <c r="K62" i="31"/>
  <c r="K63" i="31"/>
  <c r="K5" i="31"/>
  <c r="K6" i="31"/>
  <c r="K7" i="31"/>
  <c r="K8" i="31"/>
  <c r="K9" i="31"/>
  <c r="K10" i="31"/>
  <c r="K11" i="31"/>
  <c r="K12" i="31"/>
  <c r="K13" i="31"/>
  <c r="K14" i="31"/>
  <c r="K15" i="31"/>
  <c r="K16" i="31"/>
  <c r="K17" i="31"/>
  <c r="K18" i="31"/>
  <c r="K19" i="31"/>
  <c r="K20" i="31"/>
  <c r="K21" i="31"/>
  <c r="K22" i="31"/>
  <c r="K23" i="31"/>
  <c r="K51" i="31"/>
  <c r="K105" i="31"/>
  <c r="J64" i="31" l="1"/>
  <c r="H34" i="1"/>
  <c r="J34" i="1" l="1"/>
  <c r="K29" i="31"/>
  <c r="K30" i="31"/>
  <c r="K31" i="31"/>
  <c r="K32" i="31"/>
  <c r="K33" i="31"/>
  <c r="K34" i="31"/>
  <c r="K35" i="31"/>
  <c r="K36" i="31"/>
  <c r="K37" i="31"/>
  <c r="B110" i="31" l="1"/>
  <c r="I64" i="31"/>
  <c r="H64" i="31"/>
  <c r="G64" i="31"/>
  <c r="F64" i="31"/>
  <c r="E64" i="31"/>
  <c r="D64" i="31"/>
  <c r="J46" i="31"/>
  <c r="I46" i="31"/>
  <c r="H46" i="31"/>
  <c r="G46" i="31"/>
  <c r="F46" i="31"/>
  <c r="E46" i="31"/>
  <c r="D46" i="31"/>
  <c r="K45" i="31"/>
  <c r="K44" i="31"/>
  <c r="K43" i="31"/>
  <c r="K42" i="31"/>
  <c r="J38" i="31"/>
  <c r="I38" i="31"/>
  <c r="H38" i="31"/>
  <c r="G38" i="31"/>
  <c r="F38" i="31"/>
  <c r="E38" i="31"/>
  <c r="D38" i="31"/>
  <c r="K28" i="31"/>
  <c r="K38" i="31" s="1"/>
  <c r="J24" i="31"/>
  <c r="I24" i="31"/>
  <c r="H24" i="31"/>
  <c r="G24" i="31"/>
  <c r="F24" i="31"/>
  <c r="E24" i="31"/>
  <c r="D24" i="31"/>
  <c r="K4" i="31"/>
  <c r="K24" i="31" s="1"/>
  <c r="K40" i="30"/>
  <c r="K46" i="31" l="1"/>
  <c r="N37" i="31" s="1"/>
  <c r="B34" i="1"/>
  <c r="H33" i="1"/>
  <c r="K67" i="31" l="1"/>
  <c r="K81" i="31" s="1"/>
  <c r="B109" i="31" s="1"/>
  <c r="B111" i="31" s="1"/>
  <c r="C34" i="1"/>
  <c r="D34" i="1" s="1"/>
  <c r="I34" i="1" s="1"/>
  <c r="K34" i="1" s="1"/>
  <c r="F33" i="1"/>
  <c r="E33" i="1"/>
  <c r="O84" i="30"/>
  <c r="O85" i="30"/>
  <c r="O86" i="30"/>
  <c r="O87" i="30"/>
  <c r="O88" i="30"/>
  <c r="O89" i="30"/>
  <c r="O90" i="30"/>
  <c r="O83" i="30"/>
  <c r="O91" i="30" s="1"/>
  <c r="L81" i="30"/>
  <c r="L83" i="30" s="1"/>
  <c r="K16" i="30"/>
  <c r="K15" i="30"/>
  <c r="K14" i="30"/>
  <c r="K5" i="30"/>
  <c r="K6" i="30"/>
  <c r="K7" i="30"/>
  <c r="K8" i="30"/>
  <c r="K9" i="30"/>
  <c r="K10" i="30"/>
  <c r="K11" i="30"/>
  <c r="K12" i="30"/>
  <c r="K13" i="30"/>
  <c r="K18" i="30"/>
  <c r="K19" i="30"/>
  <c r="K20" i="30"/>
  <c r="K21" i="30"/>
  <c r="K22" i="30"/>
  <c r="K23" i="30"/>
  <c r="K24" i="30"/>
  <c r="K25" i="30"/>
  <c r="K26" i="30"/>
  <c r="K27" i="30"/>
  <c r="K28" i="30"/>
  <c r="K29" i="30"/>
  <c r="K30" i="30"/>
  <c r="K37" i="30"/>
  <c r="K38" i="30"/>
  <c r="K39" i="30"/>
  <c r="K42" i="30"/>
  <c r="K43" i="30"/>
  <c r="K44" i="30"/>
  <c r="K45" i="30"/>
  <c r="G33" i="1" l="1"/>
  <c r="K31" i="30"/>
  <c r="K105" i="30" l="1"/>
  <c r="I73" i="30"/>
  <c r="H73" i="30"/>
  <c r="G73" i="30"/>
  <c r="F73" i="30"/>
  <c r="E73" i="30"/>
  <c r="D73" i="30"/>
  <c r="K72" i="30"/>
  <c r="K71" i="30"/>
  <c r="K70" i="30"/>
  <c r="K69" i="30"/>
  <c r="K68" i="30"/>
  <c r="K67" i="30"/>
  <c r="K66" i="30"/>
  <c r="K65" i="30"/>
  <c r="K64" i="30"/>
  <c r="K63" i="30"/>
  <c r="K62" i="30"/>
  <c r="K61" i="30"/>
  <c r="K60" i="30"/>
  <c r="K59" i="30"/>
  <c r="K54" i="30"/>
  <c r="J54" i="30"/>
  <c r="I54" i="30"/>
  <c r="H54" i="30"/>
  <c r="G54" i="30"/>
  <c r="F54" i="30"/>
  <c r="E54" i="30"/>
  <c r="D54" i="30"/>
  <c r="K53" i="30"/>
  <c r="K52" i="30"/>
  <c r="K51" i="30"/>
  <c r="K50" i="30"/>
  <c r="K46" i="30"/>
  <c r="N45" i="30" s="1"/>
  <c r="J46" i="30"/>
  <c r="I46" i="30"/>
  <c r="H46" i="30"/>
  <c r="G46" i="30"/>
  <c r="F46" i="30"/>
  <c r="E46" i="30"/>
  <c r="D46" i="30"/>
  <c r="K36" i="30"/>
  <c r="J32" i="30"/>
  <c r="I32" i="30"/>
  <c r="H32" i="30"/>
  <c r="G32" i="30"/>
  <c r="F32" i="30"/>
  <c r="E32" i="30"/>
  <c r="D32" i="30"/>
  <c r="K4" i="30"/>
  <c r="K5" i="29"/>
  <c r="K6" i="29"/>
  <c r="K7" i="29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H32" i="1"/>
  <c r="B110" i="30" l="1"/>
  <c r="J33" i="1"/>
  <c r="K32" i="30"/>
  <c r="C33" i="1" s="1"/>
  <c r="K73" i="30"/>
  <c r="K37" i="29"/>
  <c r="K38" i="29"/>
  <c r="K39" i="29"/>
  <c r="K40" i="29"/>
  <c r="K76" i="30" l="1"/>
  <c r="K90" i="30" s="1"/>
  <c r="B109" i="30" s="1"/>
  <c r="B111" i="30" s="1"/>
  <c r="B33" i="1"/>
  <c r="D33" i="1" s="1"/>
  <c r="I33" i="1" s="1"/>
  <c r="K33" i="1" s="1"/>
  <c r="K92" i="29"/>
  <c r="I60" i="29"/>
  <c r="H60" i="29"/>
  <c r="G60" i="29"/>
  <c r="F60" i="29"/>
  <c r="E60" i="29"/>
  <c r="D60" i="29"/>
  <c r="K59" i="29"/>
  <c r="K58" i="29"/>
  <c r="K57" i="29"/>
  <c r="K56" i="29"/>
  <c r="K55" i="29"/>
  <c r="K54" i="29"/>
  <c r="K53" i="29"/>
  <c r="K52" i="29"/>
  <c r="K51" i="29"/>
  <c r="K50" i="29"/>
  <c r="K49" i="29"/>
  <c r="K48" i="29"/>
  <c r="K47" i="29"/>
  <c r="K46" i="29"/>
  <c r="J41" i="29"/>
  <c r="I41" i="29"/>
  <c r="H41" i="29"/>
  <c r="G41" i="29"/>
  <c r="F41" i="29"/>
  <c r="E41" i="29"/>
  <c r="D41" i="29"/>
  <c r="K36" i="29"/>
  <c r="K32" i="29"/>
  <c r="J32" i="29"/>
  <c r="I32" i="29"/>
  <c r="H32" i="29"/>
  <c r="G32" i="29"/>
  <c r="F32" i="29"/>
  <c r="E32" i="29"/>
  <c r="D32" i="29"/>
  <c r="K31" i="29"/>
  <c r="K30" i="29"/>
  <c r="K28" i="29"/>
  <c r="J24" i="29"/>
  <c r="I24" i="29"/>
  <c r="H24" i="29"/>
  <c r="G24" i="29"/>
  <c r="F24" i="29"/>
  <c r="E24" i="29"/>
  <c r="D24" i="29"/>
  <c r="K4" i="29"/>
  <c r="H31" i="1"/>
  <c r="B97" i="29" l="1"/>
  <c r="J32" i="1"/>
  <c r="K60" i="29"/>
  <c r="B32" i="1" s="1"/>
  <c r="K24" i="29"/>
  <c r="C32" i="1" s="1"/>
  <c r="K41" i="29"/>
  <c r="N31" i="29" s="1"/>
  <c r="K47" i="28"/>
  <c r="K48" i="28"/>
  <c r="K49" i="28"/>
  <c r="K50" i="28"/>
  <c r="K51" i="28"/>
  <c r="K52" i="28"/>
  <c r="K53" i="28"/>
  <c r="K54" i="28"/>
  <c r="K55" i="28"/>
  <c r="K56" i="28"/>
  <c r="K57" i="28"/>
  <c r="K58" i="28"/>
  <c r="K59" i="28"/>
  <c r="K60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M22" i="1"/>
  <c r="B104" i="19"/>
  <c r="B105" i="19"/>
  <c r="B106" i="19"/>
  <c r="K22" i="28"/>
  <c r="K23" i="28"/>
  <c r="K24" i="28"/>
  <c r="J30" i="1"/>
  <c r="C30" i="1"/>
  <c r="B30" i="1"/>
  <c r="H30" i="1"/>
  <c r="D32" i="1" l="1"/>
  <c r="I32" i="1" s="1"/>
  <c r="K32" i="1" s="1"/>
  <c r="K63" i="29"/>
  <c r="K77" i="29" s="1"/>
  <c r="B96" i="29" s="1"/>
  <c r="B98" i="29" s="1"/>
  <c r="K25" i="28"/>
  <c r="C31" i="1" s="1"/>
  <c r="D30" i="1"/>
  <c r="I30" i="1" s="1"/>
  <c r="K30" i="1" s="1"/>
  <c r="K93" i="28"/>
  <c r="I61" i="28"/>
  <c r="H61" i="28"/>
  <c r="G61" i="28"/>
  <c r="F61" i="28"/>
  <c r="E61" i="28"/>
  <c r="D61" i="28"/>
  <c r="K46" i="28"/>
  <c r="K61" i="28" s="1"/>
  <c r="B31" i="1" s="1"/>
  <c r="J41" i="28"/>
  <c r="I41" i="28"/>
  <c r="H41" i="28"/>
  <c r="G41" i="28"/>
  <c r="F41" i="28"/>
  <c r="E41" i="28"/>
  <c r="D41" i="28"/>
  <c r="K40" i="28"/>
  <c r="K39" i="28"/>
  <c r="K38" i="28"/>
  <c r="K37" i="28"/>
  <c r="J33" i="28"/>
  <c r="I33" i="28"/>
  <c r="H33" i="28"/>
  <c r="G33" i="28"/>
  <c r="F33" i="28"/>
  <c r="E33" i="28"/>
  <c r="D33" i="28"/>
  <c r="K32" i="28"/>
  <c r="K31" i="28"/>
  <c r="K29" i="28"/>
  <c r="K33" i="28" s="1"/>
  <c r="J25" i="28"/>
  <c r="I25" i="28"/>
  <c r="H25" i="28"/>
  <c r="G25" i="28"/>
  <c r="F25" i="28"/>
  <c r="E25" i="28"/>
  <c r="D25" i="28"/>
  <c r="K4" i="28"/>
  <c r="K90" i="27"/>
  <c r="B95" i="27" s="1"/>
  <c r="I58" i="27"/>
  <c r="H58" i="27"/>
  <c r="G58" i="27"/>
  <c r="F58" i="27"/>
  <c r="E58" i="27"/>
  <c r="D58" i="27"/>
  <c r="K57" i="27"/>
  <c r="K56" i="27"/>
  <c r="K55" i="27"/>
  <c r="K54" i="27"/>
  <c r="K53" i="27"/>
  <c r="K52" i="27"/>
  <c r="K51" i="27"/>
  <c r="K50" i="27"/>
  <c r="K49" i="27"/>
  <c r="K48" i="27"/>
  <c r="K47" i="27"/>
  <c r="K46" i="27"/>
  <c r="K45" i="27"/>
  <c r="K44" i="27"/>
  <c r="K58" i="27" s="1"/>
  <c r="K39" i="27"/>
  <c r="J39" i="27"/>
  <c r="I39" i="27"/>
  <c r="H39" i="27"/>
  <c r="G39" i="27"/>
  <c r="F39" i="27"/>
  <c r="E39" i="27"/>
  <c r="D39" i="27"/>
  <c r="K38" i="27"/>
  <c r="K37" i="27"/>
  <c r="K36" i="27"/>
  <c r="K35" i="27"/>
  <c r="K31" i="27"/>
  <c r="N30" i="27" s="1"/>
  <c r="J31" i="27"/>
  <c r="I31" i="27"/>
  <c r="H31" i="27"/>
  <c r="G31" i="27"/>
  <c r="F31" i="27"/>
  <c r="E31" i="27"/>
  <c r="D31" i="27"/>
  <c r="K30" i="27"/>
  <c r="K29" i="27"/>
  <c r="K27" i="27"/>
  <c r="J23" i="27"/>
  <c r="I23" i="27"/>
  <c r="H23" i="27"/>
  <c r="G23" i="27"/>
  <c r="F23" i="27"/>
  <c r="E23" i="27"/>
  <c r="D23" i="27"/>
  <c r="K22" i="27"/>
  <c r="K21" i="27"/>
  <c r="K20" i="27"/>
  <c r="K19" i="27"/>
  <c r="K18" i="27"/>
  <c r="K17" i="27"/>
  <c r="K16" i="27"/>
  <c r="K15" i="27"/>
  <c r="K14" i="27"/>
  <c r="K13" i="27"/>
  <c r="K12" i="27"/>
  <c r="K11" i="27"/>
  <c r="K10" i="27"/>
  <c r="K9" i="27"/>
  <c r="K8" i="27"/>
  <c r="K7" i="27"/>
  <c r="K6" i="27"/>
  <c r="K5" i="27"/>
  <c r="K4" i="27"/>
  <c r="K90" i="25"/>
  <c r="K58" i="26"/>
  <c r="B98" i="28" l="1"/>
  <c r="J31" i="1"/>
  <c r="K23" i="27"/>
  <c r="K61" i="27" s="1"/>
  <c r="K75" i="27" s="1"/>
  <c r="B94" i="27" s="1"/>
  <c r="B96" i="27" s="1"/>
  <c r="K41" i="28"/>
  <c r="N32" i="28" s="1"/>
  <c r="D31" i="1"/>
  <c r="I31" i="1" s="1"/>
  <c r="K58" i="25"/>
  <c r="K23" i="25"/>
  <c r="K31" i="1" l="1"/>
  <c r="K64" i="28"/>
  <c r="K78" i="28" s="1"/>
  <c r="B97" i="28" s="1"/>
  <c r="B99" i="28" s="1"/>
  <c r="J29" i="1"/>
  <c r="H29" i="1"/>
  <c r="B29" i="1"/>
  <c r="K90" i="26"/>
  <c r="B95" i="26" s="1"/>
  <c r="I58" i="26"/>
  <c r="H58" i="26"/>
  <c r="G58" i="26"/>
  <c r="F58" i="26"/>
  <c r="E58" i="26"/>
  <c r="D58" i="26"/>
  <c r="K57" i="26"/>
  <c r="K56" i="26"/>
  <c r="K55" i="26"/>
  <c r="K54" i="26"/>
  <c r="K53" i="26"/>
  <c r="K52" i="26"/>
  <c r="K51" i="26"/>
  <c r="K50" i="26"/>
  <c r="K49" i="26"/>
  <c r="K48" i="26"/>
  <c r="K47" i="26"/>
  <c r="K46" i="26"/>
  <c r="K45" i="26"/>
  <c r="K44" i="26"/>
  <c r="K39" i="26"/>
  <c r="J39" i="26"/>
  <c r="I39" i="26"/>
  <c r="H39" i="26"/>
  <c r="G39" i="26"/>
  <c r="F39" i="26"/>
  <c r="E39" i="26"/>
  <c r="D39" i="26"/>
  <c r="K38" i="26"/>
  <c r="K37" i="26"/>
  <c r="K36" i="26"/>
  <c r="K35" i="26"/>
  <c r="J31" i="26"/>
  <c r="I31" i="26"/>
  <c r="H31" i="26"/>
  <c r="G31" i="26"/>
  <c r="F31" i="26"/>
  <c r="E31" i="26"/>
  <c r="D31" i="26"/>
  <c r="K30" i="26"/>
  <c r="K29" i="26"/>
  <c r="K27" i="26"/>
  <c r="K31" i="26" s="1"/>
  <c r="N30" i="26" s="1"/>
  <c r="J23" i="26"/>
  <c r="I23" i="26"/>
  <c r="H23" i="26"/>
  <c r="G23" i="26"/>
  <c r="F23" i="26"/>
  <c r="E23" i="26"/>
  <c r="D23" i="26"/>
  <c r="K22" i="26"/>
  <c r="K21" i="26"/>
  <c r="K20" i="26"/>
  <c r="K19" i="26"/>
  <c r="K18" i="26"/>
  <c r="K17" i="26"/>
  <c r="K16" i="26"/>
  <c r="K15" i="26"/>
  <c r="K14" i="26"/>
  <c r="K13" i="26"/>
  <c r="K12" i="26"/>
  <c r="K11" i="26"/>
  <c r="K10" i="26"/>
  <c r="K9" i="26"/>
  <c r="K8" i="26"/>
  <c r="K7" i="26"/>
  <c r="K6" i="26"/>
  <c r="K23" i="26" s="1"/>
  <c r="K5" i="26"/>
  <c r="K4" i="26"/>
  <c r="H28" i="1"/>
  <c r="F28" i="1" l="1"/>
  <c r="E28" i="1"/>
  <c r="G28" i="1"/>
  <c r="O76" i="25"/>
  <c r="O70" i="25"/>
  <c r="O71" i="25"/>
  <c r="O72" i="25"/>
  <c r="O73" i="25"/>
  <c r="O74" i="25"/>
  <c r="O75" i="25"/>
  <c r="O69" i="25"/>
  <c r="L68" i="25"/>
  <c r="L66" i="25"/>
  <c r="K58" i="24"/>
  <c r="K61" i="26" l="1"/>
  <c r="K75" i="26" s="1"/>
  <c r="B94" i="26" s="1"/>
  <c r="B96" i="26" s="1"/>
  <c r="C29" i="1"/>
  <c r="K91" i="24"/>
  <c r="K45" i="25"/>
  <c r="K44" i="25"/>
  <c r="J28" i="1" l="1"/>
  <c r="D29" i="1"/>
  <c r="I29" i="1" s="1"/>
  <c r="K29" i="1" s="1"/>
  <c r="B95" i="25"/>
  <c r="I58" i="25"/>
  <c r="H58" i="25"/>
  <c r="G58" i="25"/>
  <c r="F58" i="25"/>
  <c r="E58" i="25"/>
  <c r="D58" i="25"/>
  <c r="K57" i="25"/>
  <c r="K56" i="25"/>
  <c r="K55" i="25"/>
  <c r="K54" i="25"/>
  <c r="K53" i="25"/>
  <c r="K52" i="25"/>
  <c r="K51" i="25"/>
  <c r="K50" i="25"/>
  <c r="K49" i="25"/>
  <c r="K48" i="25"/>
  <c r="K47" i="25"/>
  <c r="K46" i="25"/>
  <c r="K39" i="25"/>
  <c r="J39" i="25"/>
  <c r="I39" i="25"/>
  <c r="H39" i="25"/>
  <c r="G39" i="25"/>
  <c r="F39" i="25"/>
  <c r="E39" i="25"/>
  <c r="D39" i="25"/>
  <c r="K38" i="25"/>
  <c r="K37" i="25"/>
  <c r="K36" i="25"/>
  <c r="K35" i="25"/>
  <c r="K31" i="25"/>
  <c r="N30" i="25" s="1"/>
  <c r="J31" i="25"/>
  <c r="I31" i="25"/>
  <c r="H31" i="25"/>
  <c r="G31" i="25"/>
  <c r="F31" i="25"/>
  <c r="E31" i="25"/>
  <c r="D31" i="25"/>
  <c r="K30" i="25"/>
  <c r="K29" i="25"/>
  <c r="K27" i="25"/>
  <c r="J23" i="25"/>
  <c r="I23" i="25"/>
  <c r="H23" i="25"/>
  <c r="G23" i="25"/>
  <c r="F23" i="25"/>
  <c r="E23" i="25"/>
  <c r="D23" i="25"/>
  <c r="K22" i="25"/>
  <c r="K21" i="25"/>
  <c r="K20" i="25"/>
  <c r="K19" i="25"/>
  <c r="K18" i="25"/>
  <c r="K17" i="25"/>
  <c r="K16" i="25"/>
  <c r="K15" i="25"/>
  <c r="K14" i="25"/>
  <c r="K13" i="25"/>
  <c r="K12" i="25"/>
  <c r="K11" i="25"/>
  <c r="K10" i="25"/>
  <c r="K9" i="25"/>
  <c r="K8" i="25"/>
  <c r="K7" i="25"/>
  <c r="C28" i="1" s="1"/>
  <c r="K6" i="25"/>
  <c r="K5" i="25"/>
  <c r="K4" i="25"/>
  <c r="H27" i="1"/>
  <c r="B28" i="1" l="1"/>
  <c r="D28" i="1" s="1"/>
  <c r="I28" i="1" s="1"/>
  <c r="K28" i="1" s="1"/>
  <c r="K61" i="25"/>
  <c r="K75" i="25" s="1"/>
  <c r="B94" i="25" s="1"/>
  <c r="B96" i="25" s="1"/>
  <c r="V21" i="1"/>
  <c r="V24" i="1"/>
  <c r="N32" i="21"/>
  <c r="V26" i="1"/>
  <c r="V25" i="1"/>
  <c r="V23" i="1"/>
  <c r="V28" i="1"/>
  <c r="V29" i="1"/>
  <c r="V30" i="1"/>
  <c r="V31" i="1"/>
  <c r="V32" i="1"/>
  <c r="V33" i="1"/>
  <c r="V34" i="1"/>
  <c r="V35" i="1"/>
  <c r="V20" i="1"/>
  <c r="K28" i="24" l="1"/>
  <c r="K29" i="24"/>
  <c r="K30" i="24"/>
  <c r="I58" i="24" l="1"/>
  <c r="H58" i="24"/>
  <c r="G58" i="24"/>
  <c r="F58" i="24"/>
  <c r="E58" i="24"/>
  <c r="D58" i="24"/>
  <c r="K57" i="24"/>
  <c r="K56" i="24"/>
  <c r="K55" i="24"/>
  <c r="K54" i="24"/>
  <c r="K53" i="24"/>
  <c r="K52" i="24"/>
  <c r="K51" i="24"/>
  <c r="K50" i="24"/>
  <c r="K49" i="24"/>
  <c r="K48" i="24"/>
  <c r="K47" i="24"/>
  <c r="K46" i="24"/>
  <c r="K45" i="24"/>
  <c r="K44" i="24"/>
  <c r="K39" i="24"/>
  <c r="J39" i="24"/>
  <c r="I39" i="24"/>
  <c r="H39" i="24"/>
  <c r="G39" i="24"/>
  <c r="F39" i="24"/>
  <c r="E39" i="24"/>
  <c r="D39" i="24"/>
  <c r="K38" i="24"/>
  <c r="K37" i="24"/>
  <c r="K36" i="24"/>
  <c r="K35" i="24"/>
  <c r="J31" i="24"/>
  <c r="I31" i="24"/>
  <c r="H31" i="24"/>
  <c r="G31" i="24"/>
  <c r="F31" i="24"/>
  <c r="E31" i="24"/>
  <c r="D31" i="24"/>
  <c r="K27" i="24"/>
  <c r="K31" i="24" s="1"/>
  <c r="J23" i="24"/>
  <c r="I23" i="24"/>
  <c r="H23" i="24"/>
  <c r="G23" i="24"/>
  <c r="F23" i="24"/>
  <c r="E23" i="24"/>
  <c r="D23" i="24"/>
  <c r="K22" i="24"/>
  <c r="K21" i="24"/>
  <c r="K20" i="24"/>
  <c r="K19" i="24"/>
  <c r="K18" i="24"/>
  <c r="K17" i="24"/>
  <c r="K16" i="24"/>
  <c r="K15" i="24"/>
  <c r="K14" i="24"/>
  <c r="K13" i="24"/>
  <c r="K12" i="24"/>
  <c r="K11" i="24"/>
  <c r="K10" i="24"/>
  <c r="K9" i="24"/>
  <c r="K8" i="24"/>
  <c r="K7" i="24"/>
  <c r="K6" i="24"/>
  <c r="K5" i="24"/>
  <c r="K4" i="24"/>
  <c r="H26" i="1"/>
  <c r="K23" i="24" l="1"/>
  <c r="C27" i="1" s="1"/>
  <c r="N30" i="24"/>
  <c r="V27" i="1" s="1"/>
  <c r="B27" i="1"/>
  <c r="B96" i="24"/>
  <c r="J27" i="1"/>
  <c r="K83" i="23"/>
  <c r="K84" i="23"/>
  <c r="K85" i="23"/>
  <c r="K86" i="23"/>
  <c r="K87" i="23"/>
  <c r="K88" i="23"/>
  <c r="K89" i="23"/>
  <c r="K90" i="23"/>
  <c r="K91" i="23"/>
  <c r="K92" i="23"/>
  <c r="K93" i="23"/>
  <c r="K94" i="23"/>
  <c r="K95" i="23"/>
  <c r="K128" i="23"/>
  <c r="K5" i="23"/>
  <c r="K6" i="23"/>
  <c r="K7" i="23"/>
  <c r="K8" i="23"/>
  <c r="K9" i="23"/>
  <c r="K10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7" i="23"/>
  <c r="K28" i="23"/>
  <c r="K29" i="23"/>
  <c r="K30" i="23"/>
  <c r="K31" i="23"/>
  <c r="K32" i="23"/>
  <c r="K33" i="23"/>
  <c r="K34" i="23"/>
  <c r="K35" i="23"/>
  <c r="K36" i="23"/>
  <c r="K37" i="23"/>
  <c r="K38" i="23"/>
  <c r="K39" i="23"/>
  <c r="K40" i="23"/>
  <c r="K41" i="23"/>
  <c r="K42" i="23"/>
  <c r="K43" i="23"/>
  <c r="K44" i="23"/>
  <c r="J26" i="1"/>
  <c r="F69" i="23"/>
  <c r="K50" i="23"/>
  <c r="K51" i="23"/>
  <c r="K52" i="23"/>
  <c r="K53" i="23"/>
  <c r="K54" i="23"/>
  <c r="K55" i="23"/>
  <c r="K56" i="23"/>
  <c r="K57" i="23"/>
  <c r="K58" i="23"/>
  <c r="K59" i="23"/>
  <c r="K60" i="23"/>
  <c r="K61" i="23"/>
  <c r="K62" i="23"/>
  <c r="K63" i="23"/>
  <c r="K64" i="23"/>
  <c r="K65" i="23"/>
  <c r="K66" i="23"/>
  <c r="K67" i="23"/>
  <c r="K68" i="23"/>
  <c r="F45" i="23"/>
  <c r="D45" i="23"/>
  <c r="E45" i="23"/>
  <c r="G45" i="23"/>
  <c r="H45" i="23"/>
  <c r="J45" i="23"/>
  <c r="I45" i="23"/>
  <c r="K61" i="24" l="1"/>
  <c r="K75" i="24" s="1"/>
  <c r="B95" i="24" s="1"/>
  <c r="B97" i="24" s="1"/>
  <c r="D27" i="1"/>
  <c r="I27" i="1" s="1"/>
  <c r="K27" i="1" s="1"/>
  <c r="K4" i="23"/>
  <c r="K45" i="23" s="1"/>
  <c r="C26" i="1" l="1"/>
  <c r="H25" i="1"/>
  <c r="B133" i="23"/>
  <c r="I96" i="23"/>
  <c r="H96" i="23"/>
  <c r="G96" i="23"/>
  <c r="F96" i="23"/>
  <c r="E96" i="23"/>
  <c r="D96" i="23"/>
  <c r="K82" i="23"/>
  <c r="K96" i="23" s="1"/>
  <c r="J77" i="23"/>
  <c r="I77" i="23"/>
  <c r="H77" i="23"/>
  <c r="G77" i="23"/>
  <c r="F77" i="23"/>
  <c r="E77" i="23"/>
  <c r="D77" i="23"/>
  <c r="K76" i="23"/>
  <c r="K75" i="23"/>
  <c r="K74" i="23"/>
  <c r="K73" i="23"/>
  <c r="J69" i="23"/>
  <c r="I69" i="23"/>
  <c r="H69" i="23"/>
  <c r="G69" i="23"/>
  <c r="E69" i="23"/>
  <c r="D69" i="23"/>
  <c r="K49" i="23"/>
  <c r="B25" i="1"/>
  <c r="K69" i="23" l="1"/>
  <c r="K77" i="23"/>
  <c r="B26" i="1"/>
  <c r="D26" i="1" s="1"/>
  <c r="I26" i="1" s="1"/>
  <c r="K26" i="1" s="1"/>
  <c r="J58" i="22"/>
  <c r="K45" i="22"/>
  <c r="K46" i="22"/>
  <c r="K47" i="22"/>
  <c r="K48" i="22"/>
  <c r="K49" i="22"/>
  <c r="K50" i="22"/>
  <c r="K51" i="22"/>
  <c r="K52" i="22"/>
  <c r="K53" i="22"/>
  <c r="K54" i="22"/>
  <c r="K55" i="22"/>
  <c r="K56" i="22"/>
  <c r="K57" i="22"/>
  <c r="K44" i="22"/>
  <c r="N68" i="23" l="1"/>
  <c r="K99" i="23"/>
  <c r="K113" i="23" s="1"/>
  <c r="B132" i="23" s="1"/>
  <c r="B134" i="23" s="1"/>
  <c r="K90" i="22"/>
  <c r="I58" i="22"/>
  <c r="H58" i="22"/>
  <c r="G58" i="22"/>
  <c r="F58" i="22"/>
  <c r="E58" i="22"/>
  <c r="D58" i="22"/>
  <c r="K58" i="22"/>
  <c r="K39" i="22"/>
  <c r="J39" i="22"/>
  <c r="I39" i="22"/>
  <c r="H39" i="22"/>
  <c r="G39" i="22"/>
  <c r="F39" i="22"/>
  <c r="E39" i="22"/>
  <c r="D39" i="22"/>
  <c r="K38" i="22"/>
  <c r="K37" i="22"/>
  <c r="K36" i="22"/>
  <c r="K35" i="22"/>
  <c r="K31" i="22"/>
  <c r="N30" i="22" s="1"/>
  <c r="J31" i="22"/>
  <c r="I31" i="22"/>
  <c r="H31" i="22"/>
  <c r="G31" i="22"/>
  <c r="F31" i="22"/>
  <c r="E31" i="22"/>
  <c r="D31" i="22"/>
  <c r="K30" i="22"/>
  <c r="K29" i="22"/>
  <c r="K27" i="22"/>
  <c r="J23" i="22"/>
  <c r="I23" i="22"/>
  <c r="H23" i="22"/>
  <c r="G23" i="22"/>
  <c r="F23" i="22"/>
  <c r="E23" i="22"/>
  <c r="D23" i="22"/>
  <c r="K22" i="22"/>
  <c r="K21" i="22"/>
  <c r="K20" i="22"/>
  <c r="K19" i="22"/>
  <c r="K18" i="22"/>
  <c r="K17" i="22"/>
  <c r="K16" i="22"/>
  <c r="K15" i="22"/>
  <c r="K14" i="22"/>
  <c r="K13" i="22"/>
  <c r="K12" i="22"/>
  <c r="K11" i="22"/>
  <c r="K10" i="22"/>
  <c r="K9" i="22"/>
  <c r="K8" i="22"/>
  <c r="K7" i="22"/>
  <c r="K23" i="22" s="1"/>
  <c r="C25" i="1" s="1"/>
  <c r="D25" i="1" s="1"/>
  <c r="I25" i="1" s="1"/>
  <c r="K6" i="22"/>
  <c r="K5" i="22"/>
  <c r="K4" i="22"/>
  <c r="H24" i="1"/>
  <c r="B95" i="22" l="1"/>
  <c r="J25" i="1"/>
  <c r="K25" i="1" s="1"/>
  <c r="K61" i="22"/>
  <c r="K75" i="22" s="1"/>
  <c r="B94" i="22" s="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B96" i="22" l="1"/>
  <c r="K30" i="21"/>
  <c r="K31" i="21"/>
  <c r="K32" i="21"/>
  <c r="H21" i="1" l="1"/>
  <c r="K92" i="21"/>
  <c r="J21" i="1"/>
  <c r="H23" i="1" l="1"/>
  <c r="B24" i="1"/>
  <c r="J23" i="1"/>
  <c r="B23" i="1"/>
  <c r="C23" i="1"/>
  <c r="H22" i="1"/>
  <c r="D23" i="1" l="1"/>
  <c r="I23" i="1" s="1"/>
  <c r="K23" i="1" s="1"/>
  <c r="I60" i="21"/>
  <c r="H60" i="21"/>
  <c r="G60" i="21"/>
  <c r="F60" i="21"/>
  <c r="E60" i="21"/>
  <c r="D60" i="21"/>
  <c r="K59" i="21"/>
  <c r="K58" i="21"/>
  <c r="K57" i="21"/>
  <c r="K56" i="21"/>
  <c r="K55" i="21"/>
  <c r="K54" i="21"/>
  <c r="K53" i="21"/>
  <c r="K52" i="21"/>
  <c r="K51" i="21"/>
  <c r="K50" i="21"/>
  <c r="K49" i="21"/>
  <c r="K48" i="21"/>
  <c r="K47" i="21"/>
  <c r="K46" i="21"/>
  <c r="J41" i="21"/>
  <c r="I41" i="21"/>
  <c r="H41" i="21"/>
  <c r="G41" i="21"/>
  <c r="F41" i="21"/>
  <c r="E41" i="21"/>
  <c r="D41" i="21"/>
  <c r="K40" i="21"/>
  <c r="K39" i="21"/>
  <c r="K38" i="21"/>
  <c r="K37" i="21"/>
  <c r="J33" i="21"/>
  <c r="I33" i="21"/>
  <c r="H33" i="21"/>
  <c r="G33" i="21"/>
  <c r="F33" i="21"/>
  <c r="E33" i="21"/>
  <c r="D33" i="21"/>
  <c r="K29" i="21"/>
  <c r="J25" i="21"/>
  <c r="I25" i="21"/>
  <c r="H25" i="21"/>
  <c r="G25" i="21"/>
  <c r="F25" i="21"/>
  <c r="E25" i="21"/>
  <c r="D25" i="21"/>
  <c r="K4" i="21"/>
  <c r="K25" i="21" s="1"/>
  <c r="B95" i="20"/>
  <c r="K90" i="20"/>
  <c r="I58" i="20"/>
  <c r="H58" i="20"/>
  <c r="G58" i="20"/>
  <c r="F58" i="20"/>
  <c r="E58" i="20"/>
  <c r="D58" i="20"/>
  <c r="K57" i="20"/>
  <c r="K56" i="20"/>
  <c r="K55" i="20"/>
  <c r="K54" i="20"/>
  <c r="K53" i="20"/>
  <c r="K52" i="20"/>
  <c r="K51" i="20"/>
  <c r="K50" i="20"/>
  <c r="K49" i="20"/>
  <c r="K48" i="20"/>
  <c r="K47" i="20"/>
  <c r="K46" i="20"/>
  <c r="K45" i="20"/>
  <c r="K44" i="20"/>
  <c r="K39" i="20"/>
  <c r="J39" i="20"/>
  <c r="I39" i="20"/>
  <c r="H39" i="20"/>
  <c r="G39" i="20"/>
  <c r="F39" i="20"/>
  <c r="E39" i="20"/>
  <c r="D39" i="20"/>
  <c r="K38" i="20"/>
  <c r="K37" i="20"/>
  <c r="K36" i="20"/>
  <c r="K35" i="20"/>
  <c r="J31" i="20"/>
  <c r="I31" i="20"/>
  <c r="H31" i="20"/>
  <c r="G31" i="20"/>
  <c r="F31" i="20"/>
  <c r="E31" i="20"/>
  <c r="D31" i="20"/>
  <c r="K30" i="20"/>
  <c r="K29" i="20"/>
  <c r="K27" i="20"/>
  <c r="K31" i="20" s="1"/>
  <c r="N30" i="20" s="1"/>
  <c r="J23" i="20"/>
  <c r="I23" i="20"/>
  <c r="H23" i="20"/>
  <c r="G23" i="20"/>
  <c r="F23" i="20"/>
  <c r="E23" i="20"/>
  <c r="D23" i="20"/>
  <c r="K22" i="20"/>
  <c r="K21" i="20"/>
  <c r="K20" i="20"/>
  <c r="K19" i="20"/>
  <c r="K18" i="20"/>
  <c r="K17" i="20"/>
  <c r="K16" i="20"/>
  <c r="K15" i="20"/>
  <c r="K14" i="20"/>
  <c r="K13" i="20"/>
  <c r="K12" i="20"/>
  <c r="K11" i="20"/>
  <c r="K10" i="20"/>
  <c r="K9" i="20"/>
  <c r="K8" i="20"/>
  <c r="K7" i="20"/>
  <c r="K6" i="20"/>
  <c r="K5" i="20"/>
  <c r="K4" i="20"/>
  <c r="K90" i="19"/>
  <c r="I58" i="19"/>
  <c r="H58" i="19"/>
  <c r="G58" i="19"/>
  <c r="F58" i="19"/>
  <c r="E58" i="19"/>
  <c r="D58" i="19"/>
  <c r="K57" i="19"/>
  <c r="K56" i="19"/>
  <c r="K55" i="19"/>
  <c r="K54" i="19"/>
  <c r="K53" i="19"/>
  <c r="K52" i="19"/>
  <c r="K51" i="19"/>
  <c r="K50" i="19"/>
  <c r="J39" i="19"/>
  <c r="I39" i="19"/>
  <c r="H39" i="19"/>
  <c r="G39" i="19"/>
  <c r="F39" i="19"/>
  <c r="E39" i="19"/>
  <c r="D39" i="19"/>
  <c r="K38" i="19"/>
  <c r="K37" i="19"/>
  <c r="K36" i="19"/>
  <c r="K35" i="19"/>
  <c r="J31" i="19"/>
  <c r="I31" i="19"/>
  <c r="H31" i="19"/>
  <c r="G31" i="19"/>
  <c r="F31" i="19"/>
  <c r="E31" i="19"/>
  <c r="D31" i="19"/>
  <c r="K30" i="19"/>
  <c r="K29" i="19"/>
  <c r="K27" i="19"/>
  <c r="J23" i="19"/>
  <c r="I23" i="19"/>
  <c r="H23" i="19"/>
  <c r="G23" i="19"/>
  <c r="F23" i="19"/>
  <c r="E23" i="19"/>
  <c r="D23" i="19"/>
  <c r="K22" i="19"/>
  <c r="K21" i="19"/>
  <c r="K20" i="19"/>
  <c r="K19" i="19"/>
  <c r="K18" i="19"/>
  <c r="K17" i="19"/>
  <c r="K16" i="19"/>
  <c r="K15" i="19"/>
  <c r="K14" i="19"/>
  <c r="K13" i="19"/>
  <c r="K12" i="19"/>
  <c r="K11" i="19"/>
  <c r="K10" i="19"/>
  <c r="K9" i="19"/>
  <c r="K8" i="19"/>
  <c r="K7" i="19"/>
  <c r="K6" i="19"/>
  <c r="K5" i="19"/>
  <c r="K4" i="19"/>
  <c r="K58" i="19" l="1"/>
  <c r="B22" i="1" s="1"/>
  <c r="J22" i="1"/>
  <c r="K39" i="19"/>
  <c r="K60" i="21"/>
  <c r="K41" i="21"/>
  <c r="B96" i="21"/>
  <c r="J24" i="1"/>
  <c r="K33" i="21"/>
  <c r="K58" i="20"/>
  <c r="K23" i="20"/>
  <c r="K61" i="20"/>
  <c r="K75" i="20" s="1"/>
  <c r="B94" i="20" s="1"/>
  <c r="B96" i="20" s="1"/>
  <c r="K31" i="19"/>
  <c r="K23" i="19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N30" i="19" l="1"/>
  <c r="V22" i="1" s="1"/>
  <c r="K61" i="19"/>
  <c r="K75" i="19" s="1"/>
  <c r="C22" i="1"/>
  <c r="D22" i="1" s="1"/>
  <c r="I22" i="1" s="1"/>
  <c r="K22" i="1" s="1"/>
  <c r="K63" i="21"/>
  <c r="K77" i="21" s="1"/>
  <c r="B95" i="21" s="1"/>
  <c r="B97" i="21" s="1"/>
  <c r="C24" i="1"/>
  <c r="D24" i="1" s="1"/>
  <c r="I24" i="1" s="1"/>
  <c r="K24" i="1" s="1"/>
  <c r="E39" i="18"/>
  <c r="F39" i="18"/>
  <c r="G39" i="18"/>
  <c r="H39" i="18"/>
  <c r="I39" i="18"/>
  <c r="J39" i="18"/>
  <c r="D39" i="18"/>
  <c r="E31" i="18"/>
  <c r="F31" i="18"/>
  <c r="G31" i="18"/>
  <c r="H31" i="18"/>
  <c r="I31" i="18"/>
  <c r="J31" i="18"/>
  <c r="D31" i="18"/>
  <c r="O70" i="18" l="1"/>
  <c r="O71" i="18"/>
  <c r="O72" i="18"/>
  <c r="O73" i="18"/>
  <c r="O74" i="18"/>
  <c r="O75" i="18"/>
  <c r="O69" i="18"/>
  <c r="L66" i="18"/>
  <c r="L68" i="18" s="1"/>
  <c r="O76" i="18" l="1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44" i="18"/>
  <c r="F21" i="1" l="1"/>
  <c r="E21" i="1"/>
  <c r="D23" i="18"/>
  <c r="E23" i="18"/>
  <c r="F23" i="18"/>
  <c r="G23" i="18"/>
  <c r="H23" i="18"/>
  <c r="I23" i="18"/>
  <c r="J23" i="18"/>
  <c r="K4" i="18"/>
  <c r="K23" i="18" s="1"/>
  <c r="K90" i="18"/>
  <c r="B95" i="18" s="1"/>
  <c r="I58" i="18"/>
  <c r="H58" i="18"/>
  <c r="G58" i="18"/>
  <c r="F58" i="18"/>
  <c r="E58" i="18"/>
  <c r="D58" i="18"/>
  <c r="K38" i="18"/>
  <c r="K37" i="18"/>
  <c r="K36" i="18"/>
  <c r="K35" i="18"/>
  <c r="K30" i="18"/>
  <c r="K29" i="18"/>
  <c r="K27" i="18"/>
  <c r="H20" i="1"/>
  <c r="K39" i="18" l="1"/>
  <c r="C21" i="1"/>
  <c r="K31" i="18"/>
  <c r="K58" i="18"/>
  <c r="B21" i="1" s="1"/>
  <c r="D21" i="1" s="1"/>
  <c r="N30" i="18" l="1"/>
  <c r="K61" i="18"/>
  <c r="K75" i="18" s="1"/>
  <c r="B94" i="18" s="1"/>
  <c r="B96" i="18" s="1"/>
  <c r="G21" i="1"/>
  <c r="I21" i="1" s="1"/>
  <c r="K21" i="1" s="1"/>
  <c r="J48" i="16" l="1"/>
  <c r="J81" i="17" l="1"/>
  <c r="I49" i="17"/>
  <c r="H49" i="17"/>
  <c r="G49" i="17"/>
  <c r="F49" i="17"/>
  <c r="E49" i="17"/>
  <c r="D49" i="17"/>
  <c r="J48" i="17"/>
  <c r="J47" i="17"/>
  <c r="J46" i="17"/>
  <c r="J45" i="17"/>
  <c r="J44" i="17"/>
  <c r="J43" i="17"/>
  <c r="J42" i="17"/>
  <c r="J41" i="17"/>
  <c r="J40" i="17"/>
  <c r="J39" i="17"/>
  <c r="J38" i="17"/>
  <c r="J32" i="17"/>
  <c r="J31" i="17"/>
  <c r="J30" i="17"/>
  <c r="J29" i="17"/>
  <c r="J24" i="17"/>
  <c r="J23" i="17"/>
  <c r="J22" i="17"/>
  <c r="J21" i="17"/>
  <c r="I17" i="17"/>
  <c r="H17" i="17"/>
  <c r="F17" i="17"/>
  <c r="E17" i="17"/>
  <c r="D17" i="17"/>
  <c r="J16" i="17"/>
  <c r="J15" i="17"/>
  <c r="J14" i="17"/>
  <c r="J13" i="17"/>
  <c r="J12" i="17"/>
  <c r="J11" i="17"/>
  <c r="J10" i="17"/>
  <c r="J9" i="17"/>
  <c r="J8" i="17"/>
  <c r="J7" i="17"/>
  <c r="J6" i="17"/>
  <c r="J5" i="17"/>
  <c r="J4" i="17"/>
  <c r="J20" i="16"/>
  <c r="J21" i="16"/>
  <c r="J22" i="16"/>
  <c r="J23" i="16"/>
  <c r="J24" i="16"/>
  <c r="J25" i="16"/>
  <c r="J26" i="16"/>
  <c r="J27" i="16"/>
  <c r="J28" i="16"/>
  <c r="J29" i="16"/>
  <c r="J30" i="16"/>
  <c r="J31" i="16"/>
  <c r="J17" i="17" l="1"/>
  <c r="C20" i="1"/>
  <c r="J49" i="17"/>
  <c r="B20" i="1" s="1"/>
  <c r="J25" i="17"/>
  <c r="J33" i="17"/>
  <c r="M24" i="17" s="1"/>
  <c r="B86" i="17"/>
  <c r="J20" i="1"/>
  <c r="H19" i="1"/>
  <c r="D20" i="1" l="1"/>
  <c r="I20" i="1" s="1"/>
  <c r="J52" i="17"/>
  <c r="J66" i="17" s="1"/>
  <c r="B85" i="17" s="1"/>
  <c r="B87" i="17" s="1"/>
  <c r="K20" i="1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4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18" i="16"/>
  <c r="J19" i="16"/>
  <c r="J32" i="16"/>
  <c r="J33" i="16"/>
  <c r="J34" i="16"/>
  <c r="J35" i="16"/>
  <c r="J36" i="16"/>
  <c r="J37" i="16"/>
  <c r="J38" i="16"/>
  <c r="J39" i="16"/>
  <c r="J40" i="16"/>
  <c r="J41" i="16"/>
  <c r="J42" i="16"/>
  <c r="J124" i="16"/>
  <c r="J19" i="1" s="1"/>
  <c r="F61" i="16"/>
  <c r="D61" i="16"/>
  <c r="E61" i="16"/>
  <c r="G61" i="16"/>
  <c r="H61" i="16"/>
  <c r="I61" i="16"/>
  <c r="F43" i="16"/>
  <c r="J43" i="16" l="1"/>
  <c r="G43" i="16"/>
  <c r="H43" i="16"/>
  <c r="B129" i="16" l="1"/>
  <c r="I88" i="16"/>
  <c r="H88" i="16"/>
  <c r="G88" i="16"/>
  <c r="F88" i="16"/>
  <c r="E88" i="16"/>
  <c r="D88" i="16"/>
  <c r="J87" i="16"/>
  <c r="J86" i="16"/>
  <c r="J85" i="16"/>
  <c r="J84" i="16"/>
  <c r="J83" i="16"/>
  <c r="J82" i="16"/>
  <c r="J81" i="16"/>
  <c r="J80" i="16"/>
  <c r="J79" i="16"/>
  <c r="J78" i="16"/>
  <c r="J77" i="16"/>
  <c r="J76" i="16"/>
  <c r="J75" i="16"/>
  <c r="J74" i="16"/>
  <c r="J68" i="16"/>
  <c r="J67" i="16"/>
  <c r="J66" i="16"/>
  <c r="J65" i="16"/>
  <c r="J47" i="16"/>
  <c r="J61" i="16" s="1"/>
  <c r="I43" i="16"/>
  <c r="E43" i="16"/>
  <c r="D43" i="16"/>
  <c r="H18" i="1"/>
  <c r="J69" i="16" l="1"/>
  <c r="J88" i="16"/>
  <c r="B19" i="1" s="1"/>
  <c r="C19" i="1"/>
  <c r="V17" i="1"/>
  <c r="V16" i="1"/>
  <c r="V15" i="1"/>
  <c r="V14" i="1"/>
  <c r="D19" i="1" l="1"/>
  <c r="I19" i="1" s="1"/>
  <c r="K19" i="1" s="1"/>
  <c r="J91" i="16"/>
  <c r="J105" i="16" s="1"/>
  <c r="B128" i="16" s="1"/>
  <c r="B130" i="16" s="1"/>
  <c r="M60" i="16"/>
  <c r="V19" i="1" s="1"/>
  <c r="J89" i="15"/>
  <c r="I57" i="15"/>
  <c r="H57" i="15"/>
  <c r="G57" i="15"/>
  <c r="F57" i="15"/>
  <c r="E57" i="15"/>
  <c r="D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37" i="15"/>
  <c r="J36" i="15"/>
  <c r="J35" i="15"/>
  <c r="J34" i="15"/>
  <c r="J29" i="15"/>
  <c r="J28" i="15"/>
  <c r="J27" i="15"/>
  <c r="J26" i="15"/>
  <c r="J30" i="15" s="1"/>
  <c r="I22" i="15"/>
  <c r="H22" i="15"/>
  <c r="F22" i="15"/>
  <c r="E22" i="15"/>
  <c r="D22" i="15"/>
  <c r="J21" i="15"/>
  <c r="J20" i="15"/>
  <c r="J19" i="15"/>
  <c r="J18" i="15"/>
  <c r="J17" i="15"/>
  <c r="J16" i="15"/>
  <c r="J15" i="15"/>
  <c r="J14" i="15"/>
  <c r="J13" i="15"/>
  <c r="J12" i="15"/>
  <c r="J11" i="15"/>
  <c r="J22" i="15" s="1"/>
  <c r="J10" i="15"/>
  <c r="J9" i="15"/>
  <c r="J8" i="15"/>
  <c r="J7" i="15"/>
  <c r="J6" i="15"/>
  <c r="J5" i="15"/>
  <c r="J4" i="15"/>
  <c r="H17" i="1"/>
  <c r="B94" i="15" l="1"/>
  <c r="J18" i="1"/>
  <c r="J38" i="15"/>
  <c r="C18" i="1"/>
  <c r="J57" i="15"/>
  <c r="B18" i="1" s="1"/>
  <c r="D18" i="1" s="1"/>
  <c r="I18" i="1" s="1"/>
  <c r="K18" i="1" s="1"/>
  <c r="M29" i="15"/>
  <c r="V18" i="1" s="1"/>
  <c r="J60" i="15"/>
  <c r="J74" i="15" s="1"/>
  <c r="B93" i="15" s="1"/>
  <c r="B95" i="15" s="1"/>
  <c r="H16" i="1"/>
  <c r="H15" i="1"/>
  <c r="J16" i="1"/>
  <c r="B16" i="1"/>
  <c r="C16" i="1"/>
  <c r="D16" i="1" l="1"/>
  <c r="I16" i="1" s="1"/>
  <c r="K16" i="1" s="1"/>
  <c r="J89" i="14"/>
  <c r="I57" i="14"/>
  <c r="H57" i="14"/>
  <c r="G57" i="14"/>
  <c r="F57" i="14"/>
  <c r="E57" i="14"/>
  <c r="D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37" i="14"/>
  <c r="J36" i="14"/>
  <c r="J35" i="14"/>
  <c r="J34" i="14"/>
  <c r="J29" i="14"/>
  <c r="J28" i="14"/>
  <c r="J27" i="14"/>
  <c r="J26" i="14"/>
  <c r="I22" i="14"/>
  <c r="H22" i="14"/>
  <c r="F22" i="14"/>
  <c r="E22" i="14"/>
  <c r="D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92" i="13"/>
  <c r="B97" i="13" s="1"/>
  <c r="I57" i="13"/>
  <c r="H57" i="13"/>
  <c r="G57" i="13"/>
  <c r="F57" i="13"/>
  <c r="E57" i="13"/>
  <c r="D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57" i="13" s="1"/>
  <c r="J38" i="13"/>
  <c r="J37" i="13"/>
  <c r="J36" i="13"/>
  <c r="J35" i="13"/>
  <c r="J34" i="13"/>
  <c r="J29" i="13"/>
  <c r="J28" i="13"/>
  <c r="J30" i="13" s="1"/>
  <c r="M29" i="13" s="1"/>
  <c r="J27" i="13"/>
  <c r="J26" i="13"/>
  <c r="I22" i="13"/>
  <c r="H22" i="13"/>
  <c r="F22" i="13"/>
  <c r="E22" i="13"/>
  <c r="D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G22" i="12"/>
  <c r="H22" i="12"/>
  <c r="J38" i="14" l="1"/>
  <c r="J22" i="14"/>
  <c r="C17" i="1" s="1"/>
  <c r="J57" i="14"/>
  <c r="B17" i="1" s="1"/>
  <c r="D17" i="1" s="1"/>
  <c r="I17" i="1" s="1"/>
  <c r="J60" i="14"/>
  <c r="J74" i="14" s="1"/>
  <c r="B93" i="14" s="1"/>
  <c r="B94" i="14"/>
  <c r="J17" i="1"/>
  <c r="J30" i="14"/>
  <c r="M29" i="14" s="1"/>
  <c r="J22" i="13"/>
  <c r="J60" i="13"/>
  <c r="J74" i="13" s="1"/>
  <c r="B96" i="13" s="1"/>
  <c r="B98" i="13" s="1"/>
  <c r="K17" i="1" l="1"/>
  <c r="B95" i="14"/>
  <c r="J89" i="12"/>
  <c r="I57" i="12"/>
  <c r="H57" i="12"/>
  <c r="G57" i="12"/>
  <c r="F57" i="12"/>
  <c r="E57" i="12"/>
  <c r="D57" i="12"/>
  <c r="J56" i="12"/>
  <c r="J55" i="12"/>
  <c r="J54" i="12"/>
  <c r="J53" i="12"/>
  <c r="J52" i="12"/>
  <c r="J51" i="12"/>
  <c r="J50" i="12"/>
  <c r="J49" i="12"/>
  <c r="J48" i="12"/>
  <c r="J47" i="12"/>
  <c r="J46" i="12"/>
  <c r="J45" i="12"/>
  <c r="J44" i="12"/>
  <c r="J43" i="12"/>
  <c r="J37" i="12"/>
  <c r="J38" i="12" s="1"/>
  <c r="J36" i="12"/>
  <c r="J35" i="12"/>
  <c r="J34" i="12"/>
  <c r="J29" i="12"/>
  <c r="J28" i="12"/>
  <c r="J27" i="12"/>
  <c r="J26" i="12"/>
  <c r="I22" i="12"/>
  <c r="F22" i="12"/>
  <c r="E22" i="12"/>
  <c r="D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4" i="12"/>
  <c r="G22" i="11"/>
  <c r="H22" i="11"/>
  <c r="I22" i="11"/>
  <c r="J57" i="12" l="1"/>
  <c r="B15" i="1" s="1"/>
  <c r="B94" i="12"/>
  <c r="J15" i="1"/>
  <c r="J30" i="12"/>
  <c r="J22" i="12"/>
  <c r="C15" i="1" s="1"/>
  <c r="J60" i="12"/>
  <c r="J74" i="12" s="1"/>
  <c r="B93" i="12" s="1"/>
  <c r="B95" i="12" s="1"/>
  <c r="M29" i="12"/>
  <c r="H14" i="1"/>
  <c r="D15" i="1" l="1"/>
  <c r="I15" i="1" s="1"/>
  <c r="K15" i="1" s="1"/>
  <c r="F14" i="1"/>
  <c r="E14" i="1"/>
  <c r="N72" i="11"/>
  <c r="N73" i="11"/>
  <c r="N74" i="11"/>
  <c r="N75" i="11"/>
  <c r="N76" i="11"/>
  <c r="N77" i="11"/>
  <c r="N71" i="11"/>
  <c r="N78" i="11" s="1"/>
  <c r="K70" i="11"/>
  <c r="K68" i="11"/>
  <c r="G14" i="1" l="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D27" i="10" l="1"/>
  <c r="E27" i="10"/>
  <c r="F27" i="10"/>
  <c r="H27" i="10"/>
  <c r="I27" i="10"/>
  <c r="G27" i="10"/>
  <c r="J27" i="10"/>
  <c r="J90" i="11" l="1"/>
  <c r="I60" i="11"/>
  <c r="H60" i="11"/>
  <c r="G60" i="11"/>
  <c r="F60" i="11"/>
  <c r="E60" i="11"/>
  <c r="D60" i="11"/>
  <c r="J43" i="11"/>
  <c r="J37" i="11"/>
  <c r="J36" i="11"/>
  <c r="J35" i="11"/>
  <c r="J34" i="11"/>
  <c r="J29" i="11"/>
  <c r="J28" i="11"/>
  <c r="J27" i="11"/>
  <c r="J26" i="11"/>
  <c r="F22" i="11"/>
  <c r="E22" i="11"/>
  <c r="D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H13" i="1"/>
  <c r="B95" i="11" l="1"/>
  <c r="J14" i="1"/>
  <c r="J60" i="11"/>
  <c r="B14" i="1" s="1"/>
  <c r="J30" i="11"/>
  <c r="J22" i="11"/>
  <c r="C14" i="1" s="1"/>
  <c r="D14" i="1" s="1"/>
  <c r="I14" i="1" s="1"/>
  <c r="K14" i="1" s="1"/>
  <c r="J38" i="11"/>
  <c r="Z31" i="1"/>
  <c r="Z32" i="1"/>
  <c r="Z33" i="1"/>
  <c r="Z34" i="1"/>
  <c r="Z35" i="1"/>
  <c r="J18" i="10"/>
  <c r="J19" i="10"/>
  <c r="J20" i="10"/>
  <c r="J21" i="10"/>
  <c r="J22" i="10"/>
  <c r="J23" i="10"/>
  <c r="J24" i="10"/>
  <c r="J25" i="10"/>
  <c r="J26" i="10"/>
  <c r="M29" i="11" l="1"/>
  <c r="J63" i="11"/>
  <c r="J77" i="11" s="1"/>
  <c r="B94" i="11" s="1"/>
  <c r="B96" i="11" s="1"/>
  <c r="V12" i="1"/>
  <c r="V11" i="1"/>
  <c r="V10" i="1"/>
  <c r="V9" i="1"/>
  <c r="V8" i="1"/>
  <c r="V7" i="1"/>
  <c r="V6" i="1"/>
  <c r="V5" i="1"/>
  <c r="J42" i="10"/>
  <c r="J43" i="10"/>
  <c r="J44" i="10"/>
  <c r="J45" i="10"/>
  <c r="J46" i="10"/>
  <c r="J4" i="7"/>
  <c r="J5" i="7"/>
  <c r="J5" i="10" l="1"/>
  <c r="J6" i="10"/>
  <c r="J7" i="10"/>
  <c r="J8" i="10"/>
  <c r="J9" i="10"/>
  <c r="J10" i="10"/>
  <c r="J11" i="10"/>
  <c r="J12" i="10"/>
  <c r="J13" i="10"/>
  <c r="J14" i="10"/>
  <c r="J15" i="10"/>
  <c r="J16" i="10"/>
  <c r="J17" i="10"/>
  <c r="J4" i="10"/>
  <c r="B13" i="1" l="1"/>
  <c r="J99" i="10"/>
  <c r="I66" i="10"/>
  <c r="H66" i="10"/>
  <c r="G66" i="10"/>
  <c r="F66" i="10"/>
  <c r="E66" i="10"/>
  <c r="D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41" i="10"/>
  <c r="J36" i="10"/>
  <c r="J33" i="10"/>
  <c r="J32" i="10"/>
  <c r="J31" i="10"/>
  <c r="J66" i="10" l="1"/>
  <c r="J47" i="10"/>
  <c r="B104" i="10"/>
  <c r="J13" i="1"/>
  <c r="J37" i="10"/>
  <c r="C13" i="1"/>
  <c r="M36" i="10" l="1"/>
  <c r="V13" i="1" s="1"/>
  <c r="J69" i="10"/>
  <c r="J83" i="10" s="1"/>
  <c r="B103" i="10" s="1"/>
  <c r="B105" i="10" s="1"/>
  <c r="H12" i="1"/>
  <c r="J5" i="9" l="1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D13" i="1" l="1"/>
  <c r="I13" i="1" s="1"/>
  <c r="K13" i="1" s="1"/>
  <c r="I50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132" i="9" l="1"/>
  <c r="I97" i="9"/>
  <c r="H97" i="9"/>
  <c r="G97" i="9"/>
  <c r="F97" i="9"/>
  <c r="E97" i="9"/>
  <c r="D97" i="9"/>
  <c r="J96" i="9"/>
  <c r="J95" i="9"/>
  <c r="J94" i="9"/>
  <c r="J93" i="9"/>
  <c r="J92" i="9"/>
  <c r="J91" i="9"/>
  <c r="J90" i="9"/>
  <c r="J84" i="9"/>
  <c r="J83" i="9"/>
  <c r="J82" i="9"/>
  <c r="J81" i="9"/>
  <c r="J54" i="9"/>
  <c r="J77" i="9" s="1"/>
  <c r="H50" i="9"/>
  <c r="G50" i="9"/>
  <c r="F50" i="9"/>
  <c r="E50" i="9"/>
  <c r="D50" i="9"/>
  <c r="J4" i="9"/>
  <c r="J50" i="9" s="1"/>
  <c r="J5" i="8"/>
  <c r="J6" i="8"/>
  <c r="J7" i="8"/>
  <c r="J8" i="8"/>
  <c r="J9" i="8"/>
  <c r="J10" i="8"/>
  <c r="J11" i="8"/>
  <c r="J12" i="8"/>
  <c r="J23" i="8" s="1"/>
  <c r="J13" i="8"/>
  <c r="J14" i="8"/>
  <c r="J15" i="8"/>
  <c r="J16" i="8"/>
  <c r="J17" i="8"/>
  <c r="J18" i="8"/>
  <c r="J19" i="8"/>
  <c r="J20" i="8"/>
  <c r="J21" i="8"/>
  <c r="J22" i="8"/>
  <c r="B137" i="9" l="1"/>
  <c r="J12" i="1"/>
  <c r="J85" i="9"/>
  <c r="C12" i="1"/>
  <c r="J97" i="9"/>
  <c r="B12" i="1" s="1"/>
  <c r="H11" i="1"/>
  <c r="D12" i="1" l="1"/>
  <c r="I12" i="1" s="1"/>
  <c r="K12" i="1"/>
  <c r="M76" i="9"/>
  <c r="J100" i="9"/>
  <c r="J114" i="9" s="1"/>
  <c r="B136" i="9" s="1"/>
  <c r="B138" i="9" s="1"/>
  <c r="J5" i="2" l="1"/>
  <c r="J24" i="2" s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4" i="2"/>
  <c r="E24" i="2"/>
  <c r="F24" i="2"/>
  <c r="G24" i="2"/>
  <c r="H24" i="2"/>
  <c r="I24" i="2"/>
  <c r="P36" i="1"/>
  <c r="B11" i="1"/>
  <c r="J90" i="8"/>
  <c r="B95" i="8" s="1"/>
  <c r="I58" i="8"/>
  <c r="H58" i="8"/>
  <c r="G58" i="8"/>
  <c r="F58" i="8"/>
  <c r="E58" i="8"/>
  <c r="D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38" i="8"/>
  <c r="J37" i="8"/>
  <c r="J36" i="8"/>
  <c r="J35" i="8"/>
  <c r="J30" i="8"/>
  <c r="J29" i="8"/>
  <c r="J28" i="8"/>
  <c r="J27" i="8"/>
  <c r="J31" i="8" s="1"/>
  <c r="I23" i="8"/>
  <c r="H23" i="8"/>
  <c r="G23" i="8"/>
  <c r="F23" i="8"/>
  <c r="E23" i="8"/>
  <c r="D23" i="8"/>
  <c r="J4" i="8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39" i="8" l="1"/>
  <c r="M30" i="8" s="1"/>
  <c r="J58" i="8"/>
  <c r="J11" i="1"/>
  <c r="C11" i="1"/>
  <c r="H10" i="1"/>
  <c r="J61" i="8" l="1"/>
  <c r="J75" i="8" s="1"/>
  <c r="B94" i="8" s="1"/>
  <c r="B96" i="8" s="1"/>
  <c r="D58" i="7"/>
  <c r="E58" i="7"/>
  <c r="G58" i="7"/>
  <c r="H58" i="7"/>
  <c r="I58" i="7"/>
  <c r="F58" i="7"/>
  <c r="J23" i="7"/>
  <c r="H9" i="1"/>
  <c r="D11" i="1" l="1"/>
  <c r="I11" i="1" s="1"/>
  <c r="K11" i="1" s="1"/>
  <c r="J9" i="1"/>
  <c r="H8" i="1"/>
  <c r="B9" i="1"/>
  <c r="J90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36" i="7"/>
  <c r="J39" i="7"/>
  <c r="J38" i="7"/>
  <c r="J37" i="7"/>
  <c r="J40" i="7"/>
  <c r="J31" i="7"/>
  <c r="J30" i="7"/>
  <c r="J29" i="7"/>
  <c r="J28" i="7"/>
  <c r="I24" i="7"/>
  <c r="H24" i="7"/>
  <c r="G24" i="7"/>
  <c r="F24" i="7"/>
  <c r="E24" i="7"/>
  <c r="D24" i="7"/>
  <c r="J24" i="7"/>
  <c r="J92" i="6"/>
  <c r="B97" i="6" s="1"/>
  <c r="I57" i="6"/>
  <c r="H57" i="6"/>
  <c r="G57" i="6"/>
  <c r="F57" i="6"/>
  <c r="E57" i="6"/>
  <c r="D57" i="6"/>
  <c r="J56" i="6"/>
  <c r="J55" i="6"/>
  <c r="J54" i="6"/>
  <c r="J53" i="6"/>
  <c r="J52" i="6"/>
  <c r="J51" i="6"/>
  <c r="J50" i="6"/>
  <c r="J49" i="6"/>
  <c r="J48" i="6"/>
  <c r="J47" i="6"/>
  <c r="J46" i="6"/>
  <c r="J57" i="6" s="1"/>
  <c r="J45" i="6"/>
  <c r="J44" i="6"/>
  <c r="J43" i="6"/>
  <c r="J37" i="6"/>
  <c r="J36" i="6"/>
  <c r="J35" i="6"/>
  <c r="J34" i="6"/>
  <c r="J38" i="6" s="1"/>
  <c r="J29" i="6"/>
  <c r="J28" i="6"/>
  <c r="J30" i="6" s="1"/>
  <c r="M29" i="6" s="1"/>
  <c r="J27" i="6"/>
  <c r="J26" i="6"/>
  <c r="I22" i="6"/>
  <c r="H22" i="6"/>
  <c r="F22" i="6"/>
  <c r="E22" i="6"/>
  <c r="D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C7" i="1"/>
  <c r="C6" i="1"/>
  <c r="J22" i="6" l="1"/>
  <c r="C9" i="1" s="1"/>
  <c r="D9" i="1" s="1"/>
  <c r="I9" i="1" s="1"/>
  <c r="K9" i="1" s="1"/>
  <c r="J58" i="7"/>
  <c r="J32" i="7"/>
  <c r="B10" i="1"/>
  <c r="C10" i="1"/>
  <c r="B95" i="7"/>
  <c r="J10" i="1"/>
  <c r="M31" i="7"/>
  <c r="H7" i="1"/>
  <c r="H6" i="1"/>
  <c r="J7" i="1"/>
  <c r="J6" i="1"/>
  <c r="B8" i="1"/>
  <c r="B7" i="1"/>
  <c r="B6" i="1"/>
  <c r="D6" i="1"/>
  <c r="J5" i="4"/>
  <c r="J22" i="4" s="1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4" i="4"/>
  <c r="J60" i="6" l="1"/>
  <c r="J74" i="6" s="1"/>
  <c r="B96" i="6" s="1"/>
  <c r="B98" i="6" s="1"/>
  <c r="I6" i="1"/>
  <c r="K6" i="1" s="1"/>
  <c r="D10" i="1"/>
  <c r="I10" i="1" s="1"/>
  <c r="K10" i="1" s="1"/>
  <c r="J61" i="7"/>
  <c r="J75" i="7" s="1"/>
  <c r="B94" i="7" s="1"/>
  <c r="B96" i="7" s="1"/>
  <c r="D7" i="1"/>
  <c r="I7" i="1" s="1"/>
  <c r="K7" i="1" s="1"/>
  <c r="H5" i="1"/>
  <c r="C5" i="1" l="1"/>
  <c r="J92" i="5"/>
  <c r="I57" i="5"/>
  <c r="H57" i="5"/>
  <c r="G57" i="5"/>
  <c r="F57" i="5"/>
  <c r="E57" i="5"/>
  <c r="D57" i="5"/>
  <c r="J56" i="5"/>
  <c r="J55" i="5"/>
  <c r="J54" i="5"/>
  <c r="J53" i="5"/>
  <c r="J52" i="5"/>
  <c r="J51" i="5"/>
  <c r="J50" i="5"/>
  <c r="J49" i="5"/>
  <c r="J48" i="5"/>
  <c r="J47" i="5"/>
  <c r="J46" i="5"/>
  <c r="J57" i="5" s="1"/>
  <c r="J45" i="5"/>
  <c r="J44" i="5"/>
  <c r="J43" i="5"/>
  <c r="J37" i="5"/>
  <c r="J36" i="5"/>
  <c r="J35" i="5"/>
  <c r="J34" i="5"/>
  <c r="J38" i="5" s="1"/>
  <c r="J29" i="5"/>
  <c r="J28" i="5"/>
  <c r="J30" i="5" s="1"/>
  <c r="J27" i="5"/>
  <c r="J26" i="5"/>
  <c r="I22" i="5"/>
  <c r="H22" i="5"/>
  <c r="G22" i="5"/>
  <c r="F22" i="5"/>
  <c r="E22" i="5"/>
  <c r="D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22" i="5" s="1"/>
  <c r="C8" i="1" s="1"/>
  <c r="D8" i="1" s="1"/>
  <c r="I8" i="1" s="1"/>
  <c r="J92" i="4"/>
  <c r="B97" i="4" s="1"/>
  <c r="I57" i="4"/>
  <c r="H57" i="4"/>
  <c r="G57" i="4"/>
  <c r="F57" i="4"/>
  <c r="E57" i="4"/>
  <c r="D57" i="4"/>
  <c r="J56" i="4"/>
  <c r="J55" i="4"/>
  <c r="J54" i="4"/>
  <c r="J53" i="4"/>
  <c r="J52" i="4"/>
  <c r="J51" i="4"/>
  <c r="J50" i="4"/>
  <c r="J49" i="4"/>
  <c r="J48" i="4"/>
  <c r="J47" i="4"/>
  <c r="J46" i="4"/>
  <c r="J57" i="4" s="1"/>
  <c r="J45" i="4"/>
  <c r="J44" i="4"/>
  <c r="J43" i="4"/>
  <c r="J37" i="4"/>
  <c r="J36" i="4"/>
  <c r="J35" i="4"/>
  <c r="J34" i="4"/>
  <c r="J38" i="4" s="1"/>
  <c r="J29" i="4"/>
  <c r="J28" i="4"/>
  <c r="J30" i="4" s="1"/>
  <c r="M29" i="4" s="1"/>
  <c r="J27" i="4"/>
  <c r="J26" i="4"/>
  <c r="I22" i="4"/>
  <c r="H22" i="4"/>
  <c r="G22" i="4"/>
  <c r="F22" i="4"/>
  <c r="E22" i="4"/>
  <c r="D22" i="4"/>
  <c r="J92" i="3"/>
  <c r="B97" i="3" s="1"/>
  <c r="I57" i="3"/>
  <c r="H57" i="3"/>
  <c r="G57" i="3"/>
  <c r="F57" i="3"/>
  <c r="E57" i="3"/>
  <c r="D57" i="3"/>
  <c r="J56" i="3"/>
  <c r="J55" i="3"/>
  <c r="J54" i="3"/>
  <c r="J53" i="3"/>
  <c r="J52" i="3"/>
  <c r="J51" i="3"/>
  <c r="J50" i="3"/>
  <c r="J49" i="3"/>
  <c r="J48" i="3"/>
  <c r="J47" i="3"/>
  <c r="J46" i="3"/>
  <c r="J57" i="3" s="1"/>
  <c r="J45" i="3"/>
  <c r="J44" i="3"/>
  <c r="J43" i="3"/>
  <c r="J37" i="3"/>
  <c r="J36" i="3"/>
  <c r="J35" i="3"/>
  <c r="J34" i="3"/>
  <c r="J38" i="3" s="1"/>
  <c r="J29" i="3"/>
  <c r="J28" i="3"/>
  <c r="J30" i="3" s="1"/>
  <c r="J27" i="3"/>
  <c r="J26" i="3"/>
  <c r="I22" i="3"/>
  <c r="H22" i="3"/>
  <c r="G22" i="3"/>
  <c r="F22" i="3"/>
  <c r="E22" i="3"/>
  <c r="D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22" i="3" s="1"/>
  <c r="J95" i="2"/>
  <c r="I59" i="2"/>
  <c r="H59" i="2"/>
  <c r="G59" i="2"/>
  <c r="F59" i="2"/>
  <c r="E59" i="2"/>
  <c r="D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39" i="2"/>
  <c r="J38" i="2"/>
  <c r="J37" i="2"/>
  <c r="J36" i="2"/>
  <c r="J40" i="2" s="1"/>
  <c r="J31" i="2"/>
  <c r="J30" i="2"/>
  <c r="J29" i="2"/>
  <c r="J28" i="2"/>
  <c r="D24" i="2"/>
  <c r="B97" i="5" l="1"/>
  <c r="J8" i="1"/>
  <c r="K8" i="1" s="1"/>
  <c r="J59" i="2"/>
  <c r="B100" i="2"/>
  <c r="J5" i="1"/>
  <c r="J32" i="2"/>
  <c r="M31" i="2" s="1"/>
  <c r="J60" i="5"/>
  <c r="J74" i="5" s="1"/>
  <c r="B96" i="5" s="1"/>
  <c r="M29" i="5"/>
  <c r="J60" i="4"/>
  <c r="J74" i="4" s="1"/>
  <c r="B96" i="4" s="1"/>
  <c r="B98" i="4" s="1"/>
  <c r="J60" i="3"/>
  <c r="J74" i="3" s="1"/>
  <c r="B96" i="3" s="1"/>
  <c r="B98" i="3" s="1"/>
  <c r="M29" i="3"/>
  <c r="J62" i="2"/>
  <c r="J76" i="2" s="1"/>
  <c r="B99" i="2" s="1"/>
  <c r="B101" i="2" s="1"/>
  <c r="B98" i="5" l="1"/>
  <c r="B5" i="1"/>
  <c r="D5" i="1" s="1"/>
  <c r="I5" i="1" s="1"/>
  <c r="K5" i="1" s="1"/>
  <c r="M5" i="1" s="1"/>
  <c r="M6" i="1" s="1"/>
  <c r="M7" i="1" s="1"/>
  <c r="M8" i="1" s="1"/>
  <c r="M9" i="1" s="1"/>
  <c r="M10" i="1" s="1"/>
  <c r="M11" i="1" l="1"/>
  <c r="T36" i="1"/>
  <c r="Q36" i="1"/>
  <c r="P39" i="1" s="1"/>
  <c r="O36" i="1"/>
  <c r="Z30" i="1"/>
  <c r="AA22" i="1"/>
  <c r="AA21" i="1"/>
  <c r="AA20" i="1"/>
  <c r="AA19" i="1"/>
  <c r="AA18" i="1"/>
  <c r="AA17" i="1"/>
  <c r="AA16" i="1"/>
  <c r="AA15" i="1"/>
  <c r="N36" i="1"/>
  <c r="H36" i="1"/>
  <c r="AA14" i="1"/>
  <c r="AA13" i="1"/>
  <c r="AA12" i="1"/>
  <c r="F36" i="1"/>
  <c r="E36" i="1"/>
  <c r="J36" i="1"/>
  <c r="C36" i="1"/>
  <c r="R4" i="1"/>
  <c r="S4" i="1" s="1"/>
  <c r="M12" i="1" l="1"/>
  <c r="Z37" i="1"/>
  <c r="Z39" i="1" s="1"/>
  <c r="V36" i="1"/>
  <c r="AA23" i="1"/>
  <c r="R5" i="1"/>
  <c r="R6" i="1" s="1"/>
  <c r="R7" i="1" s="1"/>
  <c r="R8" i="1" s="1"/>
  <c r="R9" i="1" s="1"/>
  <c r="R10" i="1" s="1"/>
  <c r="D36" i="1"/>
  <c r="G36" i="1"/>
  <c r="B36" i="1"/>
  <c r="M13" i="1" l="1"/>
  <c r="R11" i="1"/>
  <c r="R12" i="1" s="1"/>
  <c r="R13" i="1" s="1"/>
  <c r="R14" i="1" s="1"/>
  <c r="S10" i="1"/>
  <c r="I36" i="1"/>
  <c r="M36" i="1" s="1"/>
  <c r="R15" i="1" l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M14" i="1"/>
  <c r="S13" i="1"/>
  <c r="K36" i="1"/>
  <c r="M15" i="1" l="1"/>
  <c r="M16" i="1" s="1"/>
  <c r="M17" i="1" s="1"/>
  <c r="M18" i="1" s="1"/>
  <c r="M19" i="1" s="1"/>
  <c r="M20" i="1" s="1"/>
  <c r="S5" i="1"/>
  <c r="M21" i="1" l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S6" i="1"/>
  <c r="AA27" i="1" l="1"/>
  <c r="S7" i="1"/>
  <c r="S8" i="1" l="1"/>
  <c r="S9" i="1" l="1"/>
  <c r="S11" i="1" l="1"/>
  <c r="S12" i="1" l="1"/>
  <c r="S14" i="1" l="1"/>
  <c r="S15" i="1" l="1"/>
  <c r="S16" i="1" l="1"/>
  <c r="S17" i="1" l="1"/>
  <c r="S18" i="1" l="1"/>
  <c r="S19" i="1" l="1"/>
  <c r="S20" i="1" l="1"/>
  <c r="S21" i="1" l="1"/>
  <c r="S22" i="1" l="1"/>
  <c r="S23" i="1" l="1"/>
  <c r="S24" i="1" l="1"/>
  <c r="S25" i="1" l="1"/>
  <c r="S26" i="1" l="1"/>
  <c r="S27" i="1" l="1"/>
  <c r="S28" i="1" l="1"/>
  <c r="S29" i="1" l="1"/>
  <c r="S30" i="1" l="1"/>
  <c r="S31" i="1" l="1"/>
  <c r="S32" i="1" l="1"/>
  <c r="S33" i="1" l="1"/>
  <c r="S34" i="1" l="1"/>
  <c r="S35" i="1" l="1"/>
  <c r="M42" i="1" s="1"/>
</calcChain>
</file>

<file path=xl/sharedStrings.xml><?xml version="1.0" encoding="utf-8"?>
<sst xmlns="http://schemas.openxmlformats.org/spreadsheetml/2006/main" count="3025" uniqueCount="878">
  <si>
    <t>OFICINA</t>
  </si>
  <si>
    <t>COBRADOR</t>
  </si>
  <si>
    <t xml:space="preserve">SOCIOS </t>
  </si>
  <si>
    <t>INQUILINOS</t>
  </si>
  <si>
    <t>TOTAL</t>
  </si>
  <si>
    <t>SS.HH</t>
  </si>
  <si>
    <t>INGRESOS</t>
  </si>
  <si>
    <t>EGRESOS</t>
  </si>
  <si>
    <t>SALDO</t>
  </si>
  <si>
    <t>EGRESOS
BOVEDA</t>
  </si>
  <si>
    <t>CAJA</t>
  </si>
  <si>
    <t>BOVEDA SANTO ROSA</t>
  </si>
  <si>
    <t xml:space="preserve">ACTIVIDAD SANTA ROSA </t>
  </si>
  <si>
    <t>BOVEDA SR. OSCAR</t>
  </si>
  <si>
    <t>DEPOSITO
AL BCO</t>
  </si>
  <si>
    <t>BOVEDA TOTAL</t>
  </si>
  <si>
    <t>ACUMULADO</t>
  </si>
  <si>
    <t>DOLARES</t>
  </si>
  <si>
    <t>PAGO CON QR</t>
  </si>
  <si>
    <t>SAL. INI.</t>
  </si>
  <si>
    <t>FATIMA</t>
  </si>
  <si>
    <t>SENCILLO</t>
  </si>
  <si>
    <t>MONEDAS DE 50</t>
  </si>
  <si>
    <t>BAÑO</t>
  </si>
  <si>
    <t>TATIANA</t>
  </si>
  <si>
    <t>NUMERO</t>
  </si>
  <si>
    <t>DENOMINACION</t>
  </si>
  <si>
    <t>CCI BBVA</t>
  </si>
  <si>
    <t>011 338 000100019602 10</t>
  </si>
  <si>
    <t>N DE CUENTA</t>
  </si>
  <si>
    <t>0011 0338 0100019602 10</t>
  </si>
  <si>
    <t>INQUILINO</t>
  </si>
  <si>
    <t>COMPROBANTE</t>
  </si>
  <si>
    <t>DETALLE</t>
  </si>
  <si>
    <t>LUZ</t>
  </si>
  <si>
    <t>AGUA</t>
  </si>
  <si>
    <t>ALQUILER</t>
  </si>
  <si>
    <t>ESPACIO</t>
  </si>
  <si>
    <t>PARQUEO</t>
  </si>
  <si>
    <t>TICKET</t>
  </si>
  <si>
    <t>BBVA</t>
  </si>
  <si>
    <t xml:space="preserve">DETALLE </t>
  </si>
  <si>
    <t>DEPOSITO</t>
  </si>
  <si>
    <t>TOTAL QR</t>
  </si>
  <si>
    <t>SOCIOS</t>
  </si>
  <si>
    <t>RECIBO DE SERVICIO</t>
  </si>
  <si>
    <t>G. ADM</t>
  </si>
  <si>
    <t>P. SOCIAL</t>
  </si>
  <si>
    <t>P.S X FALLECIMIENTO</t>
  </si>
  <si>
    <t>SOCIO</t>
  </si>
  <si>
    <t xml:space="preserve">TOTAL DE INGRESOS </t>
  </si>
  <si>
    <t>SRTA. FATIMA SIHUE</t>
  </si>
  <si>
    <t>COBRANZA SOCIOS</t>
  </si>
  <si>
    <t>COBRANZA INQUILINOS</t>
  </si>
  <si>
    <t>SRA. MARIA CUYA ARANGO</t>
  </si>
  <si>
    <t>COBRANZA DE BAÑO DEL 1ER PISO</t>
  </si>
  <si>
    <t>COBRANZA DE BAÑO DEL 2DO PISO</t>
  </si>
  <si>
    <t>TOTAL GENERAL DE INGRESOS</t>
  </si>
  <si>
    <t>RESPONSABLE</t>
  </si>
  <si>
    <t xml:space="preserve">COMPROBANTE </t>
  </si>
  <si>
    <t>TOTAL DE EGRESOS</t>
  </si>
  <si>
    <t>RESUMEN</t>
  </si>
  <si>
    <t>TOTAL GENERAL</t>
  </si>
  <si>
    <t>INGRESOS DEL DIA 01-04-2026</t>
  </si>
  <si>
    <t>EGRESOS DEL DIA 01-04-2026</t>
  </si>
  <si>
    <t>INGRESOS DEL DIA 02-04-2026</t>
  </si>
  <si>
    <t>INGRESOS DEL DIA 03-04-2026</t>
  </si>
  <si>
    <t>INGRESOS DEL DIA 04-04-2026</t>
  </si>
  <si>
    <t>EGRESOS DEL DIA 02-04-2026</t>
  </si>
  <si>
    <t>EGRESOS DEL DIA 04-04-2026</t>
  </si>
  <si>
    <t xml:space="preserve">SEVEN DAYS CORPORATION S.A.C.  </t>
  </si>
  <si>
    <t xml:space="preserve">E001-356 </t>
  </si>
  <si>
    <t xml:space="preserve">MARI SOL QUISPE CHAVEZ </t>
  </si>
  <si>
    <t xml:space="preserve">EB01-7111 </t>
  </si>
  <si>
    <t xml:space="preserve">ANATOLIA CHIPANA DE VARGAS </t>
  </si>
  <si>
    <t xml:space="preserve">EB01-7113 </t>
  </si>
  <si>
    <t xml:space="preserve">DIANA ZENAIDA SANCHEZ PRADO </t>
  </si>
  <si>
    <t>EB01-7112</t>
  </si>
  <si>
    <t>JOSE</t>
  </si>
  <si>
    <t>TK 50817</t>
  </si>
  <si>
    <t xml:space="preserve">JANETT CONSUELO CASTRO RODRIGUEZ </t>
  </si>
  <si>
    <t xml:space="preserve">EB01-7114 </t>
  </si>
  <si>
    <t xml:space="preserve">DOMINICA LUCIANA FLORES LAREDO </t>
  </si>
  <si>
    <t xml:space="preserve">EB01-7115 </t>
  </si>
  <si>
    <t>LOPEZ NELLY</t>
  </si>
  <si>
    <t xml:space="preserve">DIETA MES DE MARZO 2026 AL CARGO DE GERENTE </t>
  </si>
  <si>
    <t>RC 8597</t>
  </si>
  <si>
    <t xml:space="preserve">ARGUELLO MANZANILLA NARCYS ALEXANDER  </t>
  </si>
  <si>
    <t xml:space="preserve">E001-357 </t>
  </si>
  <si>
    <t>SAAVEDRA LUIS</t>
  </si>
  <si>
    <t>5 CUADERNOS STANFORD PARA EL CONSEJO DE ADM</t>
  </si>
  <si>
    <t>2 CUADERNOS STANFORD PARA EL CONSEJO DE ADM</t>
  </si>
  <si>
    <t>1 CUADERNO STANFORD PARA EL CONSEJO DE ADM</t>
  </si>
  <si>
    <t xml:space="preserve">MARY CRISPIN FLORES </t>
  </si>
  <si>
    <t xml:space="preserve">EB01-7116 </t>
  </si>
  <si>
    <t xml:space="preserve">SAYDA YUPANQUI QUISPE </t>
  </si>
  <si>
    <t xml:space="preserve">EB01-7117 </t>
  </si>
  <si>
    <t>POMACANCHARI NICANOR</t>
  </si>
  <si>
    <t>LIMPIEZA DEL MERCADO (REEMPLAZO DEL SR JAVIER VASQUEZ) DEL DIA 01-04-2026</t>
  </si>
  <si>
    <t>RC 8598</t>
  </si>
  <si>
    <t xml:space="preserve">EB01-7119 </t>
  </si>
  <si>
    <t>EB01-7123</t>
  </si>
  <si>
    <t>EB01-7120</t>
  </si>
  <si>
    <t>EGRESOS DEL DIA 03-04-2026</t>
  </si>
  <si>
    <t>PRUDENCIO TUEROS QUISPE </t>
  </si>
  <si>
    <t xml:space="preserve">EB01-7125 </t>
  </si>
  <si>
    <t>EB01-7124</t>
  </si>
  <si>
    <t xml:space="preserve">VIOLETA ANANI RETAMOZO ORE </t>
  </si>
  <si>
    <t>LOCAL 2DO PISO</t>
  </si>
  <si>
    <t>DELGADO SANCHEZ MARIA DENNIS</t>
  </si>
  <si>
    <t xml:space="preserve">E001-122 </t>
  </si>
  <si>
    <t>BOCADITOS PARA EL VIA CRUCIS DE LA IGLESIA SAN ESTEBAN REY DE HUNGRIA</t>
  </si>
  <si>
    <t>COMPAÑÍA HARD DISCOUNT S.A.C.</t>
  </si>
  <si>
    <t>FA39-00501317</t>
  </si>
  <si>
    <t xml:space="preserve">GASEOSAS PARA EL VIA CRUCIS </t>
  </si>
  <si>
    <t>SERVICIOS ALIMENTARIOS H&amp;J CHOCOCHANTY</t>
  </si>
  <si>
    <t>267-1-000006</t>
  </si>
  <si>
    <t>BOCADITOS DULCES PARA EL VIA CRUCIS</t>
  </si>
  <si>
    <t>PAREDES FLORES OSCAR</t>
  </si>
  <si>
    <t>RC 8599</t>
  </si>
  <si>
    <t>DIETA MES DE MARZO 2026 AL CARGO DE PRESIDENTE DEL CONSEJO DE ADM</t>
  </si>
  <si>
    <t>TK 50818</t>
  </si>
  <si>
    <t>INGRESOS DEL DIA 06-04-2026</t>
  </si>
  <si>
    <t>INGRESOS DEL DIA 05-04-2026</t>
  </si>
  <si>
    <t>EGRESOS DEL DIA 05-04-2026</t>
  </si>
  <si>
    <t xml:space="preserve">EB01-7129 </t>
  </si>
  <si>
    <t xml:space="preserve">EDGAR SALVADOR ALVAREZ CHIARA </t>
  </si>
  <si>
    <t>EB01-7130</t>
  </si>
  <si>
    <t>NOTA DE CREDITO</t>
  </si>
  <si>
    <t xml:space="preserve">EB01-7128 </t>
  </si>
  <si>
    <t xml:space="preserve">EB01-95 </t>
  </si>
  <si>
    <t xml:space="preserve">OBDULIA CERRON GALVAN </t>
  </si>
  <si>
    <t>EB01-7131</t>
  </si>
  <si>
    <t xml:space="preserve">PARQUEO </t>
  </si>
  <si>
    <t xml:space="preserve">EB01-7132 </t>
  </si>
  <si>
    <t>ZENEIDE BELLIDO DE LA TORRE DE CHUQUITAIPE</t>
  </si>
  <si>
    <t>1 GUANTE PARA LA SRA DE LOS SSHH</t>
  </si>
  <si>
    <t xml:space="preserve">MARLENE YAUYOS MENDIETA </t>
  </si>
  <si>
    <t xml:space="preserve">EB01-7133 </t>
  </si>
  <si>
    <t>JOSE DESARMADORES</t>
  </si>
  <si>
    <t>TK 50819</t>
  </si>
  <si>
    <t>TK 50820</t>
  </si>
  <si>
    <t>VILLAR RONCAL DIGNA</t>
  </si>
  <si>
    <t>F001-0003655</t>
  </si>
  <si>
    <t>1 CHAPA PERILLA FORTE PARA LA PUERTA DEL ALMACEN DEL SEGUNDO PISO</t>
  </si>
  <si>
    <t xml:space="preserve">COTRINA MANRIQUE TITO </t>
  </si>
  <si>
    <t xml:space="preserve">PATRICIA PAOLA QUISPE MAMANI </t>
  </si>
  <si>
    <t>EB01-7134</t>
  </si>
  <si>
    <t>E001-191</t>
  </si>
  <si>
    <t>CAMBIO Y COLOCACION DE NUEVA CHAPA PARA LA PUERTA DEL ALMACEN DEL SEGUNDO PISO.</t>
  </si>
  <si>
    <t>PRADO ZOZIMA</t>
  </si>
  <si>
    <t>RI 32929</t>
  </si>
  <si>
    <t>SOTO MARIA</t>
  </si>
  <si>
    <t>RC 8600</t>
  </si>
  <si>
    <t>DIETA MES DE MARZO 2026 AL CARGO DE VOCAL TITULAR DEL CONSEJO DE ADM</t>
  </si>
  <si>
    <t xml:space="preserve">EB01-7136 </t>
  </si>
  <si>
    <t>EGRESOS DEL DIA 07-04-2026</t>
  </si>
  <si>
    <t>INGRESOS DEL DIA 07-04-2026</t>
  </si>
  <si>
    <t>EGRESOS DEL DIA 06-04-2026</t>
  </si>
  <si>
    <t xml:space="preserve">	FEDERICO MANUEL LEONARDO AMARILLO </t>
  </si>
  <si>
    <t xml:space="preserve">EB01-7137 </t>
  </si>
  <si>
    <t>EB01-7138</t>
  </si>
  <si>
    <t>EB01-7139</t>
  </si>
  <si>
    <t xml:space="preserve">ROSANA PILAR LEONARDO AMARILLO </t>
  </si>
  <si>
    <t xml:space="preserve">FERNANDO MARTIN OBREGON CASTILLO </t>
  </si>
  <si>
    <t>RII 3318</t>
  </si>
  <si>
    <t xml:space="preserve">IDALINA MONTENEGRO BAUTISTA </t>
  </si>
  <si>
    <t>EB01-7140</t>
  </si>
  <si>
    <t xml:space="preserve">ROMULO HUAMANI JANAMPA </t>
  </si>
  <si>
    <t>EB01-7141</t>
  </si>
  <si>
    <t>LOCAL DEL 2DO PISO</t>
  </si>
  <si>
    <t xml:space="preserve">HAYDEE LOPEZ CERRON </t>
  </si>
  <si>
    <t xml:space="preserve">EB01-7142 </t>
  </si>
  <si>
    <t xml:space="preserve">GRACIELA BUSTAMANTE CHILON </t>
  </si>
  <si>
    <t>EB01-7143</t>
  </si>
  <si>
    <t>RII 3319</t>
  </si>
  <si>
    <t>RII 3320</t>
  </si>
  <si>
    <t>RII 3321</t>
  </si>
  <si>
    <t>YAURIMUCHA URSULA</t>
  </si>
  <si>
    <t xml:space="preserve"> </t>
  </si>
  <si>
    <t>ALVAREZ CAMPOS ROLANDO</t>
  </si>
  <si>
    <t>01 CAFÉ ALTOMAYO + AZUCAR PARA LOS VIGILANTES TURNO NOCHE</t>
  </si>
  <si>
    <t xml:space="preserve">ROMINA DEL CARMEN HERRERA PEVES </t>
  </si>
  <si>
    <t>EB01-7144</t>
  </si>
  <si>
    <t>RII 3322</t>
  </si>
  <si>
    <t xml:space="preserve">REYNALDO RIGOBERTO VERA ROMERO </t>
  </si>
  <si>
    <t xml:space="preserve">EB01-7146 </t>
  </si>
  <si>
    <t>EB01-7147</t>
  </si>
  <si>
    <t>INGRESOS DEL DIA 08-04-2026</t>
  </si>
  <si>
    <t>EGRESOS DEL DIA 08-04-2026</t>
  </si>
  <si>
    <t xml:space="preserve">EB01-7148 </t>
  </si>
  <si>
    <t xml:space="preserve">CLAROS TORRES SANTOS JESUS </t>
  </si>
  <si>
    <t xml:space="preserve">E001-358 </t>
  </si>
  <si>
    <t xml:space="preserve">ASAEL CASTILLO ZAPATA </t>
  </si>
  <si>
    <t xml:space="preserve">EB01-7149 </t>
  </si>
  <si>
    <t>RII 3323</t>
  </si>
  <si>
    <t>DAVILA MARISOL</t>
  </si>
  <si>
    <t>RC 8601</t>
  </si>
  <si>
    <t>PREVISION SOCIAL A LA SOCIA CAHUANA VICENTINA POR SALUD</t>
  </si>
  <si>
    <t xml:space="preserve">IMPULSO SALUD S.A.C.  </t>
  </si>
  <si>
    <t>E001-359</t>
  </si>
  <si>
    <t xml:space="preserve">CLEMENCIA BEATRIZ GARCIA MEDINA VDA DE MOLINA </t>
  </si>
  <si>
    <t xml:space="preserve">EB01-7150 </t>
  </si>
  <si>
    <t xml:space="preserve">LISBETH KARITO QUISPE NAPUCHE </t>
  </si>
  <si>
    <t xml:space="preserve">EB01-7151 </t>
  </si>
  <si>
    <t>RII 3324</t>
  </si>
  <si>
    <t xml:space="preserve">CASILDA CATALINA REBAZA REBAZA </t>
  </si>
  <si>
    <t xml:space="preserve">EB01-7152 </t>
  </si>
  <si>
    <t xml:space="preserve">DAYSI ELIZABETH AZURZA TRIBIÑOS </t>
  </si>
  <si>
    <t xml:space="preserve">EB01-7153 </t>
  </si>
  <si>
    <t xml:space="preserve">EB01-7154 </t>
  </si>
  <si>
    <t xml:space="preserve">ERIKA BENITES TRIBIÑOS </t>
  </si>
  <si>
    <t xml:space="preserve">EB01-7155 </t>
  </si>
  <si>
    <t xml:space="preserve">LISBETH LUCIA MALLMA CONDORI </t>
  </si>
  <si>
    <t xml:space="preserve">EB01-7156 </t>
  </si>
  <si>
    <t xml:space="preserve">SANDRA LIZ MUJICA PALOMINO </t>
  </si>
  <si>
    <t xml:space="preserve">EB01-7157 </t>
  </si>
  <si>
    <t xml:space="preserve">EB01-7158 </t>
  </si>
  <si>
    <t xml:space="preserve">JESSICA PATRICIA SALDAÑA DONAYRE </t>
  </si>
  <si>
    <t xml:space="preserve">EB01-7159 </t>
  </si>
  <si>
    <t xml:space="preserve">MERY RUTH CARRASCO PICHIHUA </t>
  </si>
  <si>
    <t xml:space="preserve">EB01-7160 </t>
  </si>
  <si>
    <t xml:space="preserve">DAVID VICENTE CCENCHO CARRASCO </t>
  </si>
  <si>
    <t xml:space="preserve">EB01-7161 </t>
  </si>
  <si>
    <t xml:space="preserve">YESENIA BEATRIZ DAVILA HILARES </t>
  </si>
  <si>
    <t xml:space="preserve">EB01-7162 </t>
  </si>
  <si>
    <t xml:space="preserve">HERNANDEZ HERNANDEZ LILIBETH MARIA </t>
  </si>
  <si>
    <t xml:space="preserve">EB01-7163 </t>
  </si>
  <si>
    <t>REBAZA CASILDA</t>
  </si>
  <si>
    <t>RII 3325</t>
  </si>
  <si>
    <t xml:space="preserve">MULTA POR CAPACITACION </t>
  </si>
  <si>
    <t>AZURZA DAYSI</t>
  </si>
  <si>
    <t>RII 3326</t>
  </si>
  <si>
    <t>RII 3327</t>
  </si>
  <si>
    <t>BENITES ERIKA</t>
  </si>
  <si>
    <t>RII 3328</t>
  </si>
  <si>
    <t>MUJICA SANDRA</t>
  </si>
  <si>
    <t>RII 3329</t>
  </si>
  <si>
    <t>SALDAÑA JESSICA</t>
  </si>
  <si>
    <t>RII 3330</t>
  </si>
  <si>
    <t>CARRASCO MERY</t>
  </si>
  <si>
    <t>RII 3331</t>
  </si>
  <si>
    <t>CCENCHO DAVID</t>
  </si>
  <si>
    <t>RII 3332</t>
  </si>
  <si>
    <t>DAVILA YESENIA</t>
  </si>
  <si>
    <t>RII 3333</t>
  </si>
  <si>
    <t>HERNANDEZ LILIBETH</t>
  </si>
  <si>
    <t>RII 3334</t>
  </si>
  <si>
    <t>ARREDONDO GLADYS</t>
  </si>
  <si>
    <t>RII 3335</t>
  </si>
  <si>
    <t xml:space="preserve">ASHLEY MARYORI PEÑA VILLANUEVA </t>
  </si>
  <si>
    <t xml:space="preserve">EB01-7164 </t>
  </si>
  <si>
    <t>RII 3336</t>
  </si>
  <si>
    <t xml:space="preserve">ELMER BURGA CARRASCO </t>
  </si>
  <si>
    <t xml:space="preserve">EB01-7165 </t>
  </si>
  <si>
    <t xml:space="preserve">EB01-7166 </t>
  </si>
  <si>
    <t xml:space="preserve">EB01-7167 </t>
  </si>
  <si>
    <t>RII 3337</t>
  </si>
  <si>
    <t>CERDAN MARIA</t>
  </si>
  <si>
    <t>RII 3338</t>
  </si>
  <si>
    <t>RC 8602</t>
  </si>
  <si>
    <t>DIETA MES DE MARZO 2026  AL CARGO DE VOCAL TITULAR DEL CONS. DE ADM.</t>
  </si>
  <si>
    <t>CLEMENCIA ANAMPA CORAHUA</t>
  </si>
  <si>
    <t xml:space="preserve">LIDIA AGRIPINA CONDORI MAMANI </t>
  </si>
  <si>
    <t xml:space="preserve">EB01-7168 </t>
  </si>
  <si>
    <t>AYALA ELISEO</t>
  </si>
  <si>
    <t>AYALA NORMA</t>
  </si>
  <si>
    <t>HUASHUAYO EUDOSIA</t>
  </si>
  <si>
    <t>RI 32930</t>
  </si>
  <si>
    <t>RI 32931</t>
  </si>
  <si>
    <t>RI 32932</t>
  </si>
  <si>
    <t>PODER JUDICIAL</t>
  </si>
  <si>
    <t xml:space="preserve">EB01-7170 </t>
  </si>
  <si>
    <t>DISTRIBUIDORA ROXAL S.A.C</t>
  </si>
  <si>
    <t>F002-00004515</t>
  </si>
  <si>
    <t>MATERIAL DE LIMPIEZA PARA LA LIMPIEZA DE LOS SSHH Y LA COOPERATIVA.</t>
  </si>
  <si>
    <t>EGRESOS DEL DIA 09-04-2026</t>
  </si>
  <si>
    <t>INGRESOS DEL DIA 09-04-2026</t>
  </si>
  <si>
    <t xml:space="preserve">CARLOS ARTURO CERVANTES GARCIA </t>
  </si>
  <si>
    <t xml:space="preserve">EB01-7171 </t>
  </si>
  <si>
    <t>RII 3339</t>
  </si>
  <si>
    <t>MULTA POR CAPACITACION</t>
  </si>
  <si>
    <t xml:space="preserve">VASQUEZ TAFUR SONIA ALBERTINA  </t>
  </si>
  <si>
    <t xml:space="preserve">E001-360 </t>
  </si>
  <si>
    <t>RC 8603</t>
  </si>
  <si>
    <t>LIMPIEZA DEL MERCADO DEL DIA 07-04-2026 Y 08-04-2026</t>
  </si>
  <si>
    <t xml:space="preserve">ADMINISTRADORA DE SERVICIOS FUNERARIOS SAC  </t>
  </si>
  <si>
    <t xml:space="preserve">E001-361 </t>
  </si>
  <si>
    <t xml:space="preserve">COLINA SIRLEY </t>
  </si>
  <si>
    <t>RII 3341</t>
  </si>
  <si>
    <t>MAYHUASCA DORIS</t>
  </si>
  <si>
    <t>RII 3340</t>
  </si>
  <si>
    <t xml:space="preserve">MARIBEL GOMEZ MITMA </t>
  </si>
  <si>
    <t xml:space="preserve">EB01-7173 </t>
  </si>
  <si>
    <t xml:space="preserve">DORIS MAYHUASCA BASTIDAS </t>
  </si>
  <si>
    <t>EB01-7172</t>
  </si>
  <si>
    <t>CUEVAS ENRIQUE</t>
  </si>
  <si>
    <t>RI 32933</t>
  </si>
  <si>
    <t>LUJAN JUAN</t>
  </si>
  <si>
    <t>RI 32934</t>
  </si>
  <si>
    <t>CALLE ALVAREZ MARCO</t>
  </si>
  <si>
    <t>RI 32935</t>
  </si>
  <si>
    <t>CADENA DE COMERCIO PERU S.A.C.</t>
  </si>
  <si>
    <t>F349-00001070</t>
  </si>
  <si>
    <t>1 SPORADE DE 1.5 LT PARA LA SESION DEL CONSEJO DE ADM</t>
  </si>
  <si>
    <t>FERRETERIA Y MATIZADOS EL REY E.I.R.L.</t>
  </si>
  <si>
    <t>E001 1211</t>
  </si>
  <si>
    <t>2 FOCO BOTELLA LED Y 1 TUBO DE ABASTO (SSHH PRIMER PISO) PARA LA COOPERATIVA.</t>
  </si>
  <si>
    <t>AFP PRIMA</t>
  </si>
  <si>
    <t>AFP INTEGRA</t>
  </si>
  <si>
    <t>AFP PROFUTURO</t>
  </si>
  <si>
    <t>PAGO DE AFP PRIMA</t>
  </si>
  <si>
    <t>PAGO DE AFP INTEGRA</t>
  </si>
  <si>
    <t>PAGO DE AFP PROFUTURO</t>
  </si>
  <si>
    <t xml:space="preserve">EB01-7174 </t>
  </si>
  <si>
    <t>SIHU FELIX FATIMA</t>
  </si>
  <si>
    <t>RC 8604</t>
  </si>
  <si>
    <t>COMPRA DE 12 CACHANGAS PARA EL LONCHE DEL CONSEJO DE ADM</t>
  </si>
  <si>
    <t>INGRESOS DEL DIA 10-04-2026</t>
  </si>
  <si>
    <t>EGRESOS DEL DIA 10-04-2026</t>
  </si>
  <si>
    <t>07927 - Apelacion de autos CASO BCP</t>
  </si>
  <si>
    <t>09970 - Derecho de notificación judicial CASO BCP</t>
  </si>
  <si>
    <t xml:space="preserve">LUJAN JUAN </t>
  </si>
  <si>
    <t>RI 32936</t>
  </si>
  <si>
    <t xml:space="preserve">EB01-7176 </t>
  </si>
  <si>
    <t xml:space="preserve">ECO PLAZA MERCADO XI S.A.C.  </t>
  </si>
  <si>
    <t xml:space="preserve">E001-362 </t>
  </si>
  <si>
    <t>2 PARES DE PILA AAA PARA EL TECLADO DE LA SECRETARIA DE LA OFICINA DE ADM</t>
  </si>
  <si>
    <t>RC 8605</t>
  </si>
  <si>
    <t>PAREDES OSCAR</t>
  </si>
  <si>
    <t>PASAJE PARA IR A DEPOSITAR AL BANCO BBVA</t>
  </si>
  <si>
    <t xml:space="preserve">ORFELITA HERRERA CAMPOS </t>
  </si>
  <si>
    <t xml:space="preserve">EB01-7177 </t>
  </si>
  <si>
    <t xml:space="preserve">EB01-7178 </t>
  </si>
  <si>
    <t>ANULADO</t>
  </si>
  <si>
    <t>RI 32937</t>
  </si>
  <si>
    <t>FALCON HECTOR</t>
  </si>
  <si>
    <t>RI 32938</t>
  </si>
  <si>
    <t>TALONARIO SANTA ROSA</t>
  </si>
  <si>
    <t>RI 32939</t>
  </si>
  <si>
    <t>SOSA JUANA</t>
  </si>
  <si>
    <t>RI 32940</t>
  </si>
  <si>
    <t>RI 32941</t>
  </si>
  <si>
    <t>JAVIER ALFREDO VASQUEZ GARCIA</t>
  </si>
  <si>
    <t>ADELANTO DE SUELDO MES DE ABRIL 2026</t>
  </si>
  <si>
    <t>TK 50821</t>
  </si>
  <si>
    <t xml:space="preserve">MARCO ANTONIO SOTOMAYOR CARBAJAL </t>
  </si>
  <si>
    <t xml:space="preserve">EB01-7180 </t>
  </si>
  <si>
    <t xml:space="preserve">EB01-7181 </t>
  </si>
  <si>
    <t>EGRESOS DEL DIA 11-04-2026</t>
  </si>
  <si>
    <t>INGRESOS DEL DIA 11-04-2026</t>
  </si>
  <si>
    <t xml:space="preserve">E001-363 </t>
  </si>
  <si>
    <r>
      <t>ROSA ARMANDINA RENTERIA HUANCAS</t>
    </r>
    <r>
      <rPr>
        <sz val="9"/>
        <color rgb="FF000000"/>
        <rFont val="Verdana"/>
        <family val="2"/>
      </rPr>
      <t> </t>
    </r>
  </si>
  <si>
    <t xml:space="preserve">EB01-7182 </t>
  </si>
  <si>
    <t>RII 3342</t>
  </si>
  <si>
    <t xml:space="preserve">GARANTIA DE ALQ. </t>
  </si>
  <si>
    <t>CORNEJO PILAR</t>
  </si>
  <si>
    <t>TK 50822</t>
  </si>
  <si>
    <t>RC 8606</t>
  </si>
  <si>
    <t>DIETA MES DE MARZO 2026 AL CARGO DE PRESIDENTA DEL CONSEJO DE VIGILANCIA</t>
  </si>
  <si>
    <t>INGRESOS DEL DIA 12-04-2026</t>
  </si>
  <si>
    <t>EGRESOS DEL DIA 12-04-2026</t>
  </si>
  <si>
    <t>EGRESOS DEL DIA 13-04-2026</t>
  </si>
  <si>
    <t>INGRESOS DEL DIA 13-04-2026</t>
  </si>
  <si>
    <t>NICHO ESTHEPANY</t>
  </si>
  <si>
    <t>1 CABLE PODER PARA LA IMPRESORA DE LA OFICINA DE LA COOPERATIVA</t>
  </si>
  <si>
    <t xml:space="preserve">EB01-7183 </t>
  </si>
  <si>
    <t>SRTA. TATIANA VILLANUEVA</t>
  </si>
  <si>
    <t>RII 3343</t>
  </si>
  <si>
    <t>TK 50823</t>
  </si>
  <si>
    <t>GARCIA AQUINO SANTOS</t>
  </si>
  <si>
    <t xml:space="preserve"> E001-479</t>
  </si>
  <si>
    <t>PORRAS OLIMPIA</t>
  </si>
  <si>
    <t>RI 32942</t>
  </si>
  <si>
    <t>TK 50824</t>
  </si>
  <si>
    <t>HURTADO PAZ WILDER</t>
  </si>
  <si>
    <t>VACACIONES TRUNCAS</t>
  </si>
  <si>
    <t>YACTAYO DE LA CRUZ RAQUEL ESMERALDA</t>
  </si>
  <si>
    <t xml:space="preserve">E001-172 </t>
  </si>
  <si>
    <t>SERVICIO DE MANTENIMIENTO DE BROTHER - TONER AZUL Y NEGRO - SERVICIO DE
KONICA MINOLTA 2 TONER (IMPRESORAS DE LA OFICINA DE LA COOPERATIVA)</t>
  </si>
  <si>
    <t>MATERIALES PARA EL ARREGLO DE LOS SSHH DE DAMAS PRIMER PISO Y VARONES SEGUNDO PISO.</t>
  </si>
  <si>
    <t>INGRESOS DEL DIA 14-04-2026</t>
  </si>
  <si>
    <t>EGRESOS DEL DIA 14-04-2026</t>
  </si>
  <si>
    <t xml:space="preserve">E001-364 </t>
  </si>
  <si>
    <t>TK 50825</t>
  </si>
  <si>
    <t xml:space="preserve">HUAMAN VISITACION </t>
  </si>
  <si>
    <t>RI 32943</t>
  </si>
  <si>
    <t>ACCO VICTOR</t>
  </si>
  <si>
    <t>RII 3344</t>
  </si>
  <si>
    <t xml:space="preserve">BUSTAMANTE JOSE </t>
  </si>
  <si>
    <t>RC 8607</t>
  </si>
  <si>
    <t>PASAJE PARA IR A LA MUNICIPALIDAD, LLEVAR DOCUMENTACION</t>
  </si>
  <si>
    <t xml:space="preserve">EB01-7188 </t>
  </si>
  <si>
    <t>INGRESOS DEL DIA 15-04-2026</t>
  </si>
  <si>
    <t>EGRESOS DEL DIA 15-04-2026</t>
  </si>
  <si>
    <t xml:space="preserve">ANGIE MARGARITA LEON RODRIGUEZ </t>
  </si>
  <si>
    <t xml:space="preserve">EB01-7190 </t>
  </si>
  <si>
    <t xml:space="preserve">E001-365 </t>
  </si>
  <si>
    <t>RII 3345</t>
  </si>
  <si>
    <t>RII 3346</t>
  </si>
  <si>
    <t>RII 3347</t>
  </si>
  <si>
    <t xml:space="preserve">MARTHA ESPERANZA ALARCON ESPINOZA </t>
  </si>
  <si>
    <t xml:space="preserve">EB01-7191 </t>
  </si>
  <si>
    <t>RII 3348</t>
  </si>
  <si>
    <t>TK 50826</t>
  </si>
  <si>
    <t xml:space="preserve">ROSA PALOMINO CUSI </t>
  </si>
  <si>
    <t xml:space="preserve">MIRIAN MILAGROS PRADO CATAÑO </t>
  </si>
  <si>
    <t xml:space="preserve">EB01-7193 </t>
  </si>
  <si>
    <t xml:space="preserve">EB01-7192 </t>
  </si>
  <si>
    <t xml:space="preserve">ABEL ANCHAYA HUAMAN </t>
  </si>
  <si>
    <t>EB01-7194</t>
  </si>
  <si>
    <t xml:space="preserve">SIMONA CHAMBI APAZA </t>
  </si>
  <si>
    <t>EB01-7195</t>
  </si>
  <si>
    <t>RII 3349</t>
  </si>
  <si>
    <t>PRADO MILAGROS</t>
  </si>
  <si>
    <t>RII 3350</t>
  </si>
  <si>
    <t>CHAMBI SIMONA</t>
  </si>
  <si>
    <t>RII 3351</t>
  </si>
  <si>
    <t xml:space="preserve">JOSE ULISES BUSTAMANTE DE LA CRUZ </t>
  </si>
  <si>
    <t xml:space="preserve">EB01-7196 </t>
  </si>
  <si>
    <t xml:space="preserve">HECTOR AIRE MALPARTIDA </t>
  </si>
  <si>
    <t xml:space="preserve">EB01-7197 </t>
  </si>
  <si>
    <t>RII 3352</t>
  </si>
  <si>
    <t>SALAZAR MARIA</t>
  </si>
  <si>
    <t>RII 3353</t>
  </si>
  <si>
    <t xml:space="preserve">EB01-7198 </t>
  </si>
  <si>
    <t>EB01-7199</t>
  </si>
  <si>
    <t xml:space="preserve">	JANETT CONSUELO CASTRO RODRIGUEZ </t>
  </si>
  <si>
    <t xml:space="preserve">EB01-7200 </t>
  </si>
  <si>
    <t>EB01-7201</t>
  </si>
  <si>
    <t>RII 3354</t>
  </si>
  <si>
    <t xml:space="preserve">ALEX ENRIQUE CAHUANA PUCURIMAY </t>
  </si>
  <si>
    <t xml:space="preserve">EB01-7202 </t>
  </si>
  <si>
    <t>RII 3355</t>
  </si>
  <si>
    <t xml:space="preserve">EB01-7203 </t>
  </si>
  <si>
    <t xml:space="preserve">EB01-7204 </t>
  </si>
  <si>
    <t>RII 3356</t>
  </si>
  <si>
    <t>MATIAS CAHUANA ACUÑA</t>
  </si>
  <si>
    <t>CARLOS ORMEÑO HERNANDEZ</t>
  </si>
  <si>
    <t>SANTOS PALOMINO CAMPOS</t>
  </si>
  <si>
    <t>NICANOR POMACANCHARI</t>
  </si>
  <si>
    <t>TUEROS PRUDENCIO</t>
  </si>
  <si>
    <t>MARIA CUYA ARANGO</t>
  </si>
  <si>
    <t>DENIS PANQUIEZ</t>
  </si>
  <si>
    <t>LUIS ANGEL CACCIRE PALOMINO</t>
  </si>
  <si>
    <t>AIRE HECTOR</t>
  </si>
  <si>
    <t>RC 8608</t>
  </si>
  <si>
    <t>PREVISION SOCIAL POR OPERACIÓN A LA SOCIA MAYHUASCA MARILU</t>
  </si>
  <si>
    <t>QUISPE MARISOL</t>
  </si>
  <si>
    <t>EB01-7189</t>
  </si>
  <si>
    <t>RC 8609</t>
  </si>
  <si>
    <t>VASQUEZ JAVIER</t>
  </si>
  <si>
    <t>MANTENIMIENTO DE LA OFICINA DE ADM</t>
  </si>
  <si>
    <t xml:space="preserve">EB01-7206 </t>
  </si>
  <si>
    <t>INGRESOS DEL DIA 16-04-2026</t>
  </si>
  <si>
    <t>EGRESOS DEL DIA 16-04-2026</t>
  </si>
  <si>
    <t xml:space="preserve">EB01-7207 </t>
  </si>
  <si>
    <t>TK 50827</t>
  </si>
  <si>
    <t xml:space="preserve">LUIS ABRAHAM SUAREZ REBAZA </t>
  </si>
  <si>
    <t xml:space="preserve">EB01-7208 </t>
  </si>
  <si>
    <t xml:space="preserve">SIRLEY KARINA COLINA CORREA </t>
  </si>
  <si>
    <t xml:space="preserve">EB01-7209 </t>
  </si>
  <si>
    <t xml:space="preserve">ENTREMENTES SAC  </t>
  </si>
  <si>
    <t xml:space="preserve">E001-366 </t>
  </si>
  <si>
    <t>OXXO</t>
  </si>
  <si>
    <t>F349-00001091</t>
  </si>
  <si>
    <t>1 INKA COLA DE 3LT PARA LA SESION DEL CONSEJO DE ADM</t>
  </si>
  <si>
    <t>MARIN MARIA LUZ</t>
  </si>
  <si>
    <t>RI 32944</t>
  </si>
  <si>
    <t>MPU CONTRATISTAS GENERALES S.A.C.</t>
  </si>
  <si>
    <t xml:space="preserve">DETRACCION DE LA FACTURA E001-331 </t>
  </si>
  <si>
    <t>SALAZAR VICTORIA</t>
  </si>
  <si>
    <t>RI 32945</t>
  </si>
  <si>
    <t>ROJAS ERICK</t>
  </si>
  <si>
    <t>RI 32946</t>
  </si>
  <si>
    <t xml:space="preserve">FLORENCIA ASUNTA ALVAREZ BERRIO </t>
  </si>
  <si>
    <t xml:space="preserve">EB01-7210 </t>
  </si>
  <si>
    <t xml:space="preserve">EB01-7211 </t>
  </si>
  <si>
    <t>CASTILLO ZAPATA ASAEL</t>
  </si>
  <si>
    <t>EB01 - 31</t>
  </si>
  <si>
    <t>PAD MOUSE PARA EL ESCRITORIO DE LA CONTADORA</t>
  </si>
  <si>
    <t>SALDAÑA PATRICIA</t>
  </si>
  <si>
    <t>1 COCA DE 3LT PARA LA SESION DEL CONSEJO DE ADM</t>
  </si>
  <si>
    <t xml:space="preserve">EB01-7213 </t>
  </si>
  <si>
    <t>LEON RODRIUEZ ANGIE</t>
  </si>
  <si>
    <t>RII 3357</t>
  </si>
  <si>
    <t>INGRESOS DEL DIA 17-04-2026</t>
  </si>
  <si>
    <t>EGRESOS DEL DIA 17-04-2026</t>
  </si>
  <si>
    <t xml:space="preserve">EB01-7214 </t>
  </si>
  <si>
    <t>ALQUILER LOCAL 2DO PISO</t>
  </si>
  <si>
    <t xml:space="preserve">MARIANNE OLGA CELIA SANTIAGO JIMENEZ </t>
  </si>
  <si>
    <t xml:space="preserve">EB01-7215 </t>
  </si>
  <si>
    <t xml:space="preserve">BACILIO ANTONIO CAYO HUAMANI </t>
  </si>
  <si>
    <t xml:space="preserve">EB01-7216 </t>
  </si>
  <si>
    <t xml:space="preserve">E001-367 </t>
  </si>
  <si>
    <t>ORTIZ WELINTONH</t>
  </si>
  <si>
    <t>RI 32947</t>
  </si>
  <si>
    <t>MULTA</t>
  </si>
  <si>
    <t>YRUPAILLA ISIDRO</t>
  </si>
  <si>
    <t>RI 32948</t>
  </si>
  <si>
    <t>SRTA. TATIHANA VILLANUEVA</t>
  </si>
  <si>
    <t xml:space="preserve">EB01-7218 </t>
  </si>
  <si>
    <t>INGRESOS DEL DIA 18-04-2026</t>
  </si>
  <si>
    <t>EGRESOS DEL DIA 18-04-2026</t>
  </si>
  <si>
    <t>VASQUEZ TAFUR SONIA
ALBERTINA</t>
  </si>
  <si>
    <t xml:space="preserve">E001-368 </t>
  </si>
  <si>
    <t>EGRESOS DEL DIA 19-04-2026</t>
  </si>
  <si>
    <t>INGRESOS DEL DIA 19-04-2026</t>
  </si>
  <si>
    <t>INGRESOS DEL DIA 20-04-2026</t>
  </si>
  <si>
    <t>EGRESOS DEL DIA 20-04-2026</t>
  </si>
  <si>
    <t>TK 50828</t>
  </si>
  <si>
    <t>TK 50829</t>
  </si>
  <si>
    <t xml:space="preserve">EB01-7219 </t>
  </si>
  <si>
    <t xml:space="preserve">VISIONA TRADE S.A.C.  </t>
  </si>
  <si>
    <t xml:space="preserve">E001-369 </t>
  </si>
  <si>
    <t xml:space="preserve">TERESA PEÑA VDA DE VILLANUEVA </t>
  </si>
  <si>
    <t xml:space="preserve">EB01-7222 </t>
  </si>
  <si>
    <t xml:space="preserve">KARINA LUZ LUCIANO INGA </t>
  </si>
  <si>
    <t xml:space="preserve">EB01-7223 </t>
  </si>
  <si>
    <t>RII 33580</t>
  </si>
  <si>
    <t>TK 50830</t>
  </si>
  <si>
    <t>FLORES FLORES IRENE</t>
  </si>
  <si>
    <t>RI 32949</t>
  </si>
  <si>
    <t>COTRINA MANRIQUE TITO</t>
  </si>
  <si>
    <t>E001-192</t>
  </si>
  <si>
    <t>RETIRO DE PUERTA ENROLLABLE - DESINSTALACION DEL SISTEMA ELECTRICO DEL PUESTO 32-E.</t>
  </si>
  <si>
    <t>RAMIREZ ROSA</t>
  </si>
  <si>
    <t>RC 8610</t>
  </si>
  <si>
    <t xml:space="preserve">REEMPLAZO DE LA SRA. DE LOS SSHH DEL PRIMER PISO DE LOS DIAS 05-04 ; 11-04 ; 12-04 Y 19-04. </t>
  </si>
  <si>
    <t>RC 8611</t>
  </si>
  <si>
    <t>BOTAR DESMONTE DEL PUESTO 32-E.</t>
  </si>
  <si>
    <t xml:space="preserve">SERVICIOS GENERALES TOMANGUILLA-KUELAP </t>
  </si>
  <si>
    <t xml:space="preserve">A CUENTA POR RECARGA DE 8 EXTINTORES DE 12 KG </t>
  </si>
  <si>
    <t xml:space="preserve">MARIELA CUNIAS SANTOS  </t>
  </si>
  <si>
    <t xml:space="preserve">EB01-7224 </t>
  </si>
  <si>
    <t>HERRERA ORFELITA</t>
  </si>
  <si>
    <t>RC 8612</t>
  </si>
  <si>
    <t>ARREGLO DE COSTURA DE LA CHOMPA DEL VIGILANTE SR TUEROS QUISPE</t>
  </si>
  <si>
    <t xml:space="preserve">EB01-7225 </t>
  </si>
  <si>
    <t>INGRESOS DEL DIA 21-04-2026</t>
  </si>
  <si>
    <t>EGRESOS DEL DIA 21-04-2026</t>
  </si>
  <si>
    <t>N° E001-64</t>
  </si>
  <si>
    <t>LUISAO CARLOS TOMANGUILLA CACHAY</t>
  </si>
  <si>
    <t xml:space="preserve">CANCELACION POR RECARGA DE 8 EXTINTORES DE 12 KG Y CAMBIO DE 2 RELOJ </t>
  </si>
  <si>
    <t xml:space="preserve">LILIA RUFINA ZANABRIA LADERA DE COCHACHI </t>
  </si>
  <si>
    <t xml:space="preserve">EB01-7227 </t>
  </si>
  <si>
    <t>RII 3359</t>
  </si>
  <si>
    <t>VILCHEZ LOURDES</t>
  </si>
  <si>
    <t>RI 32950</t>
  </si>
  <si>
    <t>TK 50831</t>
  </si>
  <si>
    <t>DIETA MES DE MARZO 2026 AL CARGO DE VOCAL SUPLENTE DEL CONSEJO DE ADM</t>
  </si>
  <si>
    <t>RC 8613</t>
  </si>
  <si>
    <t>E001-1215</t>
  </si>
  <si>
    <t>E001-1216</t>
  </si>
  <si>
    <t>MATERIALES PARA EL ARREGLO DEL PUESTO 32-E</t>
  </si>
  <si>
    <t xml:space="preserve">EB01-7228 </t>
  </si>
  <si>
    <t>INGRESOS DEL DIA 22-04-2026</t>
  </si>
  <si>
    <t>EGRESOS DEL DIA 22-04-2026</t>
  </si>
  <si>
    <t>EB01-7231 </t>
  </si>
  <si>
    <t xml:space="preserve">EB01-7230 </t>
  </si>
  <si>
    <t>MAXIMO FLAVIO HUAMANÍ CONTRERAS </t>
  </si>
  <si>
    <t xml:space="preserve">EB01-7233 </t>
  </si>
  <si>
    <t xml:space="preserve">EB01-7232 </t>
  </si>
  <si>
    <t xml:space="preserve">E001-370 </t>
  </si>
  <si>
    <t>TK 50832</t>
  </si>
  <si>
    <t>EB01-7234</t>
  </si>
  <si>
    <t>EB01-7235</t>
  </si>
  <si>
    <t>EB01-7236</t>
  </si>
  <si>
    <t>EB01-7237</t>
  </si>
  <si>
    <t>EB01-7238</t>
  </si>
  <si>
    <t xml:space="preserve">EB01-7239 </t>
  </si>
  <si>
    <t>EB01-7240</t>
  </si>
  <si>
    <t xml:space="preserve">EB01-7241 </t>
  </si>
  <si>
    <t xml:space="preserve">EB01-7242 </t>
  </si>
  <si>
    <t xml:space="preserve">GLADIS ARREDONDO GARCIA </t>
  </si>
  <si>
    <t>EB01-7243</t>
  </si>
  <si>
    <t xml:space="preserve">EB01-7244 </t>
  </si>
  <si>
    <t>EB01-7245</t>
  </si>
  <si>
    <t>EB01-7246</t>
  </si>
  <si>
    <t xml:space="preserve">EB01-7247 </t>
  </si>
  <si>
    <t>EB01-7248</t>
  </si>
  <si>
    <t>ZANABRIA LILIA</t>
  </si>
  <si>
    <t>RII 3361</t>
  </si>
  <si>
    <t>QUISPE PATRICIA</t>
  </si>
  <si>
    <t>RII 3362</t>
  </si>
  <si>
    <t>CHOQUEHUANCA DERSE</t>
  </si>
  <si>
    <t>RII 3363</t>
  </si>
  <si>
    <t>CONDORI LIDIA</t>
  </si>
  <si>
    <t>RII 3364</t>
  </si>
  <si>
    <t>LEONARDO FEDERICO</t>
  </si>
  <si>
    <t>RII 3365</t>
  </si>
  <si>
    <t>RII 3366</t>
  </si>
  <si>
    <t>LEONARDO ROSANA</t>
  </si>
  <si>
    <t>RII 3367</t>
  </si>
  <si>
    <t>ARMESTA JUANA</t>
  </si>
  <si>
    <t>RII 3368</t>
  </si>
  <si>
    <t>RII 3369</t>
  </si>
  <si>
    <t>ALMUERZO PARA LA GERENTA POR ASISTIR A LA COMISION DE VERIFICACION DE PUESTOS</t>
  </si>
  <si>
    <t>RC 8614</t>
  </si>
  <si>
    <t>ALMUERZO  POR ASISTIR A LA COMISION DE VERIFICACION DE PUESTOS</t>
  </si>
  <si>
    <t>RC 8615</t>
  </si>
  <si>
    <t>RC 8616</t>
  </si>
  <si>
    <t>RC 8617</t>
  </si>
  <si>
    <t>RC 8618</t>
  </si>
  <si>
    <t>DIETA MES DE ENERO 2026, FEBRERO 2026 Y MARZO 2026 AL CARGO DE VOCAL DEL CONSEJO DE VIGILANCIA</t>
  </si>
  <si>
    <t>HALIRE YUCRA JOSUE</t>
  </si>
  <si>
    <t>RC 8619</t>
  </si>
  <si>
    <t>DIETA MES DE MARZO 2026 AL CARGO DE VICEPRESIDENTE DEL CONSEJO DE ADM</t>
  </si>
  <si>
    <t>RC 8620</t>
  </si>
  <si>
    <t>ARREGLO DEL CIERRE DEL CANGURO DE LA SRA MARIA CUYA DE LOS SSHH DEL PRIMER PISO</t>
  </si>
  <si>
    <t>CUYA ALBERTO</t>
  </si>
  <si>
    <t>RI 32951</t>
  </si>
  <si>
    <t>BURGA ELIDA</t>
  </si>
  <si>
    <t>RI 32952</t>
  </si>
  <si>
    <t>QUISPE COPAYO ELIO</t>
  </si>
  <si>
    <t>RI 32953</t>
  </si>
  <si>
    <t>RI 32954</t>
  </si>
  <si>
    <t>REYES MILENA</t>
  </si>
  <si>
    <t>E001-83</t>
  </si>
  <si>
    <t>IMAN SOLUCIONES GRAFICAS EIRL</t>
  </si>
  <si>
    <t>CANCELACION DE LA ELABORACION DE LOS TALONARIOS DEL DIA DE LA MADRE</t>
  </si>
  <si>
    <t>ADELANTO DE PAGO PARA LA ELABORACION DE LOS TALONARIOS DEL DIA DE LA MADRE</t>
  </si>
  <si>
    <t xml:space="preserve">EB01-7249 </t>
  </si>
  <si>
    <t>EB01-7250</t>
  </si>
  <si>
    <t>RII 3370</t>
  </si>
  <si>
    <t>RII 3371</t>
  </si>
  <si>
    <t>RII 3360</t>
  </si>
  <si>
    <t>FERREYRA TANIA</t>
  </si>
  <si>
    <t>E001-371</t>
  </si>
  <si>
    <t xml:space="preserve">EB01-7252 </t>
  </si>
  <si>
    <t>INGRESOS DEL DIA 23-04-2026</t>
  </si>
  <si>
    <t>EGRESOS DEL DIA 23-04-2026</t>
  </si>
  <si>
    <t xml:space="preserve">GLADYS ENCARNACION PAUCARPOMA </t>
  </si>
  <si>
    <t xml:space="preserve">EB01-7253 </t>
  </si>
  <si>
    <t>RII 3372</t>
  </si>
  <si>
    <t>F001-0003712</t>
  </si>
  <si>
    <t>MATERIAL PARA EL ARRELO DEL PUESTO 32-E</t>
  </si>
  <si>
    <t>09970 - Derecho de notificación judicial - CASO DIEGO</t>
  </si>
  <si>
    <t>SUNARP</t>
  </si>
  <si>
    <t xml:space="preserve">MAPFRE PERU COMPAÑIA DE SEGUROS Y REASEGUROS  </t>
  </si>
  <si>
    <t xml:space="preserve">E001-372 </t>
  </si>
  <si>
    <t>TORRES FRANCISCO</t>
  </si>
  <si>
    <t>RI 32955</t>
  </si>
  <si>
    <t xml:space="preserve">E001-123 </t>
  </si>
  <si>
    <t>EMPANADAS PARA LA SESION DEL CONSEJO DE ADM. DEL DIA 16-04-2026</t>
  </si>
  <si>
    <t>LAS DELICIAS</t>
  </si>
  <si>
    <t>F010-0015691</t>
  </si>
  <si>
    <t>1 TORTA POR EL CUMPLEAÑOS DE LA SRA MARIA SOTO</t>
  </si>
  <si>
    <t xml:space="preserve">PASAJE PARA LA COMPRA DE LA SRA MARIA SOTO POR SU CUMPLEAÑOS </t>
  </si>
  <si>
    <t>VILLANUEVA TATIHANA</t>
  </si>
  <si>
    <t>RC 8621</t>
  </si>
  <si>
    <t>SALAS JUDITH</t>
  </si>
  <si>
    <t>RI 32956</t>
  </si>
  <si>
    <t>TK 50833</t>
  </si>
  <si>
    <t>POMACANCHARI FELICES NICANOR</t>
  </si>
  <si>
    <t>E001- 86</t>
  </si>
  <si>
    <t>ELABORACION DEL PISO DEL PUESTO 32-E Y PINTADO DE LA PUERTA ENROLLABLE</t>
  </si>
  <si>
    <t xml:space="preserve">QUISPE VIDAL </t>
  </si>
  <si>
    <t>RI 32957</t>
  </si>
  <si>
    <t>ESTELA ELVIA</t>
  </si>
  <si>
    <t>RI 32958</t>
  </si>
  <si>
    <t xml:space="preserve">SERGIO A. DEL CASTILLO </t>
  </si>
  <si>
    <t>F001-025747</t>
  </si>
  <si>
    <t>RI 32959</t>
  </si>
  <si>
    <t xml:space="preserve">EB01-7255 </t>
  </si>
  <si>
    <t>F349-00001113</t>
  </si>
  <si>
    <t>1 AGUA CIELO DE 2.5 LT Y 1 INKA KOLA DE 3LT PARA LA SESION DEL CONSEJO DE ADM.</t>
  </si>
  <si>
    <t>1 VELA PARA LA TORTA DE LA SRA MARIA SOTO</t>
  </si>
  <si>
    <t>INGRESOS DEL DIA 24-04-2026</t>
  </si>
  <si>
    <t>EGRESOS DEL DIA 24-04-2026</t>
  </si>
  <si>
    <t xml:space="preserve">EB01-7256 </t>
  </si>
  <si>
    <t>LEGALIZACION DE FIRMA PARA REGISTROS PUBLICOS</t>
  </si>
  <si>
    <t>COPIA LITERAL DE PARTIDA PARA REGISTROS PUBLICOS</t>
  </si>
  <si>
    <t xml:space="preserve">ZENAIDE BELLIDO DE LA TORRE </t>
  </si>
  <si>
    <t>1 JALON DE JABON LIQUIDO PARA LOS SSHH DEL PRIMER PISO</t>
  </si>
  <si>
    <t>TK  50834</t>
  </si>
  <si>
    <t>CRUZ LUIS</t>
  </si>
  <si>
    <t>RI 32960</t>
  </si>
  <si>
    <t>PROMART</t>
  </si>
  <si>
    <t>FA01-02390172</t>
  </si>
  <si>
    <t>BLOCKS DE VIDRIOS + PEGAMENTO PARA EL ARREGLO DEL TRAGLUZ DEL SEGUNDO PISO.</t>
  </si>
  <si>
    <t xml:space="preserve">E001-373 </t>
  </si>
  <si>
    <t xml:space="preserve">BERNAOLA FLORENCIA </t>
  </si>
  <si>
    <t>RI 32961</t>
  </si>
  <si>
    <t>PAREDE OSCAR</t>
  </si>
  <si>
    <t>PASAJE PARA IR A DEPOSITAR AL BANCO BBVA Y A COMPRAR A PROMART MATERIALES</t>
  </si>
  <si>
    <t>RC 8622</t>
  </si>
  <si>
    <t>ACCO NOA VICTOR ALONSOACCO NOA VICTOR ALONSO</t>
  </si>
  <si>
    <t xml:space="preserve">EB01-1094 </t>
  </si>
  <si>
    <t>PLATOS DE TORTA Y CUCHARITAS POR EL CUMPLEAÑOS DE LA SRA MARIA SOTO</t>
  </si>
  <si>
    <t xml:space="preserve">EB01-7258 </t>
  </si>
  <si>
    <t>EGRESOS DEL DIA 25-04-2026</t>
  </si>
  <si>
    <t>INGRESOS DEL DIA 25-04-2026</t>
  </si>
  <si>
    <t>ESPEJO ROSA</t>
  </si>
  <si>
    <t>RI 32962</t>
  </si>
  <si>
    <t>REYES NANCY</t>
  </si>
  <si>
    <t>RI 32963</t>
  </si>
  <si>
    <t xml:space="preserve">E001-374 </t>
  </si>
  <si>
    <t>RC 8623</t>
  </si>
  <si>
    <t>ALMUERZO POR EL DIA DE LA SECRETARIA</t>
  </si>
  <si>
    <t>TK 50835</t>
  </si>
  <si>
    <t>INGRESOS DEL DIA 26-04-2026</t>
  </si>
  <si>
    <t>INGRESOS DEL DIA 27-04-2026</t>
  </si>
  <si>
    <t>EGRESOS DEL DIA 27-04-2026</t>
  </si>
  <si>
    <t>DE LA CRUZ JOSE</t>
  </si>
  <si>
    <t>RI 32964</t>
  </si>
  <si>
    <t xml:space="preserve">EB01-7260 </t>
  </si>
  <si>
    <t>1/2 PLANCHA DE TECNOPOR PARA EL TRAGALUZ DEL SEGUNDO PISO</t>
  </si>
  <si>
    <t>ANCAJIMA CESAR</t>
  </si>
  <si>
    <t xml:space="preserve">EB01-7262 </t>
  </si>
  <si>
    <t>RII 3373</t>
  </si>
  <si>
    <t>TK 50836</t>
  </si>
  <si>
    <t>TK 50837</t>
  </si>
  <si>
    <t>TK 50838</t>
  </si>
  <si>
    <t>TK 50839</t>
  </si>
  <si>
    <t>CCOYLLO POLANCO DANIEL</t>
  </si>
  <si>
    <t>RI 32965</t>
  </si>
  <si>
    <t>RI 32966</t>
  </si>
  <si>
    <t>ZAPATA ROSANA</t>
  </si>
  <si>
    <t>RI 32967</t>
  </si>
  <si>
    <t xml:space="preserve">ADMINISTRADORA DE SERVICIOS FUNERARIOS SAC </t>
  </si>
  <si>
    <t xml:space="preserve">E001-375 </t>
  </si>
  <si>
    <t>SENCILLO  0.50</t>
  </si>
  <si>
    <t>ADELANTO PARA LA FABRICACIÓN E INSTALACIÓN DE PANELES METÁLICOS PARA EL PUESTO 32-E</t>
  </si>
  <si>
    <t>E001 189</t>
  </si>
  <si>
    <t>MAYHUASCA CLUDY</t>
  </si>
  <si>
    <t>RI 32968</t>
  </si>
  <si>
    <t>MAYTA VIOLETA</t>
  </si>
  <si>
    <t xml:space="preserve">FUMIGACION </t>
  </si>
  <si>
    <t>LOPEZ CERRON HAYDEE</t>
  </si>
  <si>
    <t>VARA ALICIA</t>
  </si>
  <si>
    <t>MATERIAL PARA EL ARREGLO DEL TRAGALUZ DEL SEGUNDO PISO</t>
  </si>
  <si>
    <t>RC 8624</t>
  </si>
  <si>
    <t>REEMPLAZO DE LA SRA DE LOS SSHH DEL PRIMER PISO DEL DIA 26-04-2026</t>
  </si>
  <si>
    <t>RC 8625</t>
  </si>
  <si>
    <t>ARREGLO DE LA FUGA DEL CAÑO DEL SEGUNDO PISO</t>
  </si>
  <si>
    <t>EB01-7264</t>
  </si>
  <si>
    <t>INGRESOS DEL DIA 28-04-2026</t>
  </si>
  <si>
    <t>EGRESOS DEL DIA 28-04-2026</t>
  </si>
  <si>
    <t>ALVAREZ CAMPOS VICTOR</t>
  </si>
  <si>
    <t>FUMIGACION</t>
  </si>
  <si>
    <t>RI 32970</t>
  </si>
  <si>
    <t>RI 32969</t>
  </si>
  <si>
    <t xml:space="preserve">PALOMINO EUSEBIO </t>
  </si>
  <si>
    <t>CHIRINOS MARIA</t>
  </si>
  <si>
    <t>RI 32971</t>
  </si>
  <si>
    <t>PLAZA ROSA</t>
  </si>
  <si>
    <t>RI 32972</t>
  </si>
  <si>
    <t xml:space="preserve">EB01-7265 </t>
  </si>
  <si>
    <t>TK 50840</t>
  </si>
  <si>
    <t>OQUENDO MIGUEL</t>
  </si>
  <si>
    <t>RI 32973</t>
  </si>
  <si>
    <t>QUISPE ADRIANA</t>
  </si>
  <si>
    <t>RI 32974</t>
  </si>
  <si>
    <t>RI 32975</t>
  </si>
  <si>
    <t>PITTMAN NELLY</t>
  </si>
  <si>
    <t>RI 32976</t>
  </si>
  <si>
    <t>HUAMAN YCHPAS DIOSDADO</t>
  </si>
  <si>
    <t>FFF3-000321</t>
  </si>
  <si>
    <t>14 GALONES DE JABON LIQUIDO PARA LOS SSHH DEL PRIMER PISO</t>
  </si>
  <si>
    <t>RC 8626</t>
  </si>
  <si>
    <t>PASAJE PARA IR A COMPRAR A CIUDAD DE DIOS GALONES DE JABON LIQUIDO</t>
  </si>
  <si>
    <t>CORDOVA MARCO</t>
  </si>
  <si>
    <t>RI 32977</t>
  </si>
  <si>
    <t>ALVAREZ FLORENCIA</t>
  </si>
  <si>
    <t>RII 3374</t>
  </si>
  <si>
    <t>YUPANQUI SAYDA</t>
  </si>
  <si>
    <t>RII 3375</t>
  </si>
  <si>
    <t>EB01-7266</t>
  </si>
  <si>
    <t>QUISPE LUCIANO</t>
  </si>
  <si>
    <t>RI 32978</t>
  </si>
  <si>
    <t>JUAREZ LEONOR</t>
  </si>
  <si>
    <t>RI 32979</t>
  </si>
  <si>
    <t>RI 32980</t>
  </si>
  <si>
    <t>GUTIERREZ ROGER</t>
  </si>
  <si>
    <t>INGRESOS DEL DIA 29-04-2026</t>
  </si>
  <si>
    <t>VILLANUEVA ROSA</t>
  </si>
  <si>
    <t>RI 32981</t>
  </si>
  <si>
    <t>MELO MARINA</t>
  </si>
  <si>
    <t>RI 32982</t>
  </si>
  <si>
    <t>RII 3376</t>
  </si>
  <si>
    <t>RII 3377</t>
  </si>
  <si>
    <t>RII 3378</t>
  </si>
  <si>
    <t>CLAROS SANTOS</t>
  </si>
  <si>
    <t>RII 3379</t>
  </si>
  <si>
    <t xml:space="preserve">CLAROS TORRES SANTOS JESUS  </t>
  </si>
  <si>
    <t xml:space="preserve">E001-376 </t>
  </si>
  <si>
    <t xml:space="preserve">EB01-7268 </t>
  </si>
  <si>
    <t>EB01-7269</t>
  </si>
  <si>
    <t>EB01-7270</t>
  </si>
  <si>
    <t>EB01-7271</t>
  </si>
  <si>
    <t xml:space="preserve">EB01-7272 </t>
  </si>
  <si>
    <t>CARTAGENA BENJAMIN</t>
  </si>
  <si>
    <t>RI 32983</t>
  </si>
  <si>
    <t>RI 32984</t>
  </si>
  <si>
    <t>CARTAGENA ALVARO</t>
  </si>
  <si>
    <t xml:space="preserve">BLANCA NIEVES DURAND CHACÓN </t>
  </si>
  <si>
    <t xml:space="preserve">EB01-7274 </t>
  </si>
  <si>
    <t xml:space="preserve">EB01-7273 </t>
  </si>
  <si>
    <t>RII 3380</t>
  </si>
  <si>
    <t>GABRIELA MILAGROS CAMARENA ESTRADA </t>
  </si>
  <si>
    <t xml:space="preserve">EB01-7275 </t>
  </si>
  <si>
    <t>DURAND BLANCA</t>
  </si>
  <si>
    <t>RII 3381</t>
  </si>
  <si>
    <t>E001-193</t>
  </si>
  <si>
    <t>REPARACION DE PUERTA (CAMBIO DE CUERDA) Y ARREGLO DEL PASAMANOS DE LAS
ESCALERAS AL SEGUNDO PISO DE LA COOPERATIVA</t>
  </si>
  <si>
    <t xml:space="preserve">EB01-7276 </t>
  </si>
  <si>
    <t xml:space="preserve">EB01-7278 </t>
  </si>
  <si>
    <t xml:space="preserve">EB01-7277 </t>
  </si>
  <si>
    <t>PFUÑO VICTOR</t>
  </si>
  <si>
    <t>RII 3382</t>
  </si>
  <si>
    <t>RI 32985</t>
  </si>
  <si>
    <t>RI 32986</t>
  </si>
  <si>
    <t>BRAVO ANA</t>
  </si>
  <si>
    <t>SANCHEZ LUCIA</t>
  </si>
  <si>
    <t>RI 32987</t>
  </si>
  <si>
    <t>CAFÉ+AZUCAR+BETUN PARA LOS VIGILANTES</t>
  </si>
  <si>
    <t>CAFE+AZUCAR PARA LA OFICINA DE ADM. DE LA COOPERATIVA</t>
  </si>
  <si>
    <t>CUYA LLAMACURI VICTORIANO</t>
  </si>
  <si>
    <t>E001-397</t>
  </si>
  <si>
    <t>ANTIPULGAS ASUNTOL PARA LAS MASCOTAS DE LA COOPERATIVA</t>
  </si>
  <si>
    <t>EGRESOS DEL DIA 29-04-2026</t>
  </si>
  <si>
    <t xml:space="preserve">EB01-7281 </t>
  </si>
  <si>
    <t xml:space="preserve">MARIA ROSARIO SALAZAR VASQUEZ </t>
  </si>
  <si>
    <t xml:space="preserve">EB01-7279 </t>
  </si>
  <si>
    <t>INGRESOS DEL DIA 30-04-2026</t>
  </si>
  <si>
    <t>EGRESOS DEL DIA 30-04-2026</t>
  </si>
  <si>
    <t xml:space="preserve">JULIO HECTOR ESPARTA CARDENAS </t>
  </si>
  <si>
    <t xml:space="preserve">EB01-7303 </t>
  </si>
  <si>
    <t>RII 3385</t>
  </si>
  <si>
    <t>CASTRO AQUILA</t>
  </si>
  <si>
    <t>RI 32990</t>
  </si>
  <si>
    <t xml:space="preserve">CARRASCO FELICITAS </t>
  </si>
  <si>
    <t xml:space="preserve">E001-378 </t>
  </si>
  <si>
    <t>GUTIERREZ CASTRO JORGE</t>
  </si>
  <si>
    <t>RI 32991</t>
  </si>
  <si>
    <t>TK 50841</t>
  </si>
  <si>
    <t>TK 50842</t>
  </si>
  <si>
    <t>CAMAN HUABLOCHO LLENY SANDYBELL</t>
  </si>
  <si>
    <t>ASESORIA CONTABLE DEL MES DE ABRIL 2026</t>
  </si>
  <si>
    <t>CAYRO CARI RUBEN</t>
  </si>
  <si>
    <t>ASESORIA LEGAL Y CONSULTORIA DEL MES DE ABRIL 2026</t>
  </si>
  <si>
    <t>SUELDO DEL MES DE ABRIL 2026</t>
  </si>
  <si>
    <t>E001 576</t>
  </si>
  <si>
    <t>E001 208</t>
  </si>
  <si>
    <t>SIHUE FELIX FATIMA</t>
  </si>
  <si>
    <t>CUYA ARANGO MARIA</t>
  </si>
  <si>
    <t>PANQUIEZ LOPEZ DENIS</t>
  </si>
  <si>
    <t>GUZMAN AEDO ALEX</t>
  </si>
  <si>
    <t>VILLANUEVA PARIASCA TATIHANA</t>
  </si>
  <si>
    <t>CACCIRE PALOMINO LUIS</t>
  </si>
  <si>
    <t xml:space="preserve">EB01-7304 </t>
  </si>
  <si>
    <t xml:space="preserve">MARGARITA JUANA GOMERO DULANTO </t>
  </si>
  <si>
    <t xml:space="preserve">EB01-7305 </t>
  </si>
  <si>
    <t xml:space="preserve">EB01-7306 </t>
  </si>
  <si>
    <t>CHALLCO NICOLAZA</t>
  </si>
  <si>
    <t>RI 32992</t>
  </si>
  <si>
    <t>RI 32993</t>
  </si>
  <si>
    <t>QUISPE ROSA</t>
  </si>
  <si>
    <t>RI 32994</t>
  </si>
  <si>
    <t>RI 32995</t>
  </si>
  <si>
    <t>CALDERON SEGUNDO</t>
  </si>
  <si>
    <t>OJEDA EDSON</t>
  </si>
  <si>
    <t>RII 3386</t>
  </si>
  <si>
    <t>RII 3387</t>
  </si>
  <si>
    <t>2026-373-6444</t>
  </si>
  <si>
    <t>SOLICITUD DE INSCRIPCIÓN DE TITULO</t>
  </si>
  <si>
    <t xml:space="preserve">E001-379 </t>
  </si>
  <si>
    <t>SANTILLAN ZOILA</t>
  </si>
  <si>
    <t>RC 8627</t>
  </si>
  <si>
    <t>DIETA MES DE MARZO 2026 AL CARGO DE VICEPRESIDENTA DEL CONSEJO DE VIGILANCIA</t>
  </si>
  <si>
    <t>RAMOZ CUEVA PEDRO</t>
  </si>
  <si>
    <t>RI 32996</t>
  </si>
  <si>
    <t xml:space="preserve">EB01-7308 </t>
  </si>
  <si>
    <t>RC 8628</t>
  </si>
  <si>
    <t>TUSE MANUEL</t>
  </si>
  <si>
    <t>REEMPLAZO DEL SR NICANOR DE LOS DIAS 21-04 Y 28-04, TAMBIEN LIEMPIEZA DE LOS SSHH DEL 2DO PISO</t>
  </si>
  <si>
    <t>YUCRA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</si>
</sst>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C0A]d\-mmm;@"/>
    <numFmt numFmtId="165" formatCode="_ * #,##0.00_ ;_ * \-#,##0.0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Verdana"/>
      <family val="2"/>
    </font>
    <font>
      <sz val="9"/>
      <color rgb="FF000000"/>
      <name val="Verdana"/>
      <family val="2"/>
    </font>
    <font>
      <sz val="1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FBFCD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F4E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FEF75"/>
        <bgColor indexed="64"/>
      </patternFill>
    </fill>
    <fill>
      <patternFill patternType="solid">
        <fgColor rgb="FFB7F1FF"/>
        <bgColor indexed="64"/>
      </patternFill>
    </fill>
    <fill>
      <patternFill patternType="solid">
        <fgColor rgb="FFD8C9F7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55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3" fillId="0" borderId="8" xfId="0" applyNumberFormat="1" applyFont="1" applyBorder="1" applyAlignment="1">
      <alignment horizontal="center" vertical="center"/>
    </xf>
    <xf numFmtId="4" fontId="3" fillId="0" borderId="9" xfId="0" applyNumberFormat="1" applyFont="1" applyBorder="1" applyAlignment="1">
      <alignment horizontal="center" vertical="center"/>
    </xf>
    <xf numFmtId="4" fontId="3" fillId="4" borderId="8" xfId="0" applyNumberFormat="1" applyFont="1" applyFill="1" applyBorder="1" applyAlignment="1">
      <alignment horizontal="center" vertical="center"/>
    </xf>
    <xf numFmtId="4" fontId="3" fillId="5" borderId="8" xfId="0" applyNumberFormat="1" applyFont="1" applyFill="1" applyBorder="1" applyAlignment="1">
      <alignment horizontal="center" vertical="center"/>
    </xf>
    <xf numFmtId="4" fontId="3" fillId="6" borderId="8" xfId="0" applyNumberFormat="1" applyFont="1" applyFill="1" applyBorder="1" applyAlignment="1">
      <alignment horizontal="center" vertical="center" wrapText="1"/>
    </xf>
    <xf numFmtId="4" fontId="3" fillId="7" borderId="8" xfId="0" applyNumberFormat="1" applyFont="1" applyFill="1" applyBorder="1" applyAlignment="1">
      <alignment horizontal="center" vertical="center" wrapText="1"/>
    </xf>
    <xf numFmtId="4" fontId="3" fillId="8" borderId="8" xfId="0" applyNumberFormat="1" applyFont="1" applyFill="1" applyBorder="1" applyAlignment="1">
      <alignment horizontal="center" vertical="center" wrapText="1"/>
    </xf>
    <xf numFmtId="4" fontId="4" fillId="9" borderId="8" xfId="0" applyNumberFormat="1" applyFont="1" applyFill="1" applyBorder="1" applyAlignment="1">
      <alignment horizontal="center" vertical="center"/>
    </xf>
    <xf numFmtId="4" fontId="3" fillId="10" borderId="3" xfId="0" applyNumberFormat="1" applyFont="1" applyFill="1" applyBorder="1" applyAlignment="1">
      <alignment horizontal="center" vertical="center" wrapText="1"/>
    </xf>
    <xf numFmtId="4" fontId="3" fillId="11" borderId="3" xfId="0" applyNumberFormat="1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3" borderId="8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43" fontId="3" fillId="0" borderId="13" xfId="0" applyNumberFormat="1" applyFont="1" applyBorder="1"/>
    <xf numFmtId="43" fontId="3" fillId="0" borderId="14" xfId="0" applyNumberFormat="1" applyFont="1" applyBorder="1"/>
    <xf numFmtId="43" fontId="3" fillId="0" borderId="15" xfId="0" applyNumberFormat="1" applyFont="1" applyBorder="1"/>
    <xf numFmtId="43" fontId="3" fillId="0" borderId="8" xfId="0" applyNumberFormat="1" applyFont="1" applyBorder="1"/>
    <xf numFmtId="43" fontId="3" fillId="0" borderId="0" xfId="0" applyNumberFormat="1" applyFont="1"/>
    <xf numFmtId="43" fontId="3" fillId="0" borderId="10" xfId="0" applyNumberFormat="1" applyFont="1" applyBorder="1"/>
    <xf numFmtId="164" fontId="3" fillId="0" borderId="16" xfId="0" applyNumberFormat="1" applyFont="1" applyBorder="1"/>
    <xf numFmtId="43" fontId="3" fillId="0" borderId="17" xfId="0" applyNumberFormat="1" applyFont="1" applyBorder="1"/>
    <xf numFmtId="43" fontId="3" fillId="0" borderId="16" xfId="0" applyNumberFormat="1" applyFont="1" applyBorder="1"/>
    <xf numFmtId="43" fontId="3" fillId="0" borderId="18" xfId="0" applyNumberFormat="1" applyFont="1" applyBorder="1"/>
    <xf numFmtId="43" fontId="3" fillId="0" borderId="19" xfId="0" applyNumberFormat="1" applyFont="1" applyBorder="1"/>
    <xf numFmtId="0" fontId="1" fillId="0" borderId="0" xfId="0" applyFont="1"/>
    <xf numFmtId="0" fontId="3" fillId="0" borderId="20" xfId="0" applyFont="1" applyBorder="1"/>
    <xf numFmtId="43" fontId="4" fillId="0" borderId="14" xfId="0" applyNumberFormat="1" applyFont="1" applyBorder="1"/>
    <xf numFmtId="43" fontId="3" fillId="0" borderId="21" xfId="0" applyNumberFormat="1" applyFont="1" applyBorder="1"/>
    <xf numFmtId="43" fontId="3" fillId="0" borderId="20" xfId="0" applyNumberFormat="1" applyFont="1" applyBorder="1"/>
    <xf numFmtId="43" fontId="3" fillId="0" borderId="22" xfId="0" applyNumberFormat="1" applyFont="1" applyBorder="1"/>
    <xf numFmtId="0" fontId="0" fillId="4" borderId="0" xfId="0" applyFill="1"/>
    <xf numFmtId="0" fontId="2" fillId="0" borderId="0" xfId="0" applyFont="1"/>
    <xf numFmtId="0" fontId="2" fillId="4" borderId="0" xfId="0" applyFont="1" applyFill="1"/>
    <xf numFmtId="43" fontId="0" fillId="0" borderId="0" xfId="0" applyNumberFormat="1"/>
    <xf numFmtId="43" fontId="6" fillId="0" borderId="8" xfId="0" applyNumberFormat="1" applyFont="1" applyBorder="1"/>
    <xf numFmtId="43" fontId="6" fillId="0" borderId="15" xfId="0" applyNumberFormat="1" applyFont="1" applyBorder="1"/>
    <xf numFmtId="43" fontId="6" fillId="0" borderId="0" xfId="0" applyNumberFormat="1" applyFont="1"/>
    <xf numFmtId="0" fontId="7" fillId="0" borderId="0" xfId="0" applyFont="1"/>
    <xf numFmtId="0" fontId="2" fillId="0" borderId="0" xfId="0" applyFont="1" applyAlignment="1">
      <alignment horizontal="center"/>
    </xf>
    <xf numFmtId="0" fontId="0" fillId="14" borderId="0" xfId="0" applyFill="1"/>
    <xf numFmtId="43" fontId="3" fillId="0" borderId="7" xfId="0" applyNumberFormat="1" applyFont="1" applyBorder="1"/>
    <xf numFmtId="0" fontId="3" fillId="0" borderId="2" xfId="0" applyFont="1" applyBorder="1"/>
    <xf numFmtId="43" fontId="3" fillId="0" borderId="2" xfId="0" applyNumberFormat="1" applyFont="1" applyBorder="1"/>
    <xf numFmtId="43" fontId="3" fillId="14" borderId="2" xfId="0" applyNumberFormat="1" applyFont="1" applyFill="1" applyBorder="1"/>
    <xf numFmtId="0" fontId="3" fillId="0" borderId="3" xfId="0" applyFont="1" applyBorder="1"/>
    <xf numFmtId="43" fontId="3" fillId="0" borderId="3" xfId="0" applyNumberFormat="1" applyFont="1" applyBorder="1"/>
    <xf numFmtId="43" fontId="0" fillId="0" borderId="17" xfId="0" applyNumberFormat="1" applyBorder="1"/>
    <xf numFmtId="43" fontId="3" fillId="14" borderId="0" xfId="0" applyNumberFormat="1" applyFont="1" applyFill="1"/>
    <xf numFmtId="0" fontId="0" fillId="0" borderId="5" xfId="0" applyBorder="1"/>
    <xf numFmtId="0" fontId="0" fillId="0" borderId="8" xfId="0" applyBorder="1"/>
    <xf numFmtId="0" fontId="0" fillId="0" borderId="4" xfId="0" applyBorder="1"/>
    <xf numFmtId="43" fontId="3" fillId="0" borderId="14" xfId="0" applyNumberFormat="1" applyFont="1" applyFill="1" applyBorder="1"/>
    <xf numFmtId="43" fontId="5" fillId="0" borderId="14" xfId="0" applyNumberFormat="1" applyFont="1" applyFill="1" applyBorder="1"/>
    <xf numFmtId="43" fontId="4" fillId="0" borderId="14" xfId="0" applyNumberFormat="1" applyFont="1" applyFill="1" applyBorder="1"/>
    <xf numFmtId="43" fontId="3" fillId="0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center" vertical="center"/>
    </xf>
    <xf numFmtId="43" fontId="4" fillId="0" borderId="14" xfId="0" applyNumberFormat="1" applyFont="1" applyFill="1" applyBorder="1" applyAlignment="1">
      <alignment horizontal="center" vertical="center"/>
    </xf>
    <xf numFmtId="43" fontId="6" fillId="0" borderId="14" xfId="0" applyNumberFormat="1" applyFont="1" applyFill="1" applyBorder="1"/>
    <xf numFmtId="164" fontId="3" fillId="0" borderId="16" xfId="0" applyNumberFormat="1" applyFont="1" applyFill="1" applyBorder="1"/>
    <xf numFmtId="43" fontId="3" fillId="0" borderId="10" xfId="0" applyNumberFormat="1" applyFont="1" applyFill="1" applyBorder="1"/>
    <xf numFmtId="43" fontId="3" fillId="0" borderId="17" xfId="0" applyNumberFormat="1" applyFont="1" applyFill="1" applyBorder="1"/>
    <xf numFmtId="43" fontId="3" fillId="0" borderId="21" xfId="0" applyNumberFormat="1" applyFont="1" applyFill="1" applyBorder="1"/>
    <xf numFmtId="43" fontId="3" fillId="0" borderId="20" xfId="0" applyNumberFormat="1" applyFont="1" applyFill="1" applyBorder="1"/>
    <xf numFmtId="43" fontId="3" fillId="0" borderId="8" xfId="0" applyNumberFormat="1" applyFont="1" applyFill="1" applyBorder="1"/>
    <xf numFmtId="43" fontId="3" fillId="0" borderId="15" xfId="0" applyNumberFormat="1" applyFont="1" applyFill="1" applyBorder="1"/>
    <xf numFmtId="43" fontId="3" fillId="0" borderId="0" xfId="0" applyNumberFormat="1" applyFont="1" applyFill="1"/>
    <xf numFmtId="0" fontId="0" fillId="0" borderId="0" xfId="0" applyFill="1"/>
    <xf numFmtId="0" fontId="3" fillId="0" borderId="20" xfId="0" applyFont="1" applyFill="1" applyBorder="1"/>
    <xf numFmtId="0" fontId="0" fillId="0" borderId="0" xfId="0" applyFill="1" applyAlignment="1">
      <alignment horizontal="center" vertical="center"/>
    </xf>
    <xf numFmtId="43" fontId="3" fillId="0" borderId="22" xfId="0" applyNumberFormat="1" applyFont="1" applyFill="1" applyBorder="1"/>
    <xf numFmtId="2" fontId="0" fillId="0" borderId="0" xfId="0" applyNumberFormat="1" applyFill="1"/>
    <xf numFmtId="0" fontId="2" fillId="0" borderId="0" xfId="0" applyFont="1" applyFill="1"/>
    <xf numFmtId="0" fontId="3" fillId="0" borderId="0" xfId="0" applyFont="1" applyFill="1"/>
    <xf numFmtId="0" fontId="0" fillId="4" borderId="0" xfId="0" applyFont="1" applyFill="1"/>
    <xf numFmtId="0" fontId="2" fillId="15" borderId="0" xfId="0" applyFont="1" applyFill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 applyFill="1"/>
    <xf numFmtId="0" fontId="2" fillId="0" borderId="8" xfId="0" applyFont="1" applyBorder="1" applyAlignment="1">
      <alignment horizontal="center" vertical="center" wrapText="1"/>
    </xf>
    <xf numFmtId="43" fontId="2" fillId="0" borderId="24" xfId="1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17" fontId="2" fillId="0" borderId="8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43" fontId="2" fillId="0" borderId="8" xfId="1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0" fontId="11" fillId="0" borderId="26" xfId="0" applyFont="1" applyBorder="1" applyAlignment="1">
      <alignment vertical="center"/>
    </xf>
    <xf numFmtId="0" fontId="0" fillId="0" borderId="25" xfId="0" applyBorder="1" applyAlignment="1">
      <alignment horizontal="center" vertical="center" wrapText="1"/>
    </xf>
    <xf numFmtId="0" fontId="11" fillId="0" borderId="8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2" fillId="0" borderId="25" xfId="0" applyFont="1" applyBorder="1" applyAlignment="1">
      <alignment horizontal="center" vertical="center" wrapText="1"/>
    </xf>
    <xf numFmtId="17" fontId="0" fillId="0" borderId="25" xfId="0" applyNumberFormat="1" applyBorder="1" applyAlignment="1">
      <alignment horizontal="center" vertical="center" wrapText="1"/>
    </xf>
    <xf numFmtId="17" fontId="0" fillId="0" borderId="8" xfId="0" applyNumberFormat="1" applyBorder="1" applyAlignment="1">
      <alignment horizontal="center" vertical="center" wrapText="1"/>
    </xf>
    <xf numFmtId="2" fontId="0" fillId="0" borderId="8" xfId="1" applyNumberFormat="1" applyFont="1" applyFill="1" applyBorder="1" applyAlignment="1">
      <alignment vertical="center"/>
    </xf>
    <xf numFmtId="0" fontId="4" fillId="0" borderId="8" xfId="0" applyFont="1" applyBorder="1" applyAlignment="1">
      <alignment horizontal="center"/>
    </xf>
    <xf numFmtId="43" fontId="4" fillId="0" borderId="8" xfId="1" applyFont="1" applyFill="1" applyBorder="1" applyAlignment="1">
      <alignment horizontal="center"/>
    </xf>
    <xf numFmtId="43" fontId="4" fillId="0" borderId="26" xfId="1" applyFont="1" applyFill="1" applyBorder="1"/>
    <xf numFmtId="43" fontId="4" fillId="0" borderId="8" xfId="1" applyFont="1" applyFill="1" applyBorder="1"/>
    <xf numFmtId="0" fontId="2" fillId="0" borderId="0" xfId="0" applyFont="1" applyAlignment="1">
      <alignment horizontal="center" vertical="center" wrapText="1"/>
    </xf>
    <xf numFmtId="43" fontId="4" fillId="0" borderId="0" xfId="1" applyFont="1" applyFill="1" applyBorder="1" applyAlignment="1">
      <alignment horizontal="center"/>
    </xf>
    <xf numFmtId="43" fontId="4" fillId="0" borderId="0" xfId="1" applyFont="1" applyFill="1" applyBorder="1"/>
    <xf numFmtId="0" fontId="12" fillId="0" borderId="8" xfId="0" applyFont="1" applyBorder="1" applyAlignment="1">
      <alignment horizontal="center"/>
    </xf>
    <xf numFmtId="0" fontId="2" fillId="9" borderId="2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3" fontId="2" fillId="0" borderId="8" xfId="1" applyFont="1" applyFill="1" applyBorder="1" applyAlignment="1">
      <alignment horizontal="center" vertical="center"/>
    </xf>
    <xf numFmtId="43" fontId="0" fillId="0" borderId="8" xfId="1" applyFont="1" applyFill="1" applyBorder="1" applyAlignment="1">
      <alignment horizontal="right" vertical="center"/>
    </xf>
    <xf numFmtId="2" fontId="0" fillId="0" borderId="8" xfId="1" applyNumberFormat="1" applyFont="1" applyFill="1" applyBorder="1" applyAlignment="1">
      <alignment horizontal="right" vertical="center"/>
    </xf>
    <xf numFmtId="43" fontId="0" fillId="0" borderId="8" xfId="1" applyFont="1" applyFill="1" applyBorder="1" applyAlignment="1">
      <alignment vertical="center"/>
    </xf>
    <xf numFmtId="43" fontId="9" fillId="0" borderId="8" xfId="1" applyFont="1" applyFill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right" vertical="center" wrapText="1"/>
    </xf>
    <xf numFmtId="0" fontId="0" fillId="0" borderId="8" xfId="0" applyBorder="1" applyAlignment="1">
      <alignment horizontal="center" vertical="center" wrapText="1"/>
    </xf>
    <xf numFmtId="43" fontId="2" fillId="7" borderId="8" xfId="0" applyNumberFormat="1" applyFont="1" applyFill="1" applyBorder="1" applyAlignment="1">
      <alignment horizontal="center" vertical="center"/>
    </xf>
    <xf numFmtId="43" fontId="0" fillId="16" borderId="8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7" fontId="2" fillId="0" borderId="2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43" fontId="2" fillId="0" borderId="0" xfId="1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/>
    </xf>
    <xf numFmtId="43" fontId="2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25" xfId="0" applyBorder="1" applyAlignment="1">
      <alignment vertical="center" wrapText="1"/>
    </xf>
    <xf numFmtId="43" fontId="0" fillId="0" borderId="26" xfId="1" applyFont="1" applyFill="1" applyBorder="1" applyAlignment="1">
      <alignment vertical="center"/>
    </xf>
    <xf numFmtId="0" fontId="13" fillId="0" borderId="0" xfId="0" applyFont="1" applyAlignment="1">
      <alignment horizontal="center"/>
    </xf>
    <xf numFmtId="43" fontId="13" fillId="0" borderId="0" xfId="1" applyFont="1" applyFill="1" applyAlignment="1">
      <alignment horizontal="center"/>
    </xf>
    <xf numFmtId="43" fontId="13" fillId="0" borderId="0" xfId="1" applyFont="1" applyFill="1"/>
    <xf numFmtId="43" fontId="4" fillId="0" borderId="2" xfId="1" applyFont="1" applyFill="1" applyBorder="1" applyAlignment="1">
      <alignment horizontal="center"/>
    </xf>
    <xf numFmtId="43" fontId="4" fillId="0" borderId="2" xfId="1" applyFont="1" applyFill="1" applyBorder="1"/>
    <xf numFmtId="43" fontId="0" fillId="0" borderId="0" xfId="1" applyFont="1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3" xfId="0" applyFont="1" applyBorder="1" applyAlignment="1">
      <alignment horizontal="center"/>
    </xf>
    <xf numFmtId="43" fontId="14" fillId="0" borderId="2" xfId="1" applyFont="1" applyFill="1" applyBorder="1" applyAlignment="1">
      <alignment horizontal="center"/>
    </xf>
    <xf numFmtId="43" fontId="14" fillId="0" borderId="2" xfId="1" applyFont="1" applyFill="1" applyBorder="1"/>
    <xf numFmtId="43" fontId="14" fillId="0" borderId="1" xfId="1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43" fontId="14" fillId="0" borderId="0" xfId="1" applyFont="1" applyFill="1" applyBorder="1" applyAlignment="1">
      <alignment horizontal="left"/>
    </xf>
    <xf numFmtId="43" fontId="14" fillId="0" borderId="0" xfId="1" applyFont="1" applyFill="1" applyBorder="1"/>
    <xf numFmtId="0" fontId="13" fillId="0" borderId="5" xfId="0" applyFont="1" applyBorder="1" applyAlignment="1">
      <alignment horizontal="left"/>
    </xf>
    <xf numFmtId="0" fontId="13" fillId="0" borderId="5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/>
    </xf>
    <xf numFmtId="43" fontId="0" fillId="0" borderId="2" xfId="1" applyFont="1" applyFill="1" applyBorder="1" applyAlignment="1">
      <alignment horizontal="center"/>
    </xf>
    <xf numFmtId="43" fontId="0" fillId="0" borderId="2" xfId="1" applyFont="1" applyFill="1" applyBorder="1"/>
    <xf numFmtId="43" fontId="4" fillId="14" borderId="3" xfId="1" applyFont="1" applyFill="1" applyBorder="1"/>
    <xf numFmtId="0" fontId="0" fillId="0" borderId="0" xfId="0" applyAlignment="1">
      <alignment horizontal="left"/>
    </xf>
    <xf numFmtId="43" fontId="0" fillId="0" borderId="1" xfId="1" applyFont="1" applyFill="1" applyBorder="1" applyAlignment="1">
      <alignment horizontal="center"/>
    </xf>
    <xf numFmtId="43" fontId="4" fillId="0" borderId="3" xfId="1" applyFont="1" applyFill="1" applyBorder="1"/>
    <xf numFmtId="43" fontId="10" fillId="0" borderId="1" xfId="1" applyFont="1" applyFill="1" applyBorder="1" applyAlignment="1">
      <alignment horizontal="center"/>
    </xf>
    <xf numFmtId="43" fontId="10" fillId="0" borderId="2" xfId="1" applyFont="1" applyFill="1" applyBorder="1"/>
    <xf numFmtId="43" fontId="10" fillId="0" borderId="3" xfId="1" applyFont="1" applyFill="1" applyBorder="1"/>
    <xf numFmtId="0" fontId="10" fillId="0" borderId="0" xfId="0" applyFont="1" applyAlignment="1">
      <alignment horizontal="center"/>
    </xf>
    <xf numFmtId="43" fontId="10" fillId="0" borderId="0" xfId="1" applyFont="1" applyFill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43" fontId="2" fillId="0" borderId="24" xfId="1" applyFont="1" applyFill="1" applyBorder="1" applyAlignment="1">
      <alignment horizontal="center"/>
    </xf>
    <xf numFmtId="0" fontId="0" fillId="0" borderId="2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2" fontId="0" fillId="0" borderId="8" xfId="0" applyNumberFormat="1" applyBorder="1" applyAlignment="1">
      <alignment vertical="center" wrapText="1"/>
    </xf>
    <xf numFmtId="0" fontId="4" fillId="0" borderId="4" xfId="0" applyFont="1" applyBorder="1" applyAlignment="1">
      <alignment horizontal="center"/>
    </xf>
    <xf numFmtId="43" fontId="4" fillId="0" borderId="17" xfId="1" applyFont="1" applyFill="1" applyBorder="1"/>
    <xf numFmtId="0" fontId="0" fillId="0" borderId="0" xfId="0" applyAlignment="1">
      <alignment horizontal="left" vertical="center" wrapText="1"/>
    </xf>
    <xf numFmtId="43" fontId="0" fillId="0" borderId="0" xfId="1" applyFont="1" applyFill="1" applyBorder="1" applyAlignment="1">
      <alignment horizontal="left" vertical="center" wrapText="1"/>
    </xf>
    <xf numFmtId="43" fontId="1" fillId="0" borderId="0" xfId="0" applyNumberFormat="1" applyFont="1" applyAlignment="1">
      <alignment horizontal="center"/>
    </xf>
    <xf numFmtId="43" fontId="0" fillId="0" borderId="31" xfId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3" fontId="13" fillId="0" borderId="32" xfId="1" applyFont="1" applyFill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43" fontId="1" fillId="0" borderId="0" xfId="1" applyFont="1" applyFill="1"/>
    <xf numFmtId="14" fontId="0" fillId="0" borderId="0" xfId="0" applyNumberFormat="1"/>
    <xf numFmtId="0" fontId="11" fillId="0" borderId="8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2" fontId="2" fillId="4" borderId="0" xfId="0" applyNumberFormat="1" applyFont="1" applyFill="1"/>
    <xf numFmtId="0" fontId="0" fillId="0" borderId="25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43" fontId="4" fillId="15" borderId="14" xfId="0" applyNumberFormat="1" applyFont="1" applyFill="1" applyBorder="1"/>
    <xf numFmtId="0" fontId="0" fillId="0" borderId="2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2" fontId="2" fillId="0" borderId="24" xfId="1" applyNumberFormat="1" applyFont="1" applyFill="1" applyBorder="1" applyAlignment="1">
      <alignment horizontal="right" vertical="center" wrapText="1"/>
    </xf>
    <xf numFmtId="2" fontId="4" fillId="0" borderId="8" xfId="1" applyNumberFormat="1" applyFont="1" applyFill="1" applyBorder="1" applyAlignment="1">
      <alignment horizontal="right"/>
    </xf>
    <xf numFmtId="0" fontId="11" fillId="0" borderId="14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7" fontId="0" fillId="0" borderId="25" xfId="0" applyNumberForma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17" fontId="0" fillId="0" borderId="14" xfId="0" applyNumberFormat="1" applyBorder="1" applyAlignment="1">
      <alignment horizontal="center" vertical="center" wrapText="1"/>
    </xf>
    <xf numFmtId="17" fontId="0" fillId="0" borderId="8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43" fontId="0" fillId="0" borderId="8" xfId="1" applyFont="1" applyFill="1" applyBorder="1" applyAlignment="1">
      <alignment horizontal="center" vertical="center"/>
    </xf>
    <xf numFmtId="2" fontId="0" fillId="0" borderId="8" xfId="0" applyNumberFormat="1" applyFont="1" applyBorder="1" applyAlignment="1">
      <alignment horizontal="center" vertical="center" wrapText="1"/>
    </xf>
    <xf numFmtId="2" fontId="0" fillId="0" borderId="25" xfId="0" applyNumberFormat="1" applyFont="1" applyBorder="1" applyAlignment="1">
      <alignment horizontal="center" vertical="center" wrapText="1"/>
    </xf>
    <xf numFmtId="43" fontId="9" fillId="0" borderId="8" xfId="1" applyFont="1" applyFill="1" applyBorder="1" applyAlignment="1">
      <alignment horizontal="right" vertical="center"/>
    </xf>
    <xf numFmtId="2" fontId="0" fillId="0" borderId="8" xfId="0" applyNumberFormat="1" applyFont="1" applyBorder="1" applyAlignment="1">
      <alignment horizontal="right" vertical="center" wrapText="1"/>
    </xf>
    <xf numFmtId="0" fontId="0" fillId="0" borderId="0" xfId="0" applyAlignment="1"/>
    <xf numFmtId="2" fontId="2" fillId="0" borderId="8" xfId="0" applyNumberFormat="1" applyFont="1" applyBorder="1" applyAlignment="1">
      <alignment vertical="center" wrapText="1"/>
    </xf>
    <xf numFmtId="43" fontId="4" fillId="0" borderId="26" xfId="1" applyFont="1" applyFill="1" applyBorder="1" applyAlignment="1"/>
    <xf numFmtId="43" fontId="4" fillId="0" borderId="0" xfId="1" applyFont="1" applyFill="1" applyBorder="1" applyAlignment="1"/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0" fillId="0" borderId="0" xfId="0" applyNumberFormat="1" applyAlignment="1"/>
    <xf numFmtId="43" fontId="13" fillId="0" borderId="0" xfId="1" applyFont="1" applyFill="1" applyAlignment="1"/>
    <xf numFmtId="43" fontId="4" fillId="0" borderId="2" xfId="1" applyFont="1" applyFill="1" applyBorder="1" applyAlignment="1"/>
    <xf numFmtId="43" fontId="0" fillId="0" borderId="0" xfId="1" applyFont="1" applyFill="1" applyAlignment="1"/>
    <xf numFmtId="43" fontId="14" fillId="0" borderId="2" xfId="1" applyFont="1" applyFill="1" applyBorder="1" applyAlignment="1"/>
    <xf numFmtId="43" fontId="14" fillId="0" borderId="0" xfId="1" applyFont="1" applyFill="1" applyBorder="1" applyAlignment="1"/>
    <xf numFmtId="43" fontId="0" fillId="0" borderId="2" xfId="1" applyFont="1" applyFill="1" applyBorder="1" applyAlignment="1"/>
    <xf numFmtId="43" fontId="10" fillId="0" borderId="2" xfId="1" applyFont="1" applyFill="1" applyBorder="1" applyAlignment="1"/>
    <xf numFmtId="0" fontId="10" fillId="0" borderId="0" xfId="0" applyFont="1" applyAlignment="1"/>
    <xf numFmtId="0" fontId="0" fillId="0" borderId="0" xfId="0" applyAlignment="1">
      <alignment vertical="center" wrapText="1"/>
    </xf>
    <xf numFmtId="43" fontId="0" fillId="0" borderId="0" xfId="0" applyNumberFormat="1" applyAlignment="1"/>
    <xf numFmtId="0" fontId="0" fillId="0" borderId="2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7" fontId="0" fillId="0" borderId="25" xfId="0" applyNumberForma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164" fontId="3" fillId="17" borderId="16" xfId="0" applyNumberFormat="1" applyFont="1" applyFill="1" applyBorder="1"/>
    <xf numFmtId="43" fontId="3" fillId="17" borderId="10" xfId="0" applyNumberFormat="1" applyFont="1" applyFill="1" applyBorder="1"/>
    <xf numFmtId="43" fontId="3" fillId="17" borderId="17" xfId="0" applyNumberFormat="1" applyFont="1" applyFill="1" applyBorder="1"/>
    <xf numFmtId="43" fontId="3" fillId="17" borderId="16" xfId="0" applyNumberFormat="1" applyFont="1" applyFill="1" applyBorder="1"/>
    <xf numFmtId="43" fontId="3" fillId="17" borderId="18" xfId="0" applyNumberFormat="1" applyFont="1" applyFill="1" applyBorder="1"/>
    <xf numFmtId="43" fontId="3" fillId="17" borderId="19" xfId="0" applyNumberFormat="1" applyFont="1" applyFill="1" applyBorder="1"/>
    <xf numFmtId="43" fontId="3" fillId="17" borderId="13" xfId="0" applyNumberFormat="1" applyFont="1" applyFill="1" applyBorder="1"/>
    <xf numFmtId="43" fontId="3" fillId="17" borderId="14" xfId="0" applyNumberFormat="1" applyFont="1" applyFill="1" applyBorder="1"/>
    <xf numFmtId="43" fontId="5" fillId="17" borderId="14" xfId="0" applyNumberFormat="1" applyFont="1" applyFill="1" applyBorder="1"/>
    <xf numFmtId="43" fontId="3" fillId="17" borderId="15" xfId="0" applyNumberFormat="1" applyFont="1" applyFill="1" applyBorder="1"/>
    <xf numFmtId="43" fontId="3" fillId="17" borderId="8" xfId="0" applyNumberFormat="1" applyFont="1" applyFill="1" applyBorder="1"/>
    <xf numFmtId="43" fontId="3" fillId="17" borderId="0" xfId="0" applyNumberFormat="1" applyFont="1" applyFill="1"/>
    <xf numFmtId="0" fontId="0" fillId="17" borderId="0" xfId="0" applyFill="1"/>
    <xf numFmtId="43" fontId="3" fillId="17" borderId="21" xfId="0" applyNumberFormat="1" applyFont="1" applyFill="1" applyBorder="1"/>
    <xf numFmtId="43" fontId="3" fillId="17" borderId="20" xfId="0" applyNumberFormat="1" applyFont="1" applyFill="1" applyBorder="1"/>
    <xf numFmtId="0" fontId="3" fillId="17" borderId="20" xfId="0" applyFont="1" applyFill="1" applyBorder="1"/>
    <xf numFmtId="0" fontId="0" fillId="0" borderId="25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17" fontId="0" fillId="0" borderId="25" xfId="0" applyNumberForma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43" fontId="4" fillId="18" borderId="14" xfId="0" applyNumberFormat="1" applyFont="1" applyFill="1" applyBorder="1"/>
    <xf numFmtId="0" fontId="11" fillId="0" borderId="2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7" fontId="0" fillId="0" borderId="25" xfId="0" applyNumberForma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16" fillId="0" borderId="0" xfId="0" applyFont="1"/>
    <xf numFmtId="0" fontId="2" fillId="9" borderId="8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17" fontId="0" fillId="0" borderId="25" xfId="0" applyNumberForma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24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17" fontId="0" fillId="0" borderId="25" xfId="0" applyNumberForma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0" fontId="0" fillId="0" borderId="25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 wrapText="1"/>
    </xf>
    <xf numFmtId="17" fontId="0" fillId="0" borderId="25" xfId="0" applyNumberForma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2" fontId="0" fillId="0" borderId="25" xfId="0" applyNumberFormat="1" applyFont="1" applyBorder="1" applyAlignment="1">
      <alignment horizontal="right" vertical="center"/>
    </xf>
    <xf numFmtId="2" fontId="0" fillId="0" borderId="8" xfId="0" applyNumberFormat="1" applyFont="1" applyBorder="1"/>
    <xf numFmtId="2" fontId="0" fillId="0" borderId="14" xfId="0" applyNumberFormat="1" applyFont="1" applyBorder="1"/>
    <xf numFmtId="0" fontId="0" fillId="0" borderId="17" xfId="0" applyBorder="1" applyAlignment="1">
      <alignment vertical="center" wrapText="1"/>
    </xf>
    <xf numFmtId="0" fontId="18" fillId="0" borderId="8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7" fontId="0" fillId="0" borderId="25" xfId="0" applyNumberForma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43" fontId="4" fillId="17" borderId="14" xfId="0" applyNumberFormat="1" applyFont="1" applyFill="1" applyBorder="1"/>
    <xf numFmtId="0" fontId="0" fillId="0" borderId="25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17" fontId="0" fillId="0" borderId="25" xfId="0" applyNumberForma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2" fontId="0" fillId="0" borderId="24" xfId="1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7" fontId="0" fillId="0" borderId="25" xfId="0" applyNumberForma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17" fontId="0" fillId="0" borderId="25" xfId="0" applyNumberFormat="1" applyBorder="1" applyAlignment="1">
      <alignment vertical="center" wrapText="1"/>
    </xf>
    <xf numFmtId="0" fontId="0" fillId="0" borderId="25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17" fontId="0" fillId="0" borderId="25" xfId="0" applyNumberForma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7" fontId="0" fillId="0" borderId="25" xfId="0" applyNumberForma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0" fillId="0" borderId="25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17" fontId="0" fillId="0" borderId="25" xfId="0" applyNumberForma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2" fontId="0" fillId="0" borderId="8" xfId="0" applyNumberFormat="1" applyFont="1" applyBorder="1" applyAlignment="1">
      <alignment vertical="center" wrapText="1"/>
    </xf>
    <xf numFmtId="43" fontId="9" fillId="0" borderId="8" xfId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7" fontId="0" fillId="0" borderId="25" xfId="0" applyNumberForma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43" fontId="0" fillId="0" borderId="17" xfId="1" applyFont="1" applyFill="1" applyBorder="1" applyAlignment="1">
      <alignment vertical="center"/>
    </xf>
    <xf numFmtId="0" fontId="0" fillId="0" borderId="25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17" fontId="0" fillId="0" borderId="25" xfId="0" applyNumberForma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14" fontId="0" fillId="0" borderId="8" xfId="1" applyNumberFormat="1" applyFont="1" applyFill="1" applyBorder="1" applyAlignment="1">
      <alignment vertical="center"/>
    </xf>
    <xf numFmtId="14" fontId="0" fillId="0" borderId="8" xfId="0" applyNumberFormat="1" applyBorder="1" applyAlignment="1">
      <alignment horizontal="center" vertical="center" wrapText="1"/>
    </xf>
    <xf numFmtId="17" fontId="0" fillId="0" borderId="8" xfId="1" applyNumberFormat="1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17" fontId="0" fillId="0" borderId="25" xfId="0" applyNumberForma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17" fontId="0" fillId="0" borderId="25" xfId="0" applyNumberForma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2" fillId="19" borderId="0" xfId="0" applyFont="1" applyFill="1"/>
    <xf numFmtId="0" fontId="0" fillId="19" borderId="0" xfId="0" applyFill="1"/>
    <xf numFmtId="0" fontId="0" fillId="14" borderId="0" xfId="0" applyFill="1" applyAlignment="1">
      <alignment horizontal="center"/>
    </xf>
    <xf numFmtId="0" fontId="0" fillId="0" borderId="25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 wrapText="1"/>
    </xf>
    <xf numFmtId="17" fontId="0" fillId="0" borderId="25" xfId="0" applyNumberForma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0" fillId="0" borderId="8" xfId="0" applyNumberFormat="1" applyBorder="1" applyAlignment="1">
      <alignment horizontal="center" vertical="center" wrapText="1"/>
    </xf>
    <xf numFmtId="0" fontId="0" fillId="0" borderId="8" xfId="0" applyNumberFormat="1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17" fontId="0" fillId="0" borderId="25" xfId="0" applyNumberForma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0" fillId="0" borderId="2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17" fontId="0" fillId="0" borderId="25" xfId="0" applyNumberForma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11" fillId="0" borderId="0" xfId="0" applyFont="1" applyAlignment="1">
      <alignment horizontal="center" wrapText="1"/>
    </xf>
    <xf numFmtId="0" fontId="11" fillId="0" borderId="0" xfId="0" applyFont="1" applyBorder="1" applyAlignment="1">
      <alignment horizontal="center" vertical="center" wrapText="1"/>
    </xf>
    <xf numFmtId="43" fontId="4" fillId="20" borderId="14" xfId="0" applyNumberFormat="1" applyFont="1" applyFill="1" applyBorder="1"/>
    <xf numFmtId="0" fontId="0" fillId="0" borderId="8" xfId="0" applyFont="1" applyBorder="1"/>
    <xf numFmtId="0" fontId="0" fillId="0" borderId="0" xfId="0" applyFont="1" applyBorder="1" applyAlignment="1">
      <alignment horizontal="center" wrapText="1"/>
    </xf>
    <xf numFmtId="0" fontId="0" fillId="0" borderId="27" xfId="0" applyFont="1" applyBorder="1" applyAlignment="1">
      <alignment horizontal="center"/>
    </xf>
    <xf numFmtId="0" fontId="0" fillId="0" borderId="27" xfId="0" applyFont="1" applyBorder="1" applyAlignment="1">
      <alignment horizontal="center" vertical="center"/>
    </xf>
    <xf numFmtId="43" fontId="9" fillId="0" borderId="24" xfId="1" applyFont="1" applyFill="1" applyBorder="1" applyAlignment="1">
      <alignment horizontal="center" vertical="center"/>
    </xf>
    <xf numFmtId="2" fontId="7" fillId="0" borderId="8" xfId="0" applyNumberFormat="1" applyFont="1" applyBorder="1"/>
    <xf numFmtId="2" fontId="9" fillId="0" borderId="8" xfId="1" applyNumberFormat="1" applyFont="1" applyFill="1" applyBorder="1" applyAlignment="1">
      <alignment horizontal="right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25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2" fontId="7" fillId="0" borderId="35" xfId="0" applyNumberFormat="1" applyFont="1" applyBorder="1"/>
    <xf numFmtId="2" fontId="7" fillId="0" borderId="36" xfId="0" applyNumberFormat="1" applyFont="1" applyBorder="1"/>
    <xf numFmtId="0" fontId="7" fillId="0" borderId="6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28" xfId="0" applyFont="1" applyBorder="1" applyAlignment="1">
      <alignment horizontal="center"/>
    </xf>
    <xf numFmtId="0" fontId="11" fillId="0" borderId="8" xfId="0" applyFont="1" applyBorder="1" applyAlignment="1">
      <alignment horizontal="center" wrapText="1"/>
    </xf>
    <xf numFmtId="0" fontId="0" fillId="0" borderId="2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10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2" xfId="1" applyFont="1" applyFill="1" applyBorder="1" applyAlignment="1">
      <alignment horizontal="center"/>
    </xf>
    <xf numFmtId="43" fontId="2" fillId="0" borderId="3" xfId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17" fontId="0" fillId="0" borderId="25" xfId="0" applyNumberFormat="1" applyBorder="1" applyAlignment="1">
      <alignment horizontal="center" vertical="center" wrapText="1"/>
    </xf>
    <xf numFmtId="17" fontId="0" fillId="0" borderId="17" xfId="0" applyNumberFormat="1" applyBorder="1" applyAlignment="1">
      <alignment horizontal="center" vertical="center" wrapText="1"/>
    </xf>
    <xf numFmtId="43" fontId="0" fillId="0" borderId="25" xfId="1" applyFont="1" applyFill="1" applyBorder="1" applyAlignment="1">
      <alignment horizontal="center" vertical="center"/>
    </xf>
    <xf numFmtId="43" fontId="0" fillId="0" borderId="17" xfId="1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17" fontId="0" fillId="0" borderId="14" xfId="0" applyNumberForma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Font="1" applyBorder="1" applyAlignment="1">
      <alignment horizontal="center" vertical="center" wrapText="1"/>
    </xf>
    <xf numFmtId="2" fontId="2" fillId="0" borderId="25" xfId="0" applyNumberFormat="1" applyFont="1" applyBorder="1" applyAlignment="1">
      <alignment horizontal="center" vertical="center" wrapText="1"/>
    </xf>
    <xf numFmtId="2" fontId="2" fillId="0" borderId="14" xfId="0" applyNumberFormat="1" applyFont="1" applyBorder="1" applyAlignment="1">
      <alignment horizontal="center" vertical="center" wrapText="1"/>
    </xf>
    <xf numFmtId="2" fontId="2" fillId="0" borderId="17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7" fontId="4" fillId="0" borderId="4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D8C9F7"/>
      <color rgb="FFB7F1FF"/>
      <color rgb="FFFF99FF"/>
      <color rgb="FF6FEF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208A3-F7A7-4DBC-A661-1AE1EF755B67}">
  <sheetPr>
    <pageSetUpPr fitToPage="1"/>
  </sheetPr>
  <dimension ref="A1:M102"/>
  <sheetViews>
    <sheetView topLeftCell="A12" workbookViewId="0">
      <selection activeCell="M31" sqref="M31"/>
    </sheetView>
  </sheetViews>
  <sheetFormatPr baseColWidth="10" defaultRowHeight="15" x14ac:dyDescent="0.25"/>
  <cols>
    <col min="1" max="1" width="44" customWidth="1"/>
    <col min="2" max="2" width="15.42578125" bestFit="1" customWidth="1"/>
    <col min="6" max="6" width="13" bestFit="1" customWidth="1"/>
    <col min="10" max="10" width="14" bestFit="1" customWidth="1"/>
  </cols>
  <sheetData>
    <row r="1" spans="1:10" ht="21" x14ac:dyDescent="0.35">
      <c r="A1" s="491" t="s">
        <v>63</v>
      </c>
      <c r="B1" s="491"/>
      <c r="C1" s="491"/>
      <c r="D1" s="491"/>
      <c r="E1" s="491"/>
      <c r="F1" s="491"/>
      <c r="G1" s="491"/>
      <c r="H1" s="491"/>
      <c r="I1" s="491"/>
      <c r="J1" s="491"/>
    </row>
    <row r="2" spans="1:10" ht="15.75" thickBot="1" x14ac:dyDescent="0.3">
      <c r="A2" s="83"/>
      <c r="B2" s="84"/>
      <c r="C2" s="84"/>
      <c r="J2" s="85"/>
    </row>
    <row r="3" spans="1:10" ht="30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87" t="s">
        <v>4</v>
      </c>
    </row>
    <row r="4" spans="1:10" ht="15.75" thickBot="1" x14ac:dyDescent="0.3">
      <c r="A4" s="88" t="s">
        <v>78</v>
      </c>
      <c r="B4" s="88" t="s">
        <v>79</v>
      </c>
      <c r="C4" s="89">
        <v>46113</v>
      </c>
      <c r="D4" s="90"/>
      <c r="E4" s="90"/>
      <c r="F4" s="90"/>
      <c r="G4" s="90"/>
      <c r="H4" s="90"/>
      <c r="I4" s="90">
        <v>10</v>
      </c>
      <c r="J4" s="208">
        <f>SUM(D4:I4)</f>
        <v>10</v>
      </c>
    </row>
    <row r="5" spans="1:10" ht="15.75" thickBot="1" x14ac:dyDescent="0.3">
      <c r="A5" s="88"/>
      <c r="B5" s="88"/>
      <c r="C5" s="89"/>
      <c r="D5" s="90"/>
      <c r="E5" s="90"/>
      <c r="F5" s="90"/>
      <c r="G5" s="90"/>
      <c r="H5" s="90"/>
      <c r="I5" s="90"/>
      <c r="J5" s="208">
        <f t="shared" ref="J5:J23" si="0">SUM(D5:I5)</f>
        <v>0</v>
      </c>
    </row>
    <row r="6" spans="1:10" ht="15.75" thickBot="1" x14ac:dyDescent="0.3">
      <c r="A6" s="88" t="s">
        <v>70</v>
      </c>
      <c r="B6" s="88" t="s">
        <v>71</v>
      </c>
      <c r="C6" s="89">
        <v>46113</v>
      </c>
      <c r="D6" s="90"/>
      <c r="E6" s="90"/>
      <c r="F6" s="90"/>
      <c r="G6" s="90">
        <v>60</v>
      </c>
      <c r="H6" s="90"/>
      <c r="I6" s="90"/>
      <c r="J6" s="208">
        <f t="shared" si="0"/>
        <v>60</v>
      </c>
    </row>
    <row r="7" spans="1:10" ht="15.75" thickBot="1" x14ac:dyDescent="0.3">
      <c r="A7" s="188" t="s">
        <v>87</v>
      </c>
      <c r="B7" s="188" t="s">
        <v>88</v>
      </c>
      <c r="C7" s="89">
        <v>46082</v>
      </c>
      <c r="D7" s="90"/>
      <c r="E7" s="90"/>
      <c r="F7" s="90">
        <v>130</v>
      </c>
      <c r="G7" s="90"/>
      <c r="H7" s="90"/>
      <c r="I7" s="90"/>
      <c r="J7" s="208">
        <f t="shared" si="0"/>
        <v>130</v>
      </c>
    </row>
    <row r="8" spans="1:10" ht="15.75" thickBot="1" x14ac:dyDescent="0.3">
      <c r="A8" s="88"/>
      <c r="B8" s="88"/>
      <c r="C8" s="89"/>
      <c r="D8" s="90"/>
      <c r="E8" s="90"/>
      <c r="F8" s="90"/>
      <c r="G8" s="90"/>
      <c r="H8" s="90"/>
      <c r="I8" s="90"/>
      <c r="J8" s="208">
        <f t="shared" si="0"/>
        <v>0</v>
      </c>
    </row>
    <row r="9" spans="1:10" ht="15.75" thickBot="1" x14ac:dyDescent="0.3">
      <c r="A9" s="88" t="s">
        <v>72</v>
      </c>
      <c r="B9" s="88" t="s">
        <v>73</v>
      </c>
      <c r="C9" s="89">
        <v>46054</v>
      </c>
      <c r="D9" s="90"/>
      <c r="E9" s="90"/>
      <c r="F9" s="90">
        <v>100</v>
      </c>
      <c r="G9" s="90"/>
      <c r="H9" s="90"/>
      <c r="I9" s="90"/>
      <c r="J9" s="208">
        <f t="shared" si="0"/>
        <v>100</v>
      </c>
    </row>
    <row r="10" spans="1:10" ht="15.75" thickBot="1" x14ac:dyDescent="0.3">
      <c r="A10" s="88" t="s">
        <v>76</v>
      </c>
      <c r="B10" s="88" t="s">
        <v>77</v>
      </c>
      <c r="C10" s="89">
        <v>46082</v>
      </c>
      <c r="D10" s="90"/>
      <c r="E10" s="90"/>
      <c r="F10" s="90">
        <v>1000</v>
      </c>
      <c r="G10" s="90"/>
      <c r="H10" s="90"/>
      <c r="I10" s="90"/>
      <c r="J10" s="208">
        <f t="shared" si="0"/>
        <v>1000</v>
      </c>
    </row>
    <row r="11" spans="1:10" ht="15.75" thickBot="1" x14ac:dyDescent="0.3">
      <c r="A11" s="88" t="s">
        <v>74</v>
      </c>
      <c r="B11" s="88" t="s">
        <v>75</v>
      </c>
      <c r="C11" s="89">
        <v>46082</v>
      </c>
      <c r="D11" s="90"/>
      <c r="E11" s="90"/>
      <c r="F11" s="90">
        <v>200</v>
      </c>
      <c r="G11" s="90"/>
      <c r="H11" s="90"/>
      <c r="I11" s="90"/>
      <c r="J11" s="208">
        <f t="shared" si="0"/>
        <v>200</v>
      </c>
    </row>
    <row r="12" spans="1:10" ht="15.75" thickBot="1" x14ac:dyDescent="0.3">
      <c r="A12" s="188" t="s">
        <v>80</v>
      </c>
      <c r="B12" s="88" t="s">
        <v>81</v>
      </c>
      <c r="C12" s="89">
        <v>46023</v>
      </c>
      <c r="D12" s="90"/>
      <c r="E12" s="90"/>
      <c r="F12" s="90">
        <v>150</v>
      </c>
      <c r="G12" s="90"/>
      <c r="H12" s="90"/>
      <c r="I12" s="90"/>
      <c r="J12" s="208">
        <f t="shared" si="0"/>
        <v>150</v>
      </c>
    </row>
    <row r="13" spans="1:10" ht="15.75" thickBot="1" x14ac:dyDescent="0.3">
      <c r="A13" s="502" t="s">
        <v>82</v>
      </c>
      <c r="B13" s="500" t="s">
        <v>83</v>
      </c>
      <c r="C13" s="89">
        <v>46023</v>
      </c>
      <c r="D13" s="90"/>
      <c r="E13" s="90"/>
      <c r="F13" s="90">
        <v>100</v>
      </c>
      <c r="G13" s="90"/>
      <c r="H13" s="90"/>
      <c r="I13" s="90"/>
      <c r="J13" s="208">
        <f t="shared" si="0"/>
        <v>100</v>
      </c>
    </row>
    <row r="14" spans="1:10" ht="15.75" thickBot="1" x14ac:dyDescent="0.3">
      <c r="A14" s="503"/>
      <c r="B14" s="501"/>
      <c r="C14" s="89">
        <v>46054</v>
      </c>
      <c r="D14" s="90"/>
      <c r="E14" s="90"/>
      <c r="F14" s="90">
        <v>100</v>
      </c>
      <c r="G14" s="90"/>
      <c r="H14" s="90"/>
      <c r="I14" s="93"/>
      <c r="J14" s="208">
        <f t="shared" si="0"/>
        <v>100</v>
      </c>
    </row>
    <row r="15" spans="1:10" ht="15.75" thickBot="1" x14ac:dyDescent="0.3">
      <c r="A15" s="88" t="s">
        <v>93</v>
      </c>
      <c r="B15" s="88" t="s">
        <v>94</v>
      </c>
      <c r="C15" s="89">
        <v>46113</v>
      </c>
      <c r="D15" s="90"/>
      <c r="E15" s="90"/>
      <c r="F15" s="90"/>
      <c r="G15" s="90">
        <v>30</v>
      </c>
      <c r="H15" s="90"/>
      <c r="I15" s="90"/>
      <c r="J15" s="208">
        <f t="shared" si="0"/>
        <v>30</v>
      </c>
    </row>
    <row r="16" spans="1:10" ht="15.75" thickBot="1" x14ac:dyDescent="0.3">
      <c r="A16" s="189" t="s">
        <v>38</v>
      </c>
      <c r="B16" s="96" t="s">
        <v>100</v>
      </c>
      <c r="C16" s="89">
        <v>46113</v>
      </c>
      <c r="D16" s="90"/>
      <c r="E16" s="90"/>
      <c r="F16" s="90"/>
      <c r="G16" s="90"/>
      <c r="H16" s="90"/>
      <c r="I16" s="90"/>
      <c r="J16" s="208">
        <f t="shared" si="0"/>
        <v>0</v>
      </c>
    </row>
    <row r="17" spans="1:13" ht="15.75" thickBot="1" x14ac:dyDescent="0.3">
      <c r="A17" s="190"/>
      <c r="B17" s="95"/>
      <c r="C17" s="89"/>
      <c r="D17" s="90"/>
      <c r="E17" s="90"/>
      <c r="F17" s="90"/>
      <c r="G17" s="90"/>
      <c r="H17" s="90">
        <v>72.5</v>
      </c>
      <c r="I17" s="90"/>
      <c r="J17" s="208">
        <f t="shared" si="0"/>
        <v>72.5</v>
      </c>
    </row>
    <row r="18" spans="1:13" ht="15.75" thickBot="1" x14ac:dyDescent="0.3">
      <c r="A18" s="98"/>
      <c r="B18" s="98"/>
      <c r="C18" s="89"/>
      <c r="D18" s="90"/>
      <c r="E18" s="90"/>
      <c r="F18" s="90"/>
      <c r="G18" s="90"/>
      <c r="H18" s="90"/>
      <c r="I18" s="90"/>
      <c r="J18" s="208">
        <f t="shared" si="0"/>
        <v>0</v>
      </c>
    </row>
    <row r="19" spans="1:13" ht="15.75" thickBot="1" x14ac:dyDescent="0.3">
      <c r="A19" s="99"/>
      <c r="B19" s="98"/>
      <c r="C19" s="89"/>
      <c r="D19" s="90"/>
      <c r="E19" s="90"/>
      <c r="F19" s="90"/>
      <c r="G19" s="90"/>
      <c r="H19" s="90"/>
      <c r="I19" s="90"/>
      <c r="J19" s="208">
        <f t="shared" si="0"/>
        <v>0</v>
      </c>
    </row>
    <row r="20" spans="1:13" ht="15.75" thickBot="1" x14ac:dyDescent="0.3">
      <c r="A20" s="99"/>
      <c r="B20" s="98"/>
      <c r="C20" s="89"/>
      <c r="D20" s="90"/>
      <c r="E20" s="90"/>
      <c r="F20" s="90"/>
      <c r="G20" s="90"/>
      <c r="H20" s="90"/>
      <c r="I20" s="90"/>
      <c r="J20" s="208">
        <f t="shared" si="0"/>
        <v>0</v>
      </c>
    </row>
    <row r="21" spans="1:13" ht="15.75" thickBot="1" x14ac:dyDescent="0.3">
      <c r="A21" s="100"/>
      <c r="B21" s="98"/>
      <c r="C21" s="89"/>
      <c r="D21" s="90"/>
      <c r="E21" s="90"/>
      <c r="F21" s="90"/>
      <c r="G21" s="90"/>
      <c r="H21" s="90"/>
      <c r="I21" s="90"/>
      <c r="J21" s="208">
        <f t="shared" si="0"/>
        <v>0</v>
      </c>
    </row>
    <row r="22" spans="1:13" ht="15.75" thickBot="1" x14ac:dyDescent="0.3">
      <c r="A22" s="101"/>
      <c r="B22" s="101"/>
      <c r="C22" s="89"/>
      <c r="D22" s="90"/>
      <c r="E22" s="90"/>
      <c r="F22" s="90"/>
      <c r="G22" s="90"/>
      <c r="H22" s="90"/>
      <c r="I22" s="90"/>
      <c r="J22" s="208">
        <f t="shared" si="0"/>
        <v>0</v>
      </c>
    </row>
    <row r="23" spans="1:13" ht="15.75" thickBot="1" x14ac:dyDescent="0.3">
      <c r="A23" s="98"/>
      <c r="B23" s="102"/>
      <c r="C23" s="103"/>
      <c r="D23" s="104"/>
      <c r="E23" s="104"/>
      <c r="F23" s="104"/>
      <c r="G23" s="104"/>
      <c r="H23" s="104"/>
      <c r="I23" s="104"/>
      <c r="J23" s="208">
        <f t="shared" si="0"/>
        <v>0</v>
      </c>
    </row>
    <row r="24" spans="1:13" ht="19.5" thickBot="1" x14ac:dyDescent="0.35">
      <c r="A24" s="105" t="s">
        <v>4</v>
      </c>
      <c r="B24" s="86"/>
      <c r="C24" s="106"/>
      <c r="D24" s="107">
        <f t="shared" ref="D24:I24" si="1">SUM(D4:D23)</f>
        <v>0</v>
      </c>
      <c r="E24" s="107">
        <f t="shared" si="1"/>
        <v>0</v>
      </c>
      <c r="F24" s="107">
        <f t="shared" si="1"/>
        <v>1780</v>
      </c>
      <c r="G24" s="107">
        <f t="shared" si="1"/>
        <v>90</v>
      </c>
      <c r="H24" s="107">
        <f t="shared" si="1"/>
        <v>72.5</v>
      </c>
      <c r="I24" s="107">
        <f t="shared" si="1"/>
        <v>10</v>
      </c>
      <c r="J24" s="209">
        <f>SUM(J4:J23)</f>
        <v>1952.5</v>
      </c>
    </row>
    <row r="25" spans="1:13" ht="19.5" thickBot="1" x14ac:dyDescent="0.35">
      <c r="A25" s="2"/>
      <c r="B25" s="109"/>
      <c r="C25" s="110"/>
      <c r="D25" s="111"/>
      <c r="E25" s="111"/>
      <c r="F25" s="111"/>
      <c r="G25" s="111"/>
      <c r="H25" s="111"/>
      <c r="I25" s="111"/>
      <c r="J25" s="111"/>
    </row>
    <row r="26" spans="1:13" ht="24" thickBot="1" x14ac:dyDescent="0.4">
      <c r="A26" s="112" t="s">
        <v>40</v>
      </c>
      <c r="B26" s="109"/>
      <c r="C26" s="110"/>
      <c r="D26" s="111"/>
      <c r="E26" s="111"/>
      <c r="F26" s="111"/>
      <c r="G26" s="111"/>
      <c r="H26" s="111"/>
      <c r="I26" s="111"/>
      <c r="J26" s="111"/>
    </row>
    <row r="27" spans="1:13" ht="30.75" thickBot="1" x14ac:dyDescent="0.3">
      <c r="A27" s="113" t="s">
        <v>3</v>
      </c>
      <c r="B27" s="86" t="s">
        <v>32</v>
      </c>
      <c r="C27" s="114" t="s">
        <v>41</v>
      </c>
      <c r="D27" s="114" t="s">
        <v>34</v>
      </c>
      <c r="E27" s="114" t="s">
        <v>35</v>
      </c>
      <c r="F27" s="86" t="s">
        <v>36</v>
      </c>
      <c r="G27" s="86" t="s">
        <v>37</v>
      </c>
      <c r="H27" s="86" t="s">
        <v>42</v>
      </c>
      <c r="I27" s="86" t="s">
        <v>39</v>
      </c>
      <c r="J27" s="115" t="s">
        <v>4</v>
      </c>
    </row>
    <row r="28" spans="1:13" ht="15.75" thickBot="1" x14ac:dyDescent="0.3">
      <c r="A28" s="101" t="s">
        <v>95</v>
      </c>
      <c r="B28" s="103" t="s">
        <v>96</v>
      </c>
      <c r="C28" s="103">
        <v>46082</v>
      </c>
      <c r="D28" s="116"/>
      <c r="E28" s="117"/>
      <c r="F28" s="116">
        <v>500</v>
      </c>
      <c r="G28" s="116"/>
      <c r="H28" s="118"/>
      <c r="I28" s="118"/>
      <c r="J28" s="119">
        <f>SUM(D28:I28)</f>
        <v>500</v>
      </c>
    </row>
    <row r="29" spans="1:13" ht="15.75" thickBot="1" x14ac:dyDescent="0.3">
      <c r="A29" s="101"/>
      <c r="B29" s="103"/>
      <c r="C29" s="103"/>
      <c r="D29" s="116"/>
      <c r="E29" s="116"/>
      <c r="F29" s="116"/>
      <c r="G29" s="116"/>
      <c r="H29" s="118"/>
      <c r="I29" s="118"/>
      <c r="J29" s="119">
        <f t="shared" ref="J29:J31" si="2">SUM(D29:I29)</f>
        <v>0</v>
      </c>
    </row>
    <row r="30" spans="1:13" ht="15.75" thickBot="1" x14ac:dyDescent="0.3">
      <c r="A30" s="101"/>
      <c r="B30" s="98"/>
      <c r="C30" s="89"/>
      <c r="D30" s="120"/>
      <c r="E30" s="120"/>
      <c r="F30" s="120"/>
      <c r="G30" s="120"/>
      <c r="H30" s="90"/>
      <c r="I30" s="90"/>
      <c r="J30" s="119">
        <f t="shared" si="2"/>
        <v>0</v>
      </c>
    </row>
    <row r="31" spans="1:13" ht="15.75" thickBot="1" x14ac:dyDescent="0.3">
      <c r="A31" s="86"/>
      <c r="B31" s="121"/>
      <c r="C31" s="89"/>
      <c r="D31" s="120"/>
      <c r="E31" s="120"/>
      <c r="F31" s="120"/>
      <c r="G31" s="120"/>
      <c r="H31" s="90"/>
      <c r="I31" s="90"/>
      <c r="J31" s="119">
        <f t="shared" si="2"/>
        <v>0</v>
      </c>
      <c r="L31" s="122" t="s">
        <v>43</v>
      </c>
      <c r="M31" s="123">
        <f>J32+J40</f>
        <v>500</v>
      </c>
    </row>
    <row r="32" spans="1:13" ht="15.75" thickBot="1" x14ac:dyDescent="0.3">
      <c r="A32" s="86" t="s">
        <v>4</v>
      </c>
      <c r="B32" s="124"/>
      <c r="C32" s="125"/>
      <c r="D32" s="126"/>
      <c r="E32" s="126"/>
      <c r="F32" s="126"/>
      <c r="G32" s="126"/>
      <c r="H32" s="126"/>
      <c r="I32" s="126"/>
      <c r="J32" s="94">
        <f>SUM(J28:J31)</f>
        <v>500</v>
      </c>
    </row>
    <row r="33" spans="1:13" ht="15.75" thickBot="1" x14ac:dyDescent="0.3">
      <c r="A33" s="109"/>
      <c r="B33" s="127"/>
      <c r="C33" s="128"/>
      <c r="D33" s="129"/>
      <c r="E33" s="129"/>
      <c r="F33" s="129"/>
      <c r="G33" s="129"/>
      <c r="H33" s="129"/>
      <c r="I33" s="129"/>
      <c r="J33" s="130"/>
    </row>
    <row r="34" spans="1:13" ht="24" thickBot="1" x14ac:dyDescent="0.4">
      <c r="A34" s="112" t="s">
        <v>40</v>
      </c>
      <c r="B34" s="109"/>
      <c r="C34" s="110"/>
      <c r="D34" s="111"/>
      <c r="E34" s="111"/>
      <c r="F34" s="111"/>
      <c r="G34" s="111"/>
      <c r="H34" s="111"/>
      <c r="I34" s="111"/>
      <c r="J34" s="111"/>
    </row>
    <row r="35" spans="1:13" ht="45.75" thickBot="1" x14ac:dyDescent="0.3">
      <c r="A35" s="131" t="s">
        <v>44</v>
      </c>
      <c r="B35" s="86" t="s">
        <v>45</v>
      </c>
      <c r="C35" s="114" t="s">
        <v>41</v>
      </c>
      <c r="D35" s="114" t="s">
        <v>34</v>
      </c>
      <c r="E35" s="114" t="s">
        <v>35</v>
      </c>
      <c r="F35" s="114" t="s">
        <v>46</v>
      </c>
      <c r="G35" s="114" t="s">
        <v>47</v>
      </c>
      <c r="H35" s="114" t="s">
        <v>42</v>
      </c>
      <c r="I35" s="132" t="s">
        <v>48</v>
      </c>
      <c r="J35" s="115" t="s">
        <v>4</v>
      </c>
    </row>
    <row r="36" spans="1:13" ht="15.75" thickBot="1" x14ac:dyDescent="0.3">
      <c r="A36" s="133"/>
      <c r="B36" s="99"/>
      <c r="C36" s="89"/>
      <c r="D36" s="90"/>
      <c r="E36" s="90"/>
      <c r="F36" s="90"/>
      <c r="G36" s="90"/>
      <c r="H36" s="90"/>
      <c r="I36" s="90"/>
      <c r="J36" s="87">
        <f t="shared" ref="J36:J39" si="3">SUM(D36:I36)</f>
        <v>0</v>
      </c>
    </row>
    <row r="37" spans="1:13" ht="15.75" thickBot="1" x14ac:dyDescent="0.3">
      <c r="A37" s="95"/>
      <c r="B37" s="103"/>
      <c r="C37" s="89"/>
      <c r="D37" s="116"/>
      <c r="E37" s="116"/>
      <c r="F37" s="116"/>
      <c r="G37" s="116"/>
      <c r="H37" s="118"/>
      <c r="I37" s="118"/>
      <c r="J37" s="119">
        <f t="shared" si="3"/>
        <v>0</v>
      </c>
    </row>
    <row r="38" spans="1:13" ht="15.75" thickBot="1" x14ac:dyDescent="0.3">
      <c r="A38" s="101"/>
      <c r="B38" s="98"/>
      <c r="C38" s="89"/>
      <c r="D38" s="120"/>
      <c r="E38" s="120"/>
      <c r="F38" s="120"/>
      <c r="G38" s="120"/>
      <c r="H38" s="90"/>
      <c r="I38" s="90"/>
      <c r="J38" s="119">
        <f t="shared" si="3"/>
        <v>0</v>
      </c>
    </row>
    <row r="39" spans="1:13" ht="15.75" thickBot="1" x14ac:dyDescent="0.3">
      <c r="A39" s="86"/>
      <c r="B39" s="121"/>
      <c r="C39" s="89"/>
      <c r="D39" s="120"/>
      <c r="E39" s="120"/>
      <c r="F39" s="120"/>
      <c r="G39" s="120"/>
      <c r="H39" s="90"/>
      <c r="I39" s="90"/>
      <c r="J39" s="119">
        <f t="shared" si="3"/>
        <v>0</v>
      </c>
      <c r="L39" s="134"/>
      <c r="M39" s="135"/>
    </row>
    <row r="40" spans="1:13" ht="15.75" thickBot="1" x14ac:dyDescent="0.3">
      <c r="A40" s="86" t="s">
        <v>4</v>
      </c>
      <c r="B40" s="124"/>
      <c r="C40" s="125"/>
      <c r="D40" s="126"/>
      <c r="E40" s="126"/>
      <c r="F40" s="126"/>
      <c r="G40" s="126"/>
      <c r="H40" s="126"/>
      <c r="I40" s="126"/>
      <c r="J40" s="94">
        <f>SUM(J36:J39)</f>
        <v>0</v>
      </c>
    </row>
    <row r="41" spans="1:13" x14ac:dyDescent="0.25">
      <c r="A41" s="109"/>
      <c r="B41" s="127"/>
      <c r="C41" s="128"/>
      <c r="D41" s="129"/>
      <c r="E41" s="129"/>
      <c r="F41" s="129"/>
      <c r="G41" s="129"/>
      <c r="H41" s="129"/>
      <c r="I41" s="129"/>
      <c r="J41" s="130"/>
    </row>
    <row r="42" spans="1:13" x14ac:dyDescent="0.25">
      <c r="A42" s="109"/>
      <c r="B42" s="127"/>
      <c r="C42" s="128"/>
      <c r="D42" s="129"/>
      <c r="E42" s="129"/>
      <c r="F42" s="129"/>
      <c r="G42" s="129"/>
      <c r="H42" s="129"/>
      <c r="I42" s="129"/>
      <c r="J42" s="130"/>
    </row>
    <row r="43" spans="1:13" ht="15.75" thickBot="1" x14ac:dyDescent="0.3">
      <c r="A43" s="84"/>
      <c r="B43" s="84"/>
      <c r="C43" s="84"/>
      <c r="J43" s="85"/>
    </row>
    <row r="44" spans="1:13" ht="45.75" thickBot="1" x14ac:dyDescent="0.3">
      <c r="A44" s="114" t="s">
        <v>49</v>
      </c>
      <c r="B44" s="86" t="s">
        <v>45</v>
      </c>
      <c r="C44" s="114" t="s">
        <v>41</v>
      </c>
      <c r="D44" s="114" t="s">
        <v>34</v>
      </c>
      <c r="E44" s="114" t="s">
        <v>35</v>
      </c>
      <c r="F44" s="114" t="s">
        <v>46</v>
      </c>
      <c r="G44" s="114" t="s">
        <v>47</v>
      </c>
      <c r="H44" s="86" t="s">
        <v>48</v>
      </c>
      <c r="I44" s="132" t="s">
        <v>42</v>
      </c>
      <c r="J44" s="115" t="s">
        <v>4</v>
      </c>
    </row>
    <row r="45" spans="1:13" ht="15.75" thickBot="1" x14ac:dyDescent="0.3">
      <c r="A45" s="121"/>
      <c r="B45" s="103"/>
      <c r="C45" s="103"/>
      <c r="D45" s="118"/>
      <c r="E45" s="136"/>
      <c r="F45" s="118"/>
      <c r="G45" s="118"/>
      <c r="H45" s="118"/>
      <c r="I45" s="118"/>
      <c r="J45" s="119">
        <f>SUM(D45:I45)</f>
        <v>0</v>
      </c>
    </row>
    <row r="46" spans="1:13" ht="15.75" thickBot="1" x14ac:dyDescent="0.3">
      <c r="A46" s="121"/>
      <c r="B46" s="103"/>
      <c r="C46" s="103"/>
      <c r="D46" s="118"/>
      <c r="E46" s="118"/>
      <c r="F46" s="118"/>
      <c r="G46" s="118"/>
      <c r="H46" s="118"/>
      <c r="I46" s="118"/>
      <c r="J46" s="119">
        <f t="shared" ref="J46:J58" si="4">SUM(D46:I46)</f>
        <v>0</v>
      </c>
    </row>
    <row r="47" spans="1:13" ht="15.75" thickBot="1" x14ac:dyDescent="0.3">
      <c r="A47" s="98"/>
      <c r="B47" s="103"/>
      <c r="C47" s="103"/>
      <c r="D47" s="118"/>
      <c r="E47" s="118"/>
      <c r="F47" s="118"/>
      <c r="G47" s="118"/>
      <c r="H47" s="118"/>
      <c r="I47" s="118"/>
      <c r="J47" s="119">
        <f t="shared" si="4"/>
        <v>0</v>
      </c>
    </row>
    <row r="48" spans="1:13" ht="15.75" thickBot="1" x14ac:dyDescent="0.3">
      <c r="A48" s="121"/>
      <c r="B48" s="103"/>
      <c r="C48" s="103"/>
      <c r="D48" s="118"/>
      <c r="E48" s="118"/>
      <c r="F48" s="118"/>
      <c r="G48" s="118"/>
      <c r="H48" s="118"/>
      <c r="I48" s="118"/>
      <c r="J48" s="119">
        <f t="shared" si="4"/>
        <v>0</v>
      </c>
    </row>
    <row r="49" spans="1:10" ht="15.75" thickBot="1" x14ac:dyDescent="0.3">
      <c r="A49" s="121"/>
      <c r="B49" s="103"/>
      <c r="C49" s="103"/>
      <c r="D49" s="118"/>
      <c r="E49" s="118"/>
      <c r="F49" s="118"/>
      <c r="G49" s="118"/>
      <c r="H49" s="118"/>
      <c r="I49" s="118"/>
      <c r="J49" s="119">
        <f t="shared" si="4"/>
        <v>0</v>
      </c>
    </row>
    <row r="50" spans="1:10" ht="15.75" thickBot="1" x14ac:dyDescent="0.3">
      <c r="A50" s="98"/>
      <c r="B50" s="103"/>
      <c r="C50" s="103"/>
      <c r="D50" s="118"/>
      <c r="E50" s="118"/>
      <c r="F50" s="118"/>
      <c r="G50" s="118"/>
      <c r="H50" s="118"/>
      <c r="I50" s="118"/>
      <c r="J50" s="119">
        <f t="shared" si="4"/>
        <v>0</v>
      </c>
    </row>
    <row r="51" spans="1:10" ht="15.75" thickBot="1" x14ac:dyDescent="0.3">
      <c r="A51" s="98"/>
      <c r="B51" s="103"/>
      <c r="C51" s="103"/>
      <c r="D51" s="118"/>
      <c r="E51" s="118"/>
      <c r="F51" s="118"/>
      <c r="G51" s="118"/>
      <c r="H51" s="118"/>
      <c r="I51" s="118"/>
      <c r="J51" s="119">
        <f t="shared" si="4"/>
        <v>0</v>
      </c>
    </row>
    <row r="52" spans="1:10" ht="15.75" thickBot="1" x14ac:dyDescent="0.3">
      <c r="A52" s="98"/>
      <c r="B52" s="103"/>
      <c r="C52" s="103"/>
      <c r="D52" s="118"/>
      <c r="E52" s="118"/>
      <c r="F52" s="118"/>
      <c r="G52" s="118"/>
      <c r="H52" s="118"/>
      <c r="I52" s="118"/>
      <c r="J52" s="119">
        <f t="shared" si="4"/>
        <v>0</v>
      </c>
    </row>
    <row r="53" spans="1:10" ht="15.75" thickBot="1" x14ac:dyDescent="0.3">
      <c r="A53" s="98"/>
      <c r="B53" s="103"/>
      <c r="C53" s="103"/>
      <c r="D53" s="118"/>
      <c r="E53" s="118"/>
      <c r="F53" s="118"/>
      <c r="G53" s="118"/>
      <c r="H53" s="118"/>
      <c r="I53" s="118"/>
      <c r="J53" s="119">
        <f t="shared" si="4"/>
        <v>0</v>
      </c>
    </row>
    <row r="54" spans="1:10" ht="15.75" thickBot="1" x14ac:dyDescent="0.3">
      <c r="A54" s="98"/>
      <c r="B54" s="103"/>
      <c r="C54" s="103"/>
      <c r="D54" s="118"/>
      <c r="E54" s="118"/>
      <c r="F54" s="118"/>
      <c r="G54" s="118"/>
      <c r="H54" s="118"/>
      <c r="I54" s="118"/>
      <c r="J54" s="119">
        <f t="shared" si="4"/>
        <v>0</v>
      </c>
    </row>
    <row r="55" spans="1:10" ht="15.75" thickBot="1" x14ac:dyDescent="0.3">
      <c r="A55" s="137"/>
      <c r="B55" s="103"/>
      <c r="C55" s="103"/>
      <c r="D55" s="118"/>
      <c r="E55" s="118"/>
      <c r="F55" s="118"/>
      <c r="G55" s="118"/>
      <c r="H55" s="118"/>
      <c r="I55" s="118"/>
      <c r="J55" s="119">
        <f t="shared" si="4"/>
        <v>0</v>
      </c>
    </row>
    <row r="56" spans="1:10" ht="15.75" thickBot="1" x14ac:dyDescent="0.3">
      <c r="A56" s="121"/>
      <c r="B56" s="103"/>
      <c r="C56" s="103"/>
      <c r="D56" s="118"/>
      <c r="F56" s="118"/>
      <c r="G56" s="118"/>
      <c r="H56" s="118"/>
      <c r="I56" s="118"/>
      <c r="J56" s="119">
        <f t="shared" si="4"/>
        <v>0</v>
      </c>
    </row>
    <row r="57" spans="1:10" ht="15.75" thickBot="1" x14ac:dyDescent="0.3">
      <c r="A57" s="121"/>
      <c r="B57" s="103"/>
      <c r="C57" s="103"/>
      <c r="D57" s="118"/>
      <c r="E57" s="118"/>
      <c r="F57" s="118"/>
      <c r="G57" s="118"/>
      <c r="H57" s="118"/>
      <c r="I57" s="118"/>
      <c r="J57" s="119">
        <f t="shared" si="4"/>
        <v>0</v>
      </c>
    </row>
    <row r="58" spans="1:10" ht="15.75" thickBot="1" x14ac:dyDescent="0.3">
      <c r="A58" s="121"/>
      <c r="B58" s="103"/>
      <c r="C58" s="103"/>
      <c r="D58" s="138"/>
      <c r="E58" s="138"/>
      <c r="F58" s="138"/>
      <c r="G58" s="138"/>
      <c r="H58" s="138"/>
      <c r="I58" s="138"/>
      <c r="J58" s="119">
        <f t="shared" si="4"/>
        <v>0</v>
      </c>
    </row>
    <row r="59" spans="1:10" ht="19.5" thickBot="1" x14ac:dyDescent="0.35">
      <c r="A59" s="105" t="s">
        <v>4</v>
      </c>
      <c r="B59" s="86"/>
      <c r="C59" s="106"/>
      <c r="D59" s="107">
        <f t="shared" ref="D59:J59" si="5">SUM(D45:D58)</f>
        <v>0</v>
      </c>
      <c r="E59" s="107">
        <f t="shared" si="5"/>
        <v>0</v>
      </c>
      <c r="F59" s="107">
        <f t="shared" si="5"/>
        <v>0</v>
      </c>
      <c r="G59" s="107">
        <f t="shared" si="5"/>
        <v>0</v>
      </c>
      <c r="H59" s="107">
        <f t="shared" si="5"/>
        <v>0</v>
      </c>
      <c r="I59" s="107">
        <f t="shared" si="5"/>
        <v>0</v>
      </c>
      <c r="J59" s="107">
        <f t="shared" si="5"/>
        <v>0</v>
      </c>
    </row>
    <row r="60" spans="1:10" ht="15.75" x14ac:dyDescent="0.25">
      <c r="A60" s="139"/>
      <c r="B60" s="139"/>
      <c r="C60" s="140"/>
      <c r="D60" s="141"/>
      <c r="E60" s="141"/>
      <c r="F60" s="141"/>
      <c r="G60" s="141"/>
      <c r="H60" s="141"/>
      <c r="I60" s="141"/>
      <c r="J60" s="141"/>
    </row>
    <row r="61" spans="1:10" ht="16.5" thickBot="1" x14ac:dyDescent="0.3">
      <c r="A61" s="139"/>
      <c r="B61" s="139"/>
      <c r="C61" s="140"/>
      <c r="D61" s="141"/>
      <c r="E61" s="141"/>
      <c r="F61" s="141"/>
      <c r="G61" s="141"/>
      <c r="H61" s="141"/>
      <c r="I61" s="141"/>
      <c r="J61" s="141"/>
    </row>
    <row r="62" spans="1:10" ht="19.5" thickBot="1" x14ac:dyDescent="0.35">
      <c r="A62" s="492" t="s">
        <v>50</v>
      </c>
      <c r="B62" s="493"/>
      <c r="C62" s="142"/>
      <c r="D62" s="143"/>
      <c r="E62" s="143"/>
      <c r="F62" s="143"/>
      <c r="G62" s="143"/>
      <c r="H62" s="143"/>
      <c r="I62" s="143"/>
      <c r="J62" s="108">
        <f>+J24+J59</f>
        <v>1952.5</v>
      </c>
    </row>
    <row r="63" spans="1:10" x14ac:dyDescent="0.25">
      <c r="A63" s="84"/>
      <c r="B63" s="84"/>
      <c r="C63" s="144"/>
      <c r="D63" s="85"/>
      <c r="E63" s="85"/>
      <c r="F63" s="85"/>
      <c r="G63" s="85"/>
      <c r="H63" s="85"/>
      <c r="I63" s="85"/>
      <c r="J63" s="85"/>
    </row>
    <row r="64" spans="1:10" x14ac:dyDescent="0.25">
      <c r="A64" s="84"/>
      <c r="B64" s="84"/>
      <c r="C64" s="144"/>
      <c r="D64" s="85"/>
      <c r="E64" s="85"/>
      <c r="F64" s="85"/>
      <c r="G64" s="85"/>
      <c r="H64" s="85"/>
      <c r="I64" s="85"/>
      <c r="J64" s="85"/>
    </row>
    <row r="65" spans="1:10" ht="16.5" thickBot="1" x14ac:dyDescent="0.3">
      <c r="A65" s="145" t="s">
        <v>51</v>
      </c>
      <c r="B65" s="84"/>
      <c r="C65" s="144"/>
      <c r="D65" s="85"/>
      <c r="E65" s="85"/>
      <c r="F65" s="85"/>
      <c r="G65" s="85"/>
      <c r="H65" s="85"/>
      <c r="I65" s="85"/>
      <c r="J65" s="85"/>
    </row>
    <row r="66" spans="1:10" ht="19.5" thickBot="1" x14ac:dyDescent="0.35">
      <c r="A66" s="146" t="s">
        <v>52</v>
      </c>
      <c r="B66" s="147"/>
      <c r="C66" s="148"/>
      <c r="D66" s="149"/>
      <c r="E66" s="149"/>
      <c r="F66" s="149"/>
      <c r="G66" s="149"/>
      <c r="H66" s="149"/>
      <c r="I66" s="149"/>
      <c r="J66" s="108"/>
    </row>
    <row r="67" spans="1:10" ht="19.5" thickBot="1" x14ac:dyDescent="0.35">
      <c r="A67" s="146" t="s">
        <v>53</v>
      </c>
      <c r="B67" s="147"/>
      <c r="C67" s="150"/>
      <c r="D67" s="149"/>
      <c r="E67" s="149"/>
      <c r="F67" s="149"/>
      <c r="G67" s="149"/>
      <c r="H67" s="149"/>
      <c r="I67" s="149"/>
      <c r="J67" s="108"/>
    </row>
    <row r="68" spans="1:10" ht="18.75" x14ac:dyDescent="0.3">
      <c r="A68" s="151"/>
      <c r="B68" s="151"/>
      <c r="C68" s="152"/>
      <c r="D68" s="153"/>
      <c r="E68" s="153"/>
      <c r="F68" s="153"/>
      <c r="G68" s="153"/>
      <c r="H68" s="153"/>
      <c r="I68" s="153"/>
      <c r="J68" s="111"/>
    </row>
    <row r="69" spans="1:10" ht="18.75" x14ac:dyDescent="0.3">
      <c r="A69" s="151"/>
      <c r="B69" s="151"/>
      <c r="C69" s="152"/>
      <c r="D69" s="153"/>
      <c r="E69" s="153"/>
      <c r="F69" s="153"/>
      <c r="G69" s="153"/>
      <c r="H69" s="153"/>
      <c r="I69" s="153"/>
      <c r="J69" s="111"/>
    </row>
    <row r="70" spans="1:10" ht="16.5" thickBot="1" x14ac:dyDescent="0.3">
      <c r="A70" s="154" t="s">
        <v>54</v>
      </c>
      <c r="B70" s="155"/>
      <c r="C70" s="144"/>
      <c r="D70" s="85"/>
      <c r="E70" s="85"/>
      <c r="F70" s="85"/>
      <c r="G70" s="85"/>
      <c r="H70" s="85"/>
      <c r="I70" s="85"/>
      <c r="J70" s="85"/>
    </row>
    <row r="71" spans="1:10" ht="19.5" thickBot="1" x14ac:dyDescent="0.35">
      <c r="A71" s="156" t="s">
        <v>55</v>
      </c>
      <c r="B71" s="157"/>
      <c r="C71" s="158"/>
      <c r="D71" s="159"/>
      <c r="E71" s="159"/>
      <c r="F71" s="159"/>
      <c r="G71" s="159"/>
      <c r="H71" s="159"/>
      <c r="I71" s="159"/>
      <c r="J71" s="160">
        <v>501.5</v>
      </c>
    </row>
    <row r="72" spans="1:10" x14ac:dyDescent="0.25">
      <c r="A72" s="161"/>
      <c r="B72" s="84"/>
      <c r="C72" s="144"/>
      <c r="D72" s="85"/>
      <c r="E72" s="85"/>
      <c r="F72" s="85"/>
      <c r="G72" s="85"/>
      <c r="H72" s="85"/>
      <c r="I72" s="85"/>
      <c r="J72" s="85"/>
    </row>
    <row r="73" spans="1:10" ht="16.5" thickBot="1" x14ac:dyDescent="0.3">
      <c r="A73" s="154"/>
      <c r="B73" s="155"/>
      <c r="C73" s="144"/>
      <c r="D73" s="85"/>
      <c r="E73" s="85"/>
      <c r="F73" s="85"/>
      <c r="G73" s="85"/>
      <c r="H73" s="85"/>
      <c r="I73" s="85"/>
      <c r="J73" s="85"/>
    </row>
    <row r="74" spans="1:10" ht="19.5" thickBot="1" x14ac:dyDescent="0.35">
      <c r="A74" s="156" t="s">
        <v>56</v>
      </c>
      <c r="B74" s="157"/>
      <c r="C74" s="162"/>
      <c r="D74" s="159"/>
      <c r="E74" s="159"/>
      <c r="F74" s="159"/>
      <c r="G74" s="159"/>
      <c r="H74" s="159"/>
      <c r="I74" s="159"/>
      <c r="J74" s="163"/>
    </row>
    <row r="75" spans="1:10" ht="15.75" thickBot="1" x14ac:dyDescent="0.3">
      <c r="A75" s="161"/>
      <c r="B75" s="84"/>
      <c r="C75" s="144"/>
      <c r="D75" s="85"/>
      <c r="E75" s="85"/>
      <c r="F75" s="85"/>
      <c r="G75" s="85"/>
      <c r="H75" s="85"/>
      <c r="I75" s="85"/>
      <c r="J75" s="85"/>
    </row>
    <row r="76" spans="1:10" ht="21.75" thickBot="1" x14ac:dyDescent="0.4">
      <c r="A76" s="494" t="s">
        <v>57</v>
      </c>
      <c r="B76" s="495"/>
      <c r="C76" s="164"/>
      <c r="D76" s="165"/>
      <c r="E76" s="165"/>
      <c r="F76" s="165"/>
      <c r="G76" s="165"/>
      <c r="H76" s="165"/>
      <c r="I76" s="165"/>
      <c r="J76" s="166">
        <f>SUM(J62:J75)</f>
        <v>2454</v>
      </c>
    </row>
    <row r="77" spans="1:10" x14ac:dyDescent="0.25">
      <c r="A77" s="84"/>
      <c r="B77" s="84"/>
      <c r="C77" s="144"/>
      <c r="D77" s="85"/>
      <c r="E77" s="85"/>
      <c r="F77" s="85"/>
      <c r="G77" s="85"/>
      <c r="H77" s="85"/>
      <c r="I77" s="85"/>
      <c r="J77" s="85"/>
    </row>
    <row r="78" spans="1:10" ht="21" x14ac:dyDescent="0.35">
      <c r="A78" s="491" t="s">
        <v>64</v>
      </c>
      <c r="B78" s="491"/>
      <c r="C78" s="491"/>
      <c r="D78" s="491"/>
      <c r="E78" s="491"/>
      <c r="F78" s="491"/>
      <c r="G78" s="491"/>
      <c r="H78" s="491"/>
      <c r="I78" s="491"/>
      <c r="J78" s="491"/>
    </row>
    <row r="79" spans="1:10" ht="21.75" thickBot="1" x14ac:dyDescent="0.4">
      <c r="A79" s="167" t="s">
        <v>10</v>
      </c>
      <c r="B79" s="167"/>
      <c r="C79" s="167"/>
      <c r="D79" s="167"/>
      <c r="E79" s="167"/>
      <c r="F79" s="167"/>
      <c r="G79" s="167"/>
      <c r="H79" s="167"/>
      <c r="I79" s="167"/>
      <c r="J79" s="168"/>
    </row>
    <row r="80" spans="1:10" ht="15.75" thickBot="1" x14ac:dyDescent="0.3">
      <c r="A80" s="169" t="s">
        <v>58</v>
      </c>
      <c r="B80" s="170" t="s">
        <v>59</v>
      </c>
      <c r="C80" s="496" t="s">
        <v>33</v>
      </c>
      <c r="D80" s="497"/>
      <c r="E80" s="497"/>
      <c r="F80" s="497"/>
      <c r="G80" s="497"/>
      <c r="H80" s="497"/>
      <c r="I80" s="498"/>
      <c r="J80" s="171" t="s">
        <v>4</v>
      </c>
    </row>
    <row r="81" spans="1:10" ht="15.75" thickBot="1" x14ac:dyDescent="0.3">
      <c r="A81" s="172" t="s">
        <v>84</v>
      </c>
      <c r="B81" s="173" t="s">
        <v>86</v>
      </c>
      <c r="C81" s="488" t="s">
        <v>85</v>
      </c>
      <c r="D81" s="489"/>
      <c r="E81" s="489"/>
      <c r="F81" s="489"/>
      <c r="G81" s="489"/>
      <c r="H81" s="489"/>
      <c r="I81" s="489"/>
      <c r="J81" s="104">
        <v>450</v>
      </c>
    </row>
    <row r="82" spans="1:10" ht="15.75" thickBot="1" x14ac:dyDescent="0.3">
      <c r="A82" s="121" t="s">
        <v>97</v>
      </c>
      <c r="B82" s="173" t="s">
        <v>99</v>
      </c>
      <c r="C82" s="488" t="s">
        <v>98</v>
      </c>
      <c r="D82" s="489"/>
      <c r="E82" s="489"/>
      <c r="F82" s="489"/>
      <c r="G82" s="489"/>
      <c r="H82" s="490"/>
      <c r="I82" s="490"/>
      <c r="J82" s="104">
        <v>50</v>
      </c>
    </row>
    <row r="83" spans="1:10" ht="15.75" thickBot="1" x14ac:dyDescent="0.3">
      <c r="A83" s="485" t="s">
        <v>89</v>
      </c>
      <c r="B83" s="173">
        <v>14636</v>
      </c>
      <c r="C83" s="488" t="s">
        <v>90</v>
      </c>
      <c r="D83" s="489"/>
      <c r="E83" s="489"/>
      <c r="F83" s="489"/>
      <c r="G83" s="489"/>
      <c r="H83" s="490"/>
      <c r="I83" s="490"/>
      <c r="J83" s="104">
        <v>27.5</v>
      </c>
    </row>
    <row r="84" spans="1:10" ht="15.75" thickBot="1" x14ac:dyDescent="0.3">
      <c r="A84" s="486"/>
      <c r="B84" s="173">
        <v>14637</v>
      </c>
      <c r="C84" s="504" t="s">
        <v>91</v>
      </c>
      <c r="D84" s="505"/>
      <c r="E84" s="505"/>
      <c r="F84" s="505"/>
      <c r="G84" s="505"/>
      <c r="H84" s="505"/>
      <c r="I84" s="505"/>
      <c r="J84" s="174">
        <v>11</v>
      </c>
    </row>
    <row r="85" spans="1:10" ht="15.75" thickBot="1" x14ac:dyDescent="0.3">
      <c r="A85" s="487"/>
      <c r="B85" s="173">
        <v>14638</v>
      </c>
      <c r="C85" s="488" t="s">
        <v>92</v>
      </c>
      <c r="D85" s="489"/>
      <c r="E85" s="489"/>
      <c r="F85" s="489"/>
      <c r="G85" s="489"/>
      <c r="H85" s="490"/>
      <c r="I85" s="490"/>
      <c r="J85" s="104">
        <v>5.5</v>
      </c>
    </row>
    <row r="86" spans="1:10" ht="15.75" thickBot="1" x14ac:dyDescent="0.3">
      <c r="A86" s="121"/>
      <c r="B86" s="173"/>
      <c r="C86" s="488"/>
      <c r="D86" s="489"/>
      <c r="E86" s="489"/>
      <c r="F86" s="489"/>
      <c r="G86" s="489"/>
      <c r="H86" s="490"/>
      <c r="I86" s="490"/>
      <c r="J86" s="104"/>
    </row>
    <row r="87" spans="1:10" ht="15.75" thickBot="1" x14ac:dyDescent="0.3">
      <c r="A87" s="121"/>
      <c r="B87" s="173"/>
      <c r="C87" s="488"/>
      <c r="D87" s="489"/>
      <c r="E87" s="489"/>
      <c r="F87" s="489"/>
      <c r="G87" s="489"/>
      <c r="H87" s="490"/>
      <c r="I87" s="490"/>
      <c r="J87" s="104"/>
    </row>
    <row r="88" spans="1:10" ht="15.75" thickBot="1" x14ac:dyDescent="0.3">
      <c r="A88" s="121"/>
      <c r="B88" s="173"/>
      <c r="C88" s="488"/>
      <c r="D88" s="489"/>
      <c r="E88" s="489"/>
      <c r="F88" s="489"/>
      <c r="G88" s="489"/>
      <c r="H88" s="490"/>
      <c r="I88" s="490"/>
      <c r="J88" s="104"/>
    </row>
    <row r="89" spans="1:10" ht="15.75" thickBot="1" x14ac:dyDescent="0.3">
      <c r="A89" s="121"/>
      <c r="B89" s="173"/>
      <c r="C89" s="488"/>
      <c r="D89" s="489"/>
      <c r="E89" s="489"/>
      <c r="F89" s="489"/>
      <c r="G89" s="489"/>
      <c r="H89" s="490"/>
      <c r="I89" s="490"/>
      <c r="J89" s="104"/>
    </row>
    <row r="90" spans="1:10" ht="15.75" thickBot="1" x14ac:dyDescent="0.3">
      <c r="A90" s="121"/>
      <c r="B90" s="173"/>
      <c r="C90" s="488"/>
      <c r="D90" s="489"/>
      <c r="E90" s="489"/>
      <c r="F90" s="489"/>
      <c r="G90" s="489"/>
      <c r="H90" s="490"/>
      <c r="I90" s="490"/>
      <c r="J90" s="118"/>
    </row>
    <row r="91" spans="1:10" ht="15.75" thickBot="1" x14ac:dyDescent="0.3">
      <c r="A91" s="121"/>
      <c r="B91" s="173"/>
      <c r="C91" s="488"/>
      <c r="D91" s="489"/>
      <c r="E91" s="489"/>
      <c r="F91" s="489"/>
      <c r="G91" s="489"/>
      <c r="H91" s="490"/>
      <c r="I91" s="490"/>
      <c r="J91" s="118"/>
    </row>
    <row r="92" spans="1:10" ht="15.75" thickBot="1" x14ac:dyDescent="0.3">
      <c r="A92" s="121"/>
      <c r="B92" s="173"/>
      <c r="C92" s="488"/>
      <c r="D92" s="489"/>
      <c r="E92" s="489"/>
      <c r="F92" s="489"/>
      <c r="G92" s="489"/>
      <c r="H92" s="490"/>
      <c r="I92" s="490"/>
      <c r="J92" s="118"/>
    </row>
    <row r="93" spans="1:10" ht="15.75" thickBot="1" x14ac:dyDescent="0.3">
      <c r="A93" s="121"/>
      <c r="B93" s="173"/>
      <c r="C93" s="488"/>
      <c r="D93" s="489"/>
      <c r="E93" s="489"/>
      <c r="F93" s="489"/>
      <c r="G93" s="489"/>
      <c r="H93" s="490"/>
      <c r="I93" s="490"/>
      <c r="J93" s="118"/>
    </row>
    <row r="94" spans="1:10" ht="15.75" thickBot="1" x14ac:dyDescent="0.3">
      <c r="A94" s="121"/>
      <c r="B94" s="173"/>
      <c r="C94" s="488"/>
      <c r="D94" s="489"/>
      <c r="E94" s="489"/>
      <c r="F94" s="489"/>
      <c r="G94" s="489"/>
      <c r="H94" s="490"/>
      <c r="I94" s="490"/>
      <c r="J94" s="118"/>
    </row>
    <row r="95" spans="1:10" ht="19.5" thickBot="1" x14ac:dyDescent="0.35">
      <c r="A95" s="175" t="s">
        <v>60</v>
      </c>
      <c r="B95" s="492"/>
      <c r="C95" s="499"/>
      <c r="D95" s="499"/>
      <c r="E95" s="499"/>
      <c r="F95" s="499"/>
      <c r="G95" s="499"/>
      <c r="H95" s="499"/>
      <c r="I95" s="499"/>
      <c r="J95" s="176">
        <f>SUM(J81:J94)</f>
        <v>544</v>
      </c>
    </row>
    <row r="96" spans="1:10" ht="18.75" x14ac:dyDescent="0.3">
      <c r="A96" s="2"/>
      <c r="B96" s="2"/>
      <c r="C96" s="177"/>
      <c r="D96" s="177"/>
      <c r="E96" s="177"/>
      <c r="F96" s="178"/>
      <c r="G96" s="177"/>
      <c r="H96" s="177"/>
      <c r="I96" s="177"/>
      <c r="J96" s="111"/>
    </row>
    <row r="97" spans="1:10" ht="18.75" x14ac:dyDescent="0.3">
      <c r="A97" s="2"/>
      <c r="B97" s="2"/>
      <c r="C97" s="177"/>
      <c r="D97" s="177"/>
      <c r="E97" s="177"/>
      <c r="F97" s="178"/>
      <c r="G97" s="177"/>
      <c r="H97" s="177"/>
      <c r="I97" s="177"/>
      <c r="J97" s="111"/>
    </row>
    <row r="98" spans="1:10" ht="18.75" x14ac:dyDescent="0.3">
      <c r="A98" s="139" t="s">
        <v>61</v>
      </c>
      <c r="B98" s="2"/>
      <c r="C98" s="84"/>
      <c r="D98" s="85"/>
      <c r="F98" s="85"/>
      <c r="J98" s="85"/>
    </row>
    <row r="99" spans="1:10" x14ac:dyDescent="0.25">
      <c r="A99" s="84" t="s">
        <v>62</v>
      </c>
      <c r="B99" s="144">
        <f>+J76</f>
        <v>2454</v>
      </c>
      <c r="C99" s="179"/>
      <c r="D99" s="85"/>
      <c r="F99" s="85"/>
      <c r="J99" s="85"/>
    </row>
    <row r="100" spans="1:10" ht="15.75" thickBot="1" x14ac:dyDescent="0.3">
      <c r="A100" s="84" t="s">
        <v>60</v>
      </c>
      <c r="B100" s="180">
        <f>+J95</f>
        <v>544</v>
      </c>
      <c r="C100" s="181"/>
      <c r="D100" s="85"/>
      <c r="F100" s="85"/>
      <c r="G100" s="182"/>
      <c r="H100" s="182"/>
      <c r="I100" s="183"/>
      <c r="J100" s="183"/>
    </row>
    <row r="101" spans="1:10" ht="17.25" thickTop="1" thickBot="1" x14ac:dyDescent="0.3">
      <c r="A101" s="139" t="s">
        <v>8</v>
      </c>
      <c r="B101" s="184">
        <f>++B99-B100</f>
        <v>1910</v>
      </c>
      <c r="C101" s="185"/>
      <c r="D101" s="186"/>
      <c r="E101" s="41"/>
      <c r="F101" s="186"/>
      <c r="G101" s="187"/>
      <c r="H101" s="187"/>
      <c r="I101" s="85"/>
    </row>
    <row r="102" spans="1:10" ht="15.75" thickTop="1" x14ac:dyDescent="0.25"/>
  </sheetData>
  <mergeCells count="23">
    <mergeCell ref="B95:I95"/>
    <mergeCell ref="B13:B14"/>
    <mergeCell ref="A13:A14"/>
    <mergeCell ref="C89:I89"/>
    <mergeCell ref="C90:I90"/>
    <mergeCell ref="C91:I91"/>
    <mergeCell ref="C92:I92"/>
    <mergeCell ref="C93:I93"/>
    <mergeCell ref="C94:I94"/>
    <mergeCell ref="C83:I83"/>
    <mergeCell ref="C84:I84"/>
    <mergeCell ref="C85:I85"/>
    <mergeCell ref="C86:I86"/>
    <mergeCell ref="C87:I87"/>
    <mergeCell ref="C88:I88"/>
    <mergeCell ref="C81:I81"/>
    <mergeCell ref="A83:A85"/>
    <mergeCell ref="C82:I82"/>
    <mergeCell ref="A1:J1"/>
    <mergeCell ref="A62:B62"/>
    <mergeCell ref="A76:B76"/>
    <mergeCell ref="A78:J78"/>
    <mergeCell ref="C80:I80"/>
  </mergeCells>
  <phoneticPr fontId="15" type="noConversion"/>
  <pageMargins left="0.17" right="0.17" top="0.17" bottom="0.18" header="0.17" footer="0.17"/>
  <pageSetup paperSize="9" scale="47" orientation="portrait" horizontalDpi="0" verticalDpi="0" r:id="rId1"/>
  <ignoredErrors>
    <ignoredError sqref="J4 J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095D-842F-4AE3-96F1-C66456CB0447}">
  <sheetPr>
    <pageSetUpPr fitToPage="1"/>
  </sheetPr>
  <dimension ref="A1:M99"/>
  <sheetViews>
    <sheetView workbookViewId="0">
      <selection activeCell="M29" sqref="M29"/>
    </sheetView>
  </sheetViews>
  <sheetFormatPr baseColWidth="10" defaultRowHeight="15" x14ac:dyDescent="0.25"/>
  <cols>
    <col min="1" max="1" width="32.140625" bestFit="1" customWidth="1"/>
    <col min="2" max="2" width="15.42578125" bestFit="1" customWidth="1"/>
  </cols>
  <sheetData>
    <row r="1" spans="1:10" ht="21" x14ac:dyDescent="0.35">
      <c r="A1" s="491" t="s">
        <v>65</v>
      </c>
      <c r="B1" s="491"/>
      <c r="C1" s="491"/>
      <c r="D1" s="491"/>
      <c r="E1" s="491"/>
      <c r="F1" s="491"/>
      <c r="G1" s="491"/>
      <c r="H1" s="491"/>
      <c r="I1" s="491"/>
      <c r="J1" s="491"/>
    </row>
    <row r="2" spans="1:10" ht="15.75" thickBot="1" x14ac:dyDescent="0.3">
      <c r="A2" s="83"/>
      <c r="B2" s="84"/>
      <c r="C2" s="84"/>
      <c r="J2" s="85"/>
    </row>
    <row r="3" spans="1:10" ht="1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87" t="s">
        <v>4</v>
      </c>
    </row>
    <row r="4" spans="1:10" ht="15.75" thickBot="1" x14ac:dyDescent="0.3">
      <c r="A4" s="88" t="s">
        <v>38</v>
      </c>
      <c r="B4" s="88" t="s">
        <v>102</v>
      </c>
      <c r="C4" s="89">
        <v>46113</v>
      </c>
      <c r="D4" s="90"/>
      <c r="E4" s="90"/>
      <c r="F4" s="90"/>
      <c r="G4" s="90"/>
      <c r="H4" s="90">
        <v>59</v>
      </c>
      <c r="I4" s="90"/>
      <c r="J4" s="87">
        <f>SUM(D4:I4)</f>
        <v>59</v>
      </c>
    </row>
    <row r="5" spans="1:10" ht="15.75" thickBot="1" x14ac:dyDescent="0.3">
      <c r="A5" s="88"/>
      <c r="B5" s="88"/>
      <c r="C5" s="89"/>
      <c r="D5" s="90"/>
      <c r="E5" s="90"/>
      <c r="F5" s="90"/>
      <c r="G5" s="90"/>
      <c r="H5" s="90"/>
      <c r="I5" s="90"/>
      <c r="J5" s="87">
        <f t="shared" ref="J5:J21" si="0">SUM(D5:I5)</f>
        <v>0</v>
      </c>
    </row>
    <row r="6" spans="1:10" ht="15.75" thickBot="1" x14ac:dyDescent="0.3">
      <c r="A6" s="88"/>
      <c r="B6" s="88"/>
      <c r="C6" s="89"/>
      <c r="D6" s="90"/>
      <c r="E6" s="90"/>
      <c r="F6" s="90"/>
      <c r="G6" s="90"/>
      <c r="H6" s="90"/>
      <c r="I6" s="90"/>
      <c r="J6" s="87">
        <f t="shared" si="0"/>
        <v>0</v>
      </c>
    </row>
    <row r="7" spans="1:10" ht="15.75" thickBot="1" x14ac:dyDescent="0.3">
      <c r="A7" s="88"/>
      <c r="B7" s="88"/>
      <c r="C7" s="89"/>
      <c r="D7" s="90"/>
      <c r="E7" s="90"/>
      <c r="F7" s="90"/>
      <c r="G7" s="90"/>
      <c r="H7" s="90"/>
      <c r="I7" s="90"/>
      <c r="J7" s="87">
        <f t="shared" si="0"/>
        <v>0</v>
      </c>
    </row>
    <row r="8" spans="1:10" ht="15.75" thickBot="1" x14ac:dyDescent="0.3">
      <c r="A8" s="88"/>
      <c r="B8" s="88"/>
      <c r="C8" s="89"/>
      <c r="D8" s="90"/>
      <c r="E8" s="90"/>
      <c r="F8" s="90"/>
      <c r="G8" s="90"/>
      <c r="H8" s="90"/>
      <c r="I8" s="90"/>
      <c r="J8" s="87">
        <f t="shared" si="0"/>
        <v>0</v>
      </c>
    </row>
    <row r="9" spans="1:10" ht="15.75" thickBot="1" x14ac:dyDescent="0.3">
      <c r="A9" s="88"/>
      <c r="B9" s="88"/>
      <c r="C9" s="89"/>
      <c r="D9" s="90"/>
      <c r="E9" s="90"/>
      <c r="F9" s="90"/>
      <c r="G9" s="90"/>
      <c r="H9" s="90"/>
      <c r="I9" s="90"/>
      <c r="J9" s="87">
        <f t="shared" si="0"/>
        <v>0</v>
      </c>
    </row>
    <row r="10" spans="1:10" ht="15.75" thickBot="1" x14ac:dyDescent="0.3">
      <c r="A10" s="88"/>
      <c r="B10" s="88"/>
      <c r="C10" s="89"/>
      <c r="D10" s="90"/>
      <c r="E10" s="90"/>
      <c r="F10" s="90"/>
      <c r="G10" s="90"/>
      <c r="H10" s="90"/>
      <c r="I10" s="90"/>
      <c r="J10" s="87">
        <f t="shared" si="0"/>
        <v>0</v>
      </c>
    </row>
    <row r="11" spans="1:10" ht="15.75" thickBot="1" x14ac:dyDescent="0.3">
      <c r="A11" s="91"/>
      <c r="B11" s="88"/>
      <c r="C11" s="89"/>
      <c r="D11" s="90"/>
      <c r="E11" s="90"/>
      <c r="F11" s="90"/>
      <c r="G11" s="90"/>
      <c r="H11" s="90"/>
      <c r="I11" s="90"/>
      <c r="J11" s="87">
        <f t="shared" si="0"/>
        <v>0</v>
      </c>
    </row>
    <row r="12" spans="1:10" ht="15.75" thickBot="1" x14ac:dyDescent="0.3">
      <c r="A12" s="91"/>
      <c r="B12" s="92"/>
      <c r="C12" s="89"/>
      <c r="D12" s="90"/>
      <c r="E12" s="90"/>
      <c r="F12" s="90"/>
      <c r="G12" s="90"/>
      <c r="H12" s="90"/>
      <c r="I12" s="93"/>
      <c r="J12" s="94">
        <f t="shared" si="0"/>
        <v>0</v>
      </c>
    </row>
    <row r="13" spans="1:10" ht="15.75" thickBot="1" x14ac:dyDescent="0.3">
      <c r="A13" s="88"/>
      <c r="B13" s="88"/>
      <c r="C13" s="89"/>
      <c r="D13" s="90"/>
      <c r="E13" s="90"/>
      <c r="F13" s="90"/>
      <c r="G13" s="90"/>
      <c r="H13" s="90"/>
      <c r="I13" s="90"/>
      <c r="J13" s="87">
        <f t="shared" si="0"/>
        <v>0</v>
      </c>
    </row>
    <row r="14" spans="1:10" ht="15.75" thickBot="1" x14ac:dyDescent="0.3">
      <c r="A14" s="95"/>
      <c r="B14" s="96"/>
      <c r="C14" s="89"/>
      <c r="D14" s="90"/>
      <c r="E14" s="90"/>
      <c r="F14" s="90"/>
      <c r="G14" s="90"/>
      <c r="H14" s="90"/>
      <c r="I14" s="90"/>
      <c r="J14" s="87">
        <f t="shared" si="0"/>
        <v>0</v>
      </c>
    </row>
    <row r="15" spans="1:10" ht="15.75" thickBot="1" x14ac:dyDescent="0.3">
      <c r="A15" s="97"/>
      <c r="B15" s="95"/>
      <c r="C15" s="89"/>
      <c r="D15" s="90"/>
      <c r="E15" s="90"/>
      <c r="F15" s="90"/>
      <c r="G15" s="90"/>
      <c r="H15" s="90"/>
      <c r="I15" s="90"/>
      <c r="J15" s="87">
        <f t="shared" si="0"/>
        <v>0</v>
      </c>
    </row>
    <row r="16" spans="1:10" ht="15.75" thickBot="1" x14ac:dyDescent="0.3">
      <c r="A16" s="98"/>
      <c r="B16" s="98"/>
      <c r="C16" s="89"/>
      <c r="D16" s="90"/>
      <c r="E16" s="90"/>
      <c r="F16" s="90"/>
      <c r="G16" s="90"/>
      <c r="H16" s="90"/>
      <c r="I16" s="90"/>
      <c r="J16" s="87">
        <f t="shared" si="0"/>
        <v>0</v>
      </c>
    </row>
    <row r="17" spans="1:13" ht="15.75" thickBot="1" x14ac:dyDescent="0.3">
      <c r="A17" s="99"/>
      <c r="B17" s="98"/>
      <c r="C17" s="89"/>
      <c r="D17" s="90"/>
      <c r="E17" s="90"/>
      <c r="F17" s="90"/>
      <c r="G17" s="90"/>
      <c r="H17" s="90"/>
      <c r="I17" s="90"/>
      <c r="J17" s="87">
        <f t="shared" si="0"/>
        <v>0</v>
      </c>
    </row>
    <row r="18" spans="1:13" ht="15.75" thickBot="1" x14ac:dyDescent="0.3">
      <c r="A18" s="99"/>
      <c r="B18" s="98"/>
      <c r="C18" s="89"/>
      <c r="D18" s="90"/>
      <c r="E18" s="90"/>
      <c r="F18" s="90"/>
      <c r="G18" s="90"/>
      <c r="H18" s="90"/>
      <c r="I18" s="90"/>
      <c r="J18" s="87">
        <f t="shared" si="0"/>
        <v>0</v>
      </c>
    </row>
    <row r="19" spans="1:13" ht="15.75" thickBot="1" x14ac:dyDescent="0.3">
      <c r="A19" s="100"/>
      <c r="B19" s="98"/>
      <c r="C19" s="89"/>
      <c r="D19" s="90"/>
      <c r="E19" s="90"/>
      <c r="F19" s="90"/>
      <c r="G19" s="90"/>
      <c r="H19" s="90"/>
      <c r="I19" s="90"/>
      <c r="J19" s="87">
        <f t="shared" si="0"/>
        <v>0</v>
      </c>
    </row>
    <row r="20" spans="1:13" ht="15.75" thickBot="1" x14ac:dyDescent="0.3">
      <c r="A20" s="101"/>
      <c r="B20" s="101"/>
      <c r="C20" s="89"/>
      <c r="D20" s="90"/>
      <c r="E20" s="90"/>
      <c r="F20" s="90"/>
      <c r="G20" s="90"/>
      <c r="H20" s="90"/>
      <c r="I20" s="90"/>
      <c r="J20" s="87">
        <f t="shared" si="0"/>
        <v>0</v>
      </c>
    </row>
    <row r="21" spans="1:13" ht="15.75" thickBot="1" x14ac:dyDescent="0.3">
      <c r="A21" s="98"/>
      <c r="B21" s="102"/>
      <c r="C21" s="103"/>
      <c r="D21" s="104"/>
      <c r="E21" s="104"/>
      <c r="F21" s="104"/>
      <c r="G21" s="104"/>
      <c r="H21" s="104"/>
      <c r="I21" s="104"/>
      <c r="J21" s="87">
        <f t="shared" si="0"/>
        <v>0</v>
      </c>
    </row>
    <row r="22" spans="1:13" ht="19.5" thickBot="1" x14ac:dyDescent="0.35">
      <c r="A22" s="105" t="s">
        <v>4</v>
      </c>
      <c r="B22" s="86"/>
      <c r="C22" s="106"/>
      <c r="D22" s="107">
        <f t="shared" ref="D22:I22" si="1">SUM(D4:D21)</f>
        <v>0</v>
      </c>
      <c r="E22" s="107">
        <f t="shared" si="1"/>
        <v>0</v>
      </c>
      <c r="F22" s="107">
        <f t="shared" si="1"/>
        <v>0</v>
      </c>
      <c r="G22" s="107">
        <f t="shared" si="1"/>
        <v>0</v>
      </c>
      <c r="H22" s="107">
        <f t="shared" si="1"/>
        <v>59</v>
      </c>
      <c r="I22" s="107">
        <f t="shared" si="1"/>
        <v>0</v>
      </c>
      <c r="J22" s="108">
        <f>SUM(J4:J21)</f>
        <v>59</v>
      </c>
    </row>
    <row r="23" spans="1:13" ht="19.5" thickBot="1" x14ac:dyDescent="0.35">
      <c r="A23" s="2"/>
      <c r="B23" s="109"/>
      <c r="C23" s="110"/>
      <c r="D23" s="111"/>
      <c r="E23" s="111"/>
      <c r="F23" s="111"/>
      <c r="G23" s="111"/>
      <c r="H23" s="111"/>
      <c r="I23" s="111"/>
      <c r="J23" s="111"/>
    </row>
    <row r="24" spans="1:13" ht="24" thickBot="1" x14ac:dyDescent="0.4">
      <c r="A24" s="112" t="s">
        <v>40</v>
      </c>
      <c r="B24" s="109"/>
      <c r="C24" s="110"/>
      <c r="D24" s="111"/>
      <c r="E24" s="111"/>
      <c r="F24" s="111"/>
      <c r="G24" s="111"/>
      <c r="H24" s="111"/>
      <c r="I24" s="111"/>
      <c r="J24" s="111"/>
    </row>
    <row r="25" spans="1:13" ht="15.75" thickBot="1" x14ac:dyDescent="0.3">
      <c r="A25" s="113" t="s">
        <v>3</v>
      </c>
      <c r="B25" s="86" t="s">
        <v>32</v>
      </c>
      <c r="C25" s="114" t="s">
        <v>41</v>
      </c>
      <c r="D25" s="114" t="s">
        <v>34</v>
      </c>
      <c r="E25" s="114" t="s">
        <v>35</v>
      </c>
      <c r="F25" s="86" t="s">
        <v>36</v>
      </c>
      <c r="G25" s="86" t="s">
        <v>37</v>
      </c>
      <c r="H25" s="86" t="s">
        <v>42</v>
      </c>
      <c r="I25" s="86" t="s">
        <v>39</v>
      </c>
      <c r="J25" s="115" t="s">
        <v>4</v>
      </c>
    </row>
    <row r="26" spans="1:13" ht="15.75" thickBot="1" x14ac:dyDescent="0.3">
      <c r="A26" s="101"/>
      <c r="B26" s="103"/>
      <c r="C26" s="103"/>
      <c r="D26" s="116"/>
      <c r="E26" s="117"/>
      <c r="F26" s="116"/>
      <c r="G26" s="116"/>
      <c r="H26" s="118"/>
      <c r="I26" s="118"/>
      <c r="J26" s="119">
        <f>SUM(D26:I26)</f>
        <v>0</v>
      </c>
    </row>
    <row r="27" spans="1:13" ht="15.75" thickBot="1" x14ac:dyDescent="0.3">
      <c r="A27" s="101"/>
      <c r="B27" s="103"/>
      <c r="C27" s="103"/>
      <c r="D27" s="116"/>
      <c r="E27" s="116"/>
      <c r="F27" s="116"/>
      <c r="G27" s="116"/>
      <c r="H27" s="118"/>
      <c r="I27" s="118"/>
      <c r="J27" s="119">
        <f t="shared" ref="J27:J29" si="2">SUM(D27:I27)</f>
        <v>0</v>
      </c>
    </row>
    <row r="28" spans="1:13" ht="15.75" thickBot="1" x14ac:dyDescent="0.3">
      <c r="A28" s="101"/>
      <c r="B28" s="98"/>
      <c r="C28" s="89"/>
      <c r="D28" s="120"/>
      <c r="E28" s="120"/>
      <c r="F28" s="120"/>
      <c r="G28" s="120"/>
      <c r="H28" s="90"/>
      <c r="I28" s="90"/>
      <c r="J28" s="119">
        <f t="shared" si="2"/>
        <v>0</v>
      </c>
    </row>
    <row r="29" spans="1:13" ht="15.75" thickBot="1" x14ac:dyDescent="0.3">
      <c r="A29" s="86"/>
      <c r="B29" s="121"/>
      <c r="C29" s="89"/>
      <c r="D29" s="120"/>
      <c r="E29" s="120"/>
      <c r="F29" s="120"/>
      <c r="G29" s="120"/>
      <c r="H29" s="90"/>
      <c r="I29" s="90"/>
      <c r="J29" s="119">
        <f t="shared" si="2"/>
        <v>0</v>
      </c>
      <c r="L29" s="122" t="s">
        <v>43</v>
      </c>
      <c r="M29" s="123">
        <f>J30+J38</f>
        <v>0</v>
      </c>
    </row>
    <row r="30" spans="1:13" ht="15.75" thickBot="1" x14ac:dyDescent="0.3">
      <c r="A30" s="86" t="s">
        <v>4</v>
      </c>
      <c r="B30" s="124"/>
      <c r="C30" s="125"/>
      <c r="D30" s="126"/>
      <c r="E30" s="126"/>
      <c r="F30" s="126"/>
      <c r="G30" s="126"/>
      <c r="H30" s="126"/>
      <c r="I30" s="126"/>
      <c r="J30" s="94">
        <f>SUM(J26:J29)</f>
        <v>0</v>
      </c>
    </row>
    <row r="31" spans="1:13" ht="15.75" thickBot="1" x14ac:dyDescent="0.3">
      <c r="A31" s="109"/>
      <c r="B31" s="127"/>
      <c r="C31" s="128"/>
      <c r="D31" s="129"/>
      <c r="E31" s="129"/>
      <c r="F31" s="129"/>
      <c r="G31" s="129"/>
      <c r="H31" s="129"/>
      <c r="I31" s="129"/>
      <c r="J31" s="130"/>
    </row>
    <row r="32" spans="1:13" ht="24" thickBot="1" x14ac:dyDescent="0.4">
      <c r="A32" s="112" t="s">
        <v>40</v>
      </c>
      <c r="B32" s="109"/>
      <c r="C32" s="110"/>
      <c r="D32" s="111"/>
      <c r="E32" s="111"/>
      <c r="F32" s="111"/>
      <c r="G32" s="111"/>
      <c r="H32" s="111"/>
      <c r="I32" s="111"/>
      <c r="J32" s="111"/>
    </row>
    <row r="33" spans="1:13" ht="45.75" thickBot="1" x14ac:dyDescent="0.3">
      <c r="A33" s="131" t="s">
        <v>44</v>
      </c>
      <c r="B33" s="86" t="s">
        <v>45</v>
      </c>
      <c r="C33" s="114" t="s">
        <v>41</v>
      </c>
      <c r="D33" s="114" t="s">
        <v>34</v>
      </c>
      <c r="E33" s="114" t="s">
        <v>35</v>
      </c>
      <c r="F33" s="114" t="s">
        <v>46</v>
      </c>
      <c r="G33" s="114" t="s">
        <v>47</v>
      </c>
      <c r="H33" s="114" t="s">
        <v>42</v>
      </c>
      <c r="I33" s="132" t="s">
        <v>48</v>
      </c>
      <c r="J33" s="115" t="s">
        <v>4</v>
      </c>
    </row>
    <row r="34" spans="1:13" ht="15.75" thickBot="1" x14ac:dyDescent="0.3">
      <c r="A34" s="133"/>
      <c r="B34" s="99"/>
      <c r="C34" s="89"/>
      <c r="D34" s="90"/>
      <c r="E34" s="90"/>
      <c r="F34" s="90"/>
      <c r="G34" s="90"/>
      <c r="H34" s="90"/>
      <c r="I34" s="90"/>
      <c r="J34" s="87">
        <f t="shared" ref="J34:J37" si="3">SUM(D34:I34)</f>
        <v>0</v>
      </c>
    </row>
    <row r="35" spans="1:13" ht="15.75" thickBot="1" x14ac:dyDescent="0.3">
      <c r="A35" s="95"/>
      <c r="B35" s="103"/>
      <c r="C35" s="89"/>
      <c r="D35" s="116"/>
      <c r="E35" s="116"/>
      <c r="F35" s="116"/>
      <c r="G35" s="116"/>
      <c r="H35" s="118"/>
      <c r="I35" s="118"/>
      <c r="J35" s="119">
        <f t="shared" si="3"/>
        <v>0</v>
      </c>
    </row>
    <row r="36" spans="1:13" ht="15.75" thickBot="1" x14ac:dyDescent="0.3">
      <c r="A36" s="101"/>
      <c r="B36" s="98"/>
      <c r="C36" s="89"/>
      <c r="D36" s="120"/>
      <c r="E36" s="120"/>
      <c r="F36" s="120"/>
      <c r="G36" s="120"/>
      <c r="H36" s="90"/>
      <c r="I36" s="90"/>
      <c r="J36" s="119">
        <f t="shared" si="3"/>
        <v>0</v>
      </c>
    </row>
    <row r="37" spans="1:13" ht="15.75" thickBot="1" x14ac:dyDescent="0.3">
      <c r="A37" s="86"/>
      <c r="B37" s="121"/>
      <c r="C37" s="89"/>
      <c r="D37" s="120"/>
      <c r="E37" s="120"/>
      <c r="F37" s="120"/>
      <c r="G37" s="120"/>
      <c r="H37" s="90"/>
      <c r="I37" s="90"/>
      <c r="J37" s="119">
        <f t="shared" si="3"/>
        <v>0</v>
      </c>
      <c r="L37" s="134"/>
      <c r="M37" s="135"/>
    </row>
    <row r="38" spans="1:13" ht="15.75" thickBot="1" x14ac:dyDescent="0.3">
      <c r="A38" s="86" t="s">
        <v>4</v>
      </c>
      <c r="B38" s="124"/>
      <c r="C38" s="125"/>
      <c r="D38" s="126"/>
      <c r="E38" s="126"/>
      <c r="F38" s="126"/>
      <c r="G38" s="126"/>
      <c r="H38" s="126"/>
      <c r="I38" s="126"/>
      <c r="J38" s="94">
        <f>SUM(J34:J37)</f>
        <v>0</v>
      </c>
    </row>
    <row r="39" spans="1:13" x14ac:dyDescent="0.25">
      <c r="A39" s="109"/>
      <c r="B39" s="127"/>
      <c r="C39" s="128"/>
      <c r="D39" s="129"/>
      <c r="E39" s="129"/>
      <c r="F39" s="129"/>
      <c r="G39" s="129"/>
      <c r="H39" s="129"/>
      <c r="I39" s="129"/>
      <c r="J39" s="130"/>
    </row>
    <row r="40" spans="1:13" x14ac:dyDescent="0.25">
      <c r="A40" s="109"/>
      <c r="B40" s="127"/>
      <c r="C40" s="128"/>
      <c r="D40" s="129"/>
      <c r="E40" s="129"/>
      <c r="F40" s="129"/>
      <c r="G40" s="129"/>
      <c r="H40" s="129"/>
      <c r="I40" s="129"/>
      <c r="J40" s="130"/>
    </row>
    <row r="41" spans="1:13" ht="15.75" thickBot="1" x14ac:dyDescent="0.3">
      <c r="A41" s="84"/>
      <c r="B41" s="84"/>
      <c r="C41" s="84"/>
      <c r="J41" s="85"/>
    </row>
    <row r="42" spans="1:13" ht="45.75" thickBot="1" x14ac:dyDescent="0.3">
      <c r="A42" s="114" t="s">
        <v>49</v>
      </c>
      <c r="B42" s="86" t="s">
        <v>45</v>
      </c>
      <c r="C42" s="114" t="s">
        <v>41</v>
      </c>
      <c r="D42" s="114" t="s">
        <v>34</v>
      </c>
      <c r="E42" s="114" t="s">
        <v>35</v>
      </c>
      <c r="F42" s="114" t="s">
        <v>46</v>
      </c>
      <c r="G42" s="114" t="s">
        <v>47</v>
      </c>
      <c r="H42" s="86" t="s">
        <v>48</v>
      </c>
      <c r="I42" s="132" t="s">
        <v>42</v>
      </c>
      <c r="J42" s="115" t="s">
        <v>4</v>
      </c>
    </row>
    <row r="43" spans="1:13" ht="15.75" thickBot="1" x14ac:dyDescent="0.3">
      <c r="A43" s="121"/>
      <c r="B43" s="103"/>
      <c r="C43" s="103"/>
      <c r="D43" s="118"/>
      <c r="E43" s="136"/>
      <c r="F43" s="118"/>
      <c r="G43" s="118"/>
      <c r="H43" s="118"/>
      <c r="I43" s="118"/>
      <c r="J43" s="119">
        <f>SUM(D43:I43)</f>
        <v>0</v>
      </c>
    </row>
    <row r="44" spans="1:13" ht="15.75" thickBot="1" x14ac:dyDescent="0.3">
      <c r="A44" s="121"/>
      <c r="B44" s="103"/>
      <c r="C44" s="103"/>
      <c r="D44" s="118"/>
      <c r="E44" s="118"/>
      <c r="F44" s="118"/>
      <c r="G44" s="118"/>
      <c r="H44" s="118"/>
      <c r="I44" s="118"/>
      <c r="J44" s="119">
        <f t="shared" ref="J44:J56" si="4">SUM(D44:I44)</f>
        <v>0</v>
      </c>
    </row>
    <row r="45" spans="1:13" ht="15.75" thickBot="1" x14ac:dyDescent="0.3">
      <c r="A45" s="98"/>
      <c r="B45" s="103"/>
      <c r="C45" s="103"/>
      <c r="D45" s="118"/>
      <c r="E45" s="118"/>
      <c r="F45" s="118"/>
      <c r="G45" s="118"/>
      <c r="H45" s="118"/>
      <c r="I45" s="118"/>
      <c r="J45" s="119">
        <f t="shared" si="4"/>
        <v>0</v>
      </c>
    </row>
    <row r="46" spans="1:13" ht="15.75" thickBot="1" x14ac:dyDescent="0.3">
      <c r="A46" s="121"/>
      <c r="B46" s="103"/>
      <c r="C46" s="103"/>
      <c r="D46" s="118"/>
      <c r="E46" s="118"/>
      <c r="F46" s="118"/>
      <c r="G46" s="118"/>
      <c r="H46" s="118"/>
      <c r="I46" s="118"/>
      <c r="J46" s="119">
        <f t="shared" si="4"/>
        <v>0</v>
      </c>
    </row>
    <row r="47" spans="1:13" ht="15.75" thickBot="1" x14ac:dyDescent="0.3">
      <c r="A47" s="121"/>
      <c r="B47" s="103"/>
      <c r="C47" s="103"/>
      <c r="D47" s="118"/>
      <c r="E47" s="118"/>
      <c r="F47" s="118"/>
      <c r="G47" s="118"/>
      <c r="H47" s="118"/>
      <c r="I47" s="118"/>
      <c r="J47" s="119">
        <f t="shared" si="4"/>
        <v>0</v>
      </c>
    </row>
    <row r="48" spans="1:13" ht="15.75" thickBot="1" x14ac:dyDescent="0.3">
      <c r="A48" s="98"/>
      <c r="B48" s="103"/>
      <c r="C48" s="103"/>
      <c r="D48" s="118"/>
      <c r="E48" s="118"/>
      <c r="F48" s="118"/>
      <c r="G48" s="118"/>
      <c r="H48" s="118"/>
      <c r="I48" s="118"/>
      <c r="J48" s="119">
        <f t="shared" si="4"/>
        <v>0</v>
      </c>
    </row>
    <row r="49" spans="1:10" ht="15.75" thickBot="1" x14ac:dyDescent="0.3">
      <c r="A49" s="98"/>
      <c r="B49" s="103"/>
      <c r="C49" s="103"/>
      <c r="D49" s="118"/>
      <c r="E49" s="118"/>
      <c r="F49" s="118"/>
      <c r="G49" s="118"/>
      <c r="H49" s="118"/>
      <c r="I49" s="118"/>
      <c r="J49" s="119">
        <f t="shared" si="4"/>
        <v>0</v>
      </c>
    </row>
    <row r="50" spans="1:10" ht="15.75" thickBot="1" x14ac:dyDescent="0.3">
      <c r="A50" s="98"/>
      <c r="B50" s="103"/>
      <c r="C50" s="103"/>
      <c r="D50" s="118"/>
      <c r="E50" s="118"/>
      <c r="F50" s="118"/>
      <c r="G50" s="118"/>
      <c r="H50" s="118"/>
      <c r="I50" s="118"/>
      <c r="J50" s="119">
        <f t="shared" si="4"/>
        <v>0</v>
      </c>
    </row>
    <row r="51" spans="1:10" ht="15.75" thickBot="1" x14ac:dyDescent="0.3">
      <c r="A51" s="98"/>
      <c r="B51" s="103"/>
      <c r="C51" s="103"/>
      <c r="D51" s="118"/>
      <c r="E51" s="118"/>
      <c r="F51" s="118"/>
      <c r="G51" s="118"/>
      <c r="H51" s="118"/>
      <c r="I51" s="118"/>
      <c r="J51" s="119">
        <f t="shared" si="4"/>
        <v>0</v>
      </c>
    </row>
    <row r="52" spans="1:10" ht="15.75" thickBot="1" x14ac:dyDescent="0.3">
      <c r="A52" s="98"/>
      <c r="B52" s="103"/>
      <c r="C52" s="103"/>
      <c r="D52" s="118"/>
      <c r="E52" s="118"/>
      <c r="F52" s="118"/>
      <c r="G52" s="118"/>
      <c r="H52" s="118"/>
      <c r="I52" s="118"/>
      <c r="J52" s="119">
        <f t="shared" si="4"/>
        <v>0</v>
      </c>
    </row>
    <row r="53" spans="1:10" ht="15.75" thickBot="1" x14ac:dyDescent="0.3">
      <c r="A53" s="137"/>
      <c r="B53" s="103"/>
      <c r="C53" s="103"/>
      <c r="D53" s="118"/>
      <c r="E53" s="118"/>
      <c r="F53" s="118"/>
      <c r="G53" s="118"/>
      <c r="H53" s="118"/>
      <c r="I53" s="118"/>
      <c r="J53" s="119">
        <f t="shared" si="4"/>
        <v>0</v>
      </c>
    </row>
    <row r="54" spans="1:10" ht="15.75" thickBot="1" x14ac:dyDescent="0.3">
      <c r="A54" s="121"/>
      <c r="B54" s="103"/>
      <c r="C54" s="103"/>
      <c r="D54" s="118"/>
      <c r="F54" s="118"/>
      <c r="G54" s="118"/>
      <c r="H54" s="118"/>
      <c r="I54" s="118"/>
      <c r="J54" s="119">
        <f t="shared" si="4"/>
        <v>0</v>
      </c>
    </row>
    <row r="55" spans="1:10" ht="15.75" thickBot="1" x14ac:dyDescent="0.3">
      <c r="A55" s="121"/>
      <c r="B55" s="103"/>
      <c r="C55" s="103"/>
      <c r="D55" s="118"/>
      <c r="E55" s="118"/>
      <c r="F55" s="118"/>
      <c r="G55" s="118"/>
      <c r="H55" s="118"/>
      <c r="I55" s="118"/>
      <c r="J55" s="119">
        <f t="shared" si="4"/>
        <v>0</v>
      </c>
    </row>
    <row r="56" spans="1:10" ht="15.75" thickBot="1" x14ac:dyDescent="0.3">
      <c r="A56" s="121"/>
      <c r="B56" s="103"/>
      <c r="C56" s="103"/>
      <c r="D56" s="138"/>
      <c r="E56" s="138"/>
      <c r="F56" s="138"/>
      <c r="G56" s="138"/>
      <c r="H56" s="138"/>
      <c r="I56" s="138"/>
      <c r="J56" s="119">
        <f t="shared" si="4"/>
        <v>0</v>
      </c>
    </row>
    <row r="57" spans="1:10" ht="19.5" thickBot="1" x14ac:dyDescent="0.35">
      <c r="A57" s="105" t="s">
        <v>4</v>
      </c>
      <c r="B57" s="86"/>
      <c r="C57" s="106"/>
      <c r="D57" s="107">
        <f t="shared" ref="D57:J57" si="5">SUM(D43:D56)</f>
        <v>0</v>
      </c>
      <c r="E57" s="107">
        <f t="shared" si="5"/>
        <v>0</v>
      </c>
      <c r="F57" s="107">
        <f t="shared" si="5"/>
        <v>0</v>
      </c>
      <c r="G57" s="107">
        <f t="shared" si="5"/>
        <v>0</v>
      </c>
      <c r="H57" s="107">
        <f t="shared" si="5"/>
        <v>0</v>
      </c>
      <c r="I57" s="107">
        <f t="shared" si="5"/>
        <v>0</v>
      </c>
      <c r="J57" s="107">
        <f t="shared" si="5"/>
        <v>0</v>
      </c>
    </row>
    <row r="58" spans="1:10" ht="15.75" x14ac:dyDescent="0.25">
      <c r="A58" s="139"/>
      <c r="B58" s="139"/>
      <c r="C58" s="140"/>
      <c r="D58" s="141"/>
      <c r="E58" s="141"/>
      <c r="F58" s="141"/>
      <c r="G58" s="141"/>
      <c r="H58" s="141"/>
      <c r="I58" s="141"/>
      <c r="J58" s="141"/>
    </row>
    <row r="59" spans="1:10" ht="16.5" thickBot="1" x14ac:dyDescent="0.3">
      <c r="A59" s="139"/>
      <c r="B59" s="139"/>
      <c r="C59" s="140"/>
      <c r="D59" s="141"/>
      <c r="E59" s="141"/>
      <c r="F59" s="141"/>
      <c r="G59" s="141"/>
      <c r="H59" s="141"/>
      <c r="I59" s="141"/>
      <c r="J59" s="141"/>
    </row>
    <row r="60" spans="1:10" ht="19.5" thickBot="1" x14ac:dyDescent="0.35">
      <c r="A60" s="492" t="s">
        <v>50</v>
      </c>
      <c r="B60" s="493"/>
      <c r="C60" s="142"/>
      <c r="D60" s="143"/>
      <c r="E60" s="143"/>
      <c r="F60" s="143"/>
      <c r="G60" s="143"/>
      <c r="H60" s="143"/>
      <c r="I60" s="143"/>
      <c r="J60" s="108">
        <f>+J22+J57</f>
        <v>59</v>
      </c>
    </row>
    <row r="61" spans="1:10" x14ac:dyDescent="0.25">
      <c r="A61" s="84"/>
      <c r="B61" s="84"/>
      <c r="C61" s="144"/>
      <c r="D61" s="85"/>
      <c r="E61" s="85"/>
      <c r="F61" s="85"/>
      <c r="G61" s="85"/>
      <c r="H61" s="85"/>
      <c r="I61" s="85"/>
      <c r="J61" s="85"/>
    </row>
    <row r="62" spans="1:10" x14ac:dyDescent="0.25">
      <c r="A62" s="84"/>
      <c r="B62" s="84"/>
      <c r="C62" s="144"/>
      <c r="D62" s="85"/>
      <c r="E62" s="85"/>
      <c r="F62" s="85"/>
      <c r="G62" s="85"/>
      <c r="H62" s="85"/>
      <c r="I62" s="85"/>
      <c r="J62" s="85"/>
    </row>
    <row r="63" spans="1:10" ht="16.5" thickBot="1" x14ac:dyDescent="0.3">
      <c r="A63" s="145" t="s">
        <v>51</v>
      </c>
      <c r="B63" s="84"/>
      <c r="C63" s="144"/>
      <c r="D63" s="85"/>
      <c r="E63" s="85"/>
      <c r="F63" s="85"/>
      <c r="G63" s="85"/>
      <c r="H63" s="85"/>
      <c r="I63" s="85"/>
      <c r="J63" s="85"/>
    </row>
    <row r="64" spans="1:10" ht="19.5" thickBot="1" x14ac:dyDescent="0.35">
      <c r="A64" s="146" t="s">
        <v>52</v>
      </c>
      <c r="B64" s="147"/>
      <c r="C64" s="148"/>
      <c r="D64" s="149"/>
      <c r="E64" s="149"/>
      <c r="F64" s="149"/>
      <c r="G64" s="149"/>
      <c r="H64" s="149"/>
      <c r="I64" s="149"/>
      <c r="J64" s="108"/>
    </row>
    <row r="65" spans="1:10" ht="19.5" thickBot="1" x14ac:dyDescent="0.35">
      <c r="A65" s="146" t="s">
        <v>53</v>
      </c>
      <c r="B65" s="147"/>
      <c r="C65" s="150"/>
      <c r="D65" s="149"/>
      <c r="E65" s="149"/>
      <c r="F65" s="149"/>
      <c r="G65" s="149"/>
      <c r="H65" s="149"/>
      <c r="I65" s="149"/>
      <c r="J65" s="108"/>
    </row>
    <row r="66" spans="1:10" ht="18.75" x14ac:dyDescent="0.3">
      <c r="A66" s="151"/>
      <c r="B66" s="151"/>
      <c r="C66" s="152"/>
      <c r="D66" s="153"/>
      <c r="E66" s="153"/>
      <c r="F66" s="153"/>
      <c r="G66" s="153"/>
      <c r="H66" s="153"/>
      <c r="I66" s="153"/>
      <c r="J66" s="111"/>
    </row>
    <row r="67" spans="1:10" ht="18.75" x14ac:dyDescent="0.3">
      <c r="A67" s="151"/>
      <c r="B67" s="151"/>
      <c r="C67" s="152"/>
      <c r="D67" s="153"/>
      <c r="E67" s="153"/>
      <c r="F67" s="153"/>
      <c r="G67" s="153"/>
      <c r="H67" s="153"/>
      <c r="I67" s="153"/>
      <c r="J67" s="111"/>
    </row>
    <row r="68" spans="1:10" ht="16.5" thickBot="1" x14ac:dyDescent="0.3">
      <c r="A68" s="154" t="s">
        <v>54</v>
      </c>
      <c r="B68" s="155"/>
      <c r="C68" s="144"/>
      <c r="D68" s="85"/>
      <c r="E68" s="85"/>
      <c r="F68" s="85"/>
      <c r="G68" s="85"/>
      <c r="H68" s="85"/>
      <c r="I68" s="85"/>
      <c r="J68" s="85"/>
    </row>
    <row r="69" spans="1:10" ht="19.5" thickBot="1" x14ac:dyDescent="0.35">
      <c r="A69" s="156" t="s">
        <v>55</v>
      </c>
      <c r="B69" s="157"/>
      <c r="C69" s="158"/>
      <c r="D69" s="159"/>
      <c r="E69" s="159"/>
      <c r="F69" s="159"/>
      <c r="G69" s="159"/>
      <c r="H69" s="159"/>
      <c r="I69" s="159"/>
      <c r="J69" s="160">
        <v>436</v>
      </c>
    </row>
    <row r="70" spans="1:10" x14ac:dyDescent="0.25">
      <c r="A70" s="161"/>
      <c r="B70" s="84"/>
      <c r="C70" s="144"/>
      <c r="D70" s="85"/>
      <c r="E70" s="85"/>
      <c r="F70" s="85"/>
      <c r="G70" s="85"/>
      <c r="H70" s="85"/>
      <c r="I70" s="85"/>
      <c r="J70" s="85"/>
    </row>
    <row r="71" spans="1:10" ht="16.5" thickBot="1" x14ac:dyDescent="0.3">
      <c r="A71" s="154"/>
      <c r="B71" s="155"/>
      <c r="C71" s="144"/>
      <c r="D71" s="85"/>
      <c r="E71" s="85"/>
      <c r="F71" s="85"/>
      <c r="G71" s="85"/>
      <c r="H71" s="85"/>
      <c r="I71" s="85"/>
      <c r="J71" s="85"/>
    </row>
    <row r="72" spans="1:10" ht="19.5" thickBot="1" x14ac:dyDescent="0.35">
      <c r="A72" s="156" t="s">
        <v>56</v>
      </c>
      <c r="B72" s="157"/>
      <c r="C72" s="162"/>
      <c r="D72" s="159"/>
      <c r="E72" s="159"/>
      <c r="F72" s="159"/>
      <c r="G72" s="159"/>
      <c r="H72" s="159"/>
      <c r="I72" s="159"/>
      <c r="J72" s="163"/>
    </row>
    <row r="73" spans="1:10" ht="15.75" thickBot="1" x14ac:dyDescent="0.3">
      <c r="A73" s="161"/>
      <c r="B73" s="84"/>
      <c r="C73" s="144"/>
      <c r="D73" s="85"/>
      <c r="E73" s="85"/>
      <c r="F73" s="85"/>
      <c r="G73" s="85"/>
      <c r="H73" s="85"/>
      <c r="I73" s="85"/>
      <c r="J73" s="85"/>
    </row>
    <row r="74" spans="1:10" ht="21.75" thickBot="1" x14ac:dyDescent="0.4">
      <c r="A74" s="494" t="s">
        <v>57</v>
      </c>
      <c r="B74" s="495"/>
      <c r="C74" s="164"/>
      <c r="D74" s="165"/>
      <c r="E74" s="165"/>
      <c r="F74" s="165"/>
      <c r="G74" s="165"/>
      <c r="H74" s="165"/>
      <c r="I74" s="165"/>
      <c r="J74" s="166">
        <f>SUM(J60:J73)</f>
        <v>495</v>
      </c>
    </row>
    <row r="75" spans="1:10" x14ac:dyDescent="0.25">
      <c r="A75" s="84"/>
      <c r="B75" s="84"/>
      <c r="C75" s="144"/>
      <c r="D75" s="85"/>
      <c r="E75" s="85"/>
      <c r="F75" s="85"/>
      <c r="G75" s="85"/>
      <c r="H75" s="85"/>
      <c r="I75" s="85"/>
      <c r="J75" s="85"/>
    </row>
    <row r="76" spans="1:10" ht="21" x14ac:dyDescent="0.35">
      <c r="A76" s="491" t="s">
        <v>68</v>
      </c>
      <c r="B76" s="491"/>
      <c r="C76" s="491"/>
      <c r="D76" s="491"/>
      <c r="E76" s="491"/>
      <c r="F76" s="491"/>
      <c r="G76" s="491"/>
      <c r="H76" s="491"/>
      <c r="I76" s="491"/>
      <c r="J76" s="491"/>
    </row>
    <row r="77" spans="1:10" ht="21.75" thickBot="1" x14ac:dyDescent="0.4">
      <c r="A77" s="167" t="s">
        <v>10</v>
      </c>
      <c r="B77" s="167"/>
      <c r="C77" s="167"/>
      <c r="D77" s="167"/>
      <c r="E77" s="167"/>
      <c r="F77" s="167"/>
      <c r="G77" s="167"/>
      <c r="H77" s="167"/>
      <c r="I77" s="167"/>
      <c r="J77" s="168"/>
    </row>
    <row r="78" spans="1:10" ht="15.75" thickBot="1" x14ac:dyDescent="0.3">
      <c r="A78" s="169" t="s">
        <v>58</v>
      </c>
      <c r="B78" s="170" t="s">
        <v>59</v>
      </c>
      <c r="C78" s="496" t="s">
        <v>33</v>
      </c>
      <c r="D78" s="497"/>
      <c r="E78" s="497"/>
      <c r="F78" s="497"/>
      <c r="G78" s="497"/>
      <c r="H78" s="497"/>
      <c r="I78" s="498"/>
      <c r="J78" s="171" t="s">
        <v>4</v>
      </c>
    </row>
    <row r="79" spans="1:10" ht="15.75" thickBot="1" x14ac:dyDescent="0.3">
      <c r="A79" s="172"/>
      <c r="B79" s="173"/>
      <c r="C79" s="488"/>
      <c r="D79" s="489"/>
      <c r="E79" s="489"/>
      <c r="F79" s="489"/>
      <c r="G79" s="489"/>
      <c r="H79" s="489"/>
      <c r="I79" s="489"/>
      <c r="J79" s="104"/>
    </row>
    <row r="80" spans="1:10" ht="15.75" thickBot="1" x14ac:dyDescent="0.3">
      <c r="A80" s="121"/>
      <c r="B80" s="173"/>
      <c r="C80" s="488"/>
      <c r="D80" s="489"/>
      <c r="E80" s="489"/>
      <c r="F80" s="489"/>
      <c r="G80" s="489"/>
      <c r="H80" s="490"/>
      <c r="I80" s="490"/>
      <c r="J80" s="104"/>
    </row>
    <row r="81" spans="1:10" ht="15.75" thickBot="1" x14ac:dyDescent="0.3">
      <c r="A81" s="121"/>
      <c r="B81" s="173"/>
      <c r="C81" s="504"/>
      <c r="D81" s="505"/>
      <c r="E81" s="505"/>
      <c r="F81" s="505"/>
      <c r="G81" s="505"/>
      <c r="H81" s="505"/>
      <c r="I81" s="505"/>
      <c r="J81" s="174"/>
    </row>
    <row r="82" spans="1:10" ht="15.75" thickBot="1" x14ac:dyDescent="0.3">
      <c r="A82" s="121"/>
      <c r="B82" s="173"/>
      <c r="C82" s="488"/>
      <c r="D82" s="489"/>
      <c r="E82" s="489"/>
      <c r="F82" s="489"/>
      <c r="G82" s="489"/>
      <c r="H82" s="490"/>
      <c r="I82" s="490"/>
      <c r="J82" s="104"/>
    </row>
    <row r="83" spans="1:10" ht="15.75" thickBot="1" x14ac:dyDescent="0.3">
      <c r="A83" s="121"/>
      <c r="B83" s="173"/>
      <c r="C83" s="488"/>
      <c r="D83" s="489"/>
      <c r="E83" s="489"/>
      <c r="F83" s="489"/>
      <c r="G83" s="489"/>
      <c r="H83" s="490"/>
      <c r="I83" s="490"/>
      <c r="J83" s="104"/>
    </row>
    <row r="84" spans="1:10" ht="15.75" thickBot="1" x14ac:dyDescent="0.3">
      <c r="A84" s="121"/>
      <c r="B84" s="173"/>
      <c r="C84" s="488"/>
      <c r="D84" s="489"/>
      <c r="E84" s="489"/>
      <c r="F84" s="489"/>
      <c r="G84" s="489"/>
      <c r="H84" s="490"/>
      <c r="I84" s="490"/>
      <c r="J84" s="104"/>
    </row>
    <row r="85" spans="1:10" ht="15.75" thickBot="1" x14ac:dyDescent="0.3">
      <c r="A85" s="121"/>
      <c r="B85" s="173"/>
      <c r="C85" s="488"/>
      <c r="D85" s="489"/>
      <c r="E85" s="489"/>
      <c r="F85" s="489"/>
      <c r="G85" s="489"/>
      <c r="H85" s="490"/>
      <c r="I85" s="490"/>
      <c r="J85" s="104"/>
    </row>
    <row r="86" spans="1:10" ht="15.75" thickBot="1" x14ac:dyDescent="0.3">
      <c r="A86" s="121"/>
      <c r="B86" s="173"/>
      <c r="C86" s="488"/>
      <c r="D86" s="489"/>
      <c r="E86" s="489"/>
      <c r="F86" s="489"/>
      <c r="G86" s="489"/>
      <c r="H86" s="490"/>
      <c r="I86" s="490"/>
      <c r="J86" s="104"/>
    </row>
    <row r="87" spans="1:10" ht="15.75" thickBot="1" x14ac:dyDescent="0.3">
      <c r="A87" s="121"/>
      <c r="B87" s="173"/>
      <c r="C87" s="488"/>
      <c r="D87" s="489"/>
      <c r="E87" s="489"/>
      <c r="F87" s="489"/>
      <c r="G87" s="489"/>
      <c r="H87" s="490"/>
      <c r="I87" s="490"/>
      <c r="J87" s="118"/>
    </row>
    <row r="88" spans="1:10" ht="15.75" thickBot="1" x14ac:dyDescent="0.3">
      <c r="A88" s="121"/>
      <c r="B88" s="173"/>
      <c r="C88" s="488"/>
      <c r="D88" s="489"/>
      <c r="E88" s="489"/>
      <c r="F88" s="489"/>
      <c r="G88" s="489"/>
      <c r="H88" s="490"/>
      <c r="I88" s="490"/>
      <c r="J88" s="118"/>
    </row>
    <row r="89" spans="1:10" ht="15.75" thickBot="1" x14ac:dyDescent="0.3">
      <c r="A89" s="121"/>
      <c r="B89" s="173"/>
      <c r="C89" s="488"/>
      <c r="D89" s="489"/>
      <c r="E89" s="489"/>
      <c r="F89" s="489"/>
      <c r="G89" s="489"/>
      <c r="H89" s="490"/>
      <c r="I89" s="490"/>
      <c r="J89" s="118"/>
    </row>
    <row r="90" spans="1:10" ht="15.75" thickBot="1" x14ac:dyDescent="0.3">
      <c r="A90" s="121"/>
      <c r="B90" s="173"/>
      <c r="C90" s="488"/>
      <c r="D90" s="489"/>
      <c r="E90" s="489"/>
      <c r="F90" s="489"/>
      <c r="G90" s="489"/>
      <c r="H90" s="490"/>
      <c r="I90" s="490"/>
      <c r="J90" s="118"/>
    </row>
    <row r="91" spans="1:10" ht="15.75" thickBot="1" x14ac:dyDescent="0.3">
      <c r="A91" s="121"/>
      <c r="B91" s="173"/>
      <c r="C91" s="488"/>
      <c r="D91" s="489"/>
      <c r="E91" s="489"/>
      <c r="F91" s="489"/>
      <c r="G91" s="489"/>
      <c r="H91" s="490"/>
      <c r="I91" s="490"/>
      <c r="J91" s="118"/>
    </row>
    <row r="92" spans="1:10" ht="19.5" thickBot="1" x14ac:dyDescent="0.35">
      <c r="A92" s="175" t="s">
        <v>60</v>
      </c>
      <c r="B92" s="492"/>
      <c r="C92" s="499"/>
      <c r="D92" s="499"/>
      <c r="E92" s="499"/>
      <c r="F92" s="499"/>
      <c r="G92" s="499"/>
      <c r="H92" s="499"/>
      <c r="I92" s="499"/>
      <c r="J92" s="176">
        <f>SUM(J79:J91)</f>
        <v>0</v>
      </c>
    </row>
    <row r="93" spans="1:10" ht="18.75" x14ac:dyDescent="0.3">
      <c r="A93" s="2"/>
      <c r="B93" s="2"/>
      <c r="C93" s="177"/>
      <c r="D93" s="177"/>
      <c r="E93" s="177"/>
      <c r="F93" s="178"/>
      <c r="G93" s="177"/>
      <c r="H93" s="177"/>
      <c r="I93" s="177"/>
      <c r="J93" s="111"/>
    </row>
    <row r="94" spans="1:10" ht="18.75" x14ac:dyDescent="0.3">
      <c r="A94" s="2"/>
      <c r="B94" s="2"/>
      <c r="C94" s="177"/>
      <c r="D94" s="177"/>
      <c r="E94" s="177"/>
      <c r="F94" s="178"/>
      <c r="G94" s="177"/>
      <c r="H94" s="177"/>
      <c r="I94" s="177"/>
      <c r="J94" s="111"/>
    </row>
    <row r="95" spans="1:10" ht="18.75" x14ac:dyDescent="0.3">
      <c r="A95" s="139" t="s">
        <v>61</v>
      </c>
      <c r="B95" s="2"/>
      <c r="C95" s="84"/>
      <c r="D95" s="85"/>
      <c r="F95" s="85"/>
      <c r="J95" s="85"/>
    </row>
    <row r="96" spans="1:10" x14ac:dyDescent="0.25">
      <c r="A96" s="84" t="s">
        <v>62</v>
      </c>
      <c r="B96" s="144">
        <f>+J74</f>
        <v>495</v>
      </c>
      <c r="C96" s="179"/>
      <c r="D96" s="85"/>
      <c r="F96" s="85"/>
      <c r="J96" s="85"/>
    </row>
    <row r="97" spans="1:10" ht="15.75" thickBot="1" x14ac:dyDescent="0.3">
      <c r="A97" s="84" t="s">
        <v>60</v>
      </c>
      <c r="B97" s="180">
        <f>+J92</f>
        <v>0</v>
      </c>
      <c r="C97" s="181"/>
      <c r="D97" s="85"/>
      <c r="F97" s="85"/>
      <c r="G97" s="182"/>
      <c r="H97" s="182"/>
      <c r="I97" s="183"/>
      <c r="J97" s="183"/>
    </row>
    <row r="98" spans="1:10" ht="17.25" thickTop="1" thickBot="1" x14ac:dyDescent="0.3">
      <c r="A98" s="139" t="s">
        <v>8</v>
      </c>
      <c r="B98" s="184">
        <f>++B96-B97</f>
        <v>495</v>
      </c>
      <c r="C98" s="185"/>
      <c r="D98" s="186"/>
      <c r="E98" s="41"/>
      <c r="F98" s="186"/>
      <c r="G98" s="187"/>
      <c r="H98" s="187"/>
      <c r="I98" s="85"/>
    </row>
    <row r="99" spans="1:10" ht="15.75" thickTop="1" x14ac:dyDescent="0.25"/>
  </sheetData>
  <mergeCells count="19">
    <mergeCell ref="B92:I92"/>
    <mergeCell ref="C86:I86"/>
    <mergeCell ref="C87:I87"/>
    <mergeCell ref="C88:I88"/>
    <mergeCell ref="C89:I89"/>
    <mergeCell ref="C90:I90"/>
    <mergeCell ref="C91:I91"/>
    <mergeCell ref="C85:I85"/>
    <mergeCell ref="A1:J1"/>
    <mergeCell ref="A60:B60"/>
    <mergeCell ref="A74:B74"/>
    <mergeCell ref="A76:J76"/>
    <mergeCell ref="C78:I78"/>
    <mergeCell ref="C79:I79"/>
    <mergeCell ref="C80:I80"/>
    <mergeCell ref="C81:I81"/>
    <mergeCell ref="C82:I82"/>
    <mergeCell ref="C83:I83"/>
    <mergeCell ref="C84:I84"/>
  </mergeCells>
  <pageMargins left="0.17" right="0.17" top="0.17" bottom="0.17" header="0.17" footer="0.17"/>
  <pageSetup scale="46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B951-9855-4D7F-9B29-F98F3C744C26}">
  <sheetPr>
    <pageSetUpPr fitToPage="1"/>
  </sheetPr>
  <dimension ref="A1:M99"/>
  <sheetViews>
    <sheetView workbookViewId="0">
      <selection activeCell="M29" sqref="M29"/>
    </sheetView>
  </sheetViews>
  <sheetFormatPr baseColWidth="10" defaultRowHeight="15" x14ac:dyDescent="0.25"/>
  <cols>
    <col min="1" max="1" width="32.140625" bestFit="1" customWidth="1"/>
    <col min="2" max="2" width="15.42578125" bestFit="1" customWidth="1"/>
  </cols>
  <sheetData>
    <row r="1" spans="1:10" ht="21" x14ac:dyDescent="0.35">
      <c r="A1" s="491" t="s">
        <v>66</v>
      </c>
      <c r="B1" s="491"/>
      <c r="C1" s="491"/>
      <c r="D1" s="491"/>
      <c r="E1" s="491"/>
      <c r="F1" s="491"/>
      <c r="G1" s="491"/>
      <c r="H1" s="491"/>
      <c r="I1" s="491"/>
      <c r="J1" s="491"/>
    </row>
    <row r="2" spans="1:10" ht="15.75" thickBot="1" x14ac:dyDescent="0.3">
      <c r="A2" s="83"/>
      <c r="B2" s="84"/>
      <c r="C2" s="84"/>
      <c r="J2" s="85"/>
    </row>
    <row r="3" spans="1:10" ht="1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87" t="s">
        <v>4</v>
      </c>
    </row>
    <row r="4" spans="1:10" ht="15.75" thickBot="1" x14ac:dyDescent="0.3">
      <c r="A4" s="88" t="s">
        <v>38</v>
      </c>
      <c r="B4" s="88" t="s">
        <v>101</v>
      </c>
      <c r="C4" s="89">
        <v>46113</v>
      </c>
      <c r="D4" s="90"/>
      <c r="E4" s="90"/>
      <c r="F4" s="90"/>
      <c r="G4" s="90"/>
      <c r="H4" s="90">
        <v>30.9</v>
      </c>
      <c r="I4" s="90"/>
      <c r="J4" s="87">
        <f>SUM(D4:I4)</f>
        <v>30.9</v>
      </c>
    </row>
    <row r="5" spans="1:10" ht="15.75" thickBot="1" x14ac:dyDescent="0.3">
      <c r="A5" s="88"/>
      <c r="B5" s="88"/>
      <c r="C5" s="89"/>
      <c r="D5" s="90"/>
      <c r="E5" s="90"/>
      <c r="F5" s="90"/>
      <c r="G5" s="90"/>
      <c r="H5" s="90"/>
      <c r="I5" s="90"/>
      <c r="J5" s="87">
        <f t="shared" ref="J5:J21" si="0">SUM(D5:I5)</f>
        <v>0</v>
      </c>
    </row>
    <row r="6" spans="1:10" ht="15.75" thickBot="1" x14ac:dyDescent="0.3">
      <c r="A6" s="88"/>
      <c r="B6" s="88"/>
      <c r="C6" s="89"/>
      <c r="D6" s="90"/>
      <c r="E6" s="90"/>
      <c r="F6" s="90"/>
      <c r="G6" s="90"/>
      <c r="H6" s="90"/>
      <c r="I6" s="90"/>
      <c r="J6" s="87">
        <f t="shared" si="0"/>
        <v>0</v>
      </c>
    </row>
    <row r="7" spans="1:10" ht="15.75" thickBot="1" x14ac:dyDescent="0.3">
      <c r="A7" s="88"/>
      <c r="B7" s="88"/>
      <c r="C7" s="89"/>
      <c r="D7" s="90"/>
      <c r="E7" s="90"/>
      <c r="F7" s="90"/>
      <c r="G7" s="90"/>
      <c r="H7" s="90"/>
      <c r="I7" s="90"/>
      <c r="J7" s="87">
        <f t="shared" si="0"/>
        <v>0</v>
      </c>
    </row>
    <row r="8" spans="1:10" ht="15.75" thickBot="1" x14ac:dyDescent="0.3">
      <c r="A8" s="88"/>
      <c r="B8" s="88"/>
      <c r="C8" s="89"/>
      <c r="D8" s="90"/>
      <c r="E8" s="90"/>
      <c r="F8" s="90"/>
      <c r="G8" s="90"/>
      <c r="H8" s="90"/>
      <c r="I8" s="90"/>
      <c r="J8" s="87">
        <f t="shared" si="0"/>
        <v>0</v>
      </c>
    </row>
    <row r="9" spans="1:10" ht="15.75" thickBot="1" x14ac:dyDescent="0.3">
      <c r="A9" s="88"/>
      <c r="B9" s="88"/>
      <c r="C9" s="89"/>
      <c r="D9" s="90"/>
      <c r="E9" s="90"/>
      <c r="F9" s="90"/>
      <c r="G9" s="90"/>
      <c r="H9" s="90"/>
      <c r="I9" s="90"/>
      <c r="J9" s="87">
        <f t="shared" si="0"/>
        <v>0</v>
      </c>
    </row>
    <row r="10" spans="1:10" ht="15.75" thickBot="1" x14ac:dyDescent="0.3">
      <c r="A10" s="88"/>
      <c r="B10" s="88"/>
      <c r="C10" s="89"/>
      <c r="D10" s="90"/>
      <c r="E10" s="90"/>
      <c r="F10" s="90"/>
      <c r="G10" s="90"/>
      <c r="H10" s="90"/>
      <c r="I10" s="90"/>
      <c r="J10" s="87">
        <f t="shared" si="0"/>
        <v>0</v>
      </c>
    </row>
    <row r="11" spans="1:10" ht="15.75" thickBot="1" x14ac:dyDescent="0.3">
      <c r="A11" s="91"/>
      <c r="B11" s="88"/>
      <c r="C11" s="89"/>
      <c r="D11" s="90"/>
      <c r="E11" s="90"/>
      <c r="F11" s="90"/>
      <c r="G11" s="90"/>
      <c r="H11" s="90"/>
      <c r="I11" s="90"/>
      <c r="J11" s="87">
        <f t="shared" si="0"/>
        <v>0</v>
      </c>
    </row>
    <row r="12" spans="1:10" ht="15.75" thickBot="1" x14ac:dyDescent="0.3">
      <c r="A12" s="91"/>
      <c r="B12" s="92"/>
      <c r="C12" s="89"/>
      <c r="D12" s="90"/>
      <c r="E12" s="90"/>
      <c r="F12" s="90"/>
      <c r="G12" s="90"/>
      <c r="H12" s="90"/>
      <c r="I12" s="93"/>
      <c r="J12" s="87">
        <f t="shared" si="0"/>
        <v>0</v>
      </c>
    </row>
    <row r="13" spans="1:10" ht="15.75" thickBot="1" x14ac:dyDescent="0.3">
      <c r="A13" s="88"/>
      <c r="B13" s="88"/>
      <c r="C13" s="89"/>
      <c r="D13" s="90"/>
      <c r="E13" s="90"/>
      <c r="F13" s="90"/>
      <c r="G13" s="90"/>
      <c r="H13" s="90"/>
      <c r="I13" s="90"/>
      <c r="J13" s="87">
        <f t="shared" si="0"/>
        <v>0</v>
      </c>
    </row>
    <row r="14" spans="1:10" ht="15.75" thickBot="1" x14ac:dyDescent="0.3">
      <c r="A14" s="95"/>
      <c r="B14" s="96"/>
      <c r="C14" s="89"/>
      <c r="D14" s="90"/>
      <c r="E14" s="90"/>
      <c r="F14" s="90"/>
      <c r="G14" s="90"/>
      <c r="H14" s="90"/>
      <c r="I14" s="90"/>
      <c r="J14" s="87">
        <f t="shared" si="0"/>
        <v>0</v>
      </c>
    </row>
    <row r="15" spans="1:10" ht="15.75" thickBot="1" x14ac:dyDescent="0.3">
      <c r="A15" s="97"/>
      <c r="B15" s="95"/>
      <c r="C15" s="89"/>
      <c r="D15" s="90"/>
      <c r="E15" s="90"/>
      <c r="F15" s="90"/>
      <c r="G15" s="90"/>
      <c r="H15" s="90"/>
      <c r="I15" s="90"/>
      <c r="J15" s="87">
        <f t="shared" si="0"/>
        <v>0</v>
      </c>
    </row>
    <row r="16" spans="1:10" ht="15.75" thickBot="1" x14ac:dyDescent="0.3">
      <c r="A16" s="98"/>
      <c r="B16" s="98"/>
      <c r="C16" s="89"/>
      <c r="D16" s="90"/>
      <c r="E16" s="90"/>
      <c r="F16" s="90"/>
      <c r="G16" s="90"/>
      <c r="H16" s="90"/>
      <c r="I16" s="90"/>
      <c r="J16" s="87">
        <f t="shared" si="0"/>
        <v>0</v>
      </c>
    </row>
    <row r="17" spans="1:13" ht="15.75" thickBot="1" x14ac:dyDescent="0.3">
      <c r="A17" s="99"/>
      <c r="B17" s="98"/>
      <c r="C17" s="89"/>
      <c r="D17" s="90"/>
      <c r="E17" s="90"/>
      <c r="F17" s="90"/>
      <c r="G17" s="90"/>
      <c r="H17" s="90"/>
      <c r="I17" s="90"/>
      <c r="J17" s="87">
        <f t="shared" si="0"/>
        <v>0</v>
      </c>
    </row>
    <row r="18" spans="1:13" ht="15.75" thickBot="1" x14ac:dyDescent="0.3">
      <c r="A18" s="99"/>
      <c r="B18" s="98"/>
      <c r="C18" s="89"/>
      <c r="D18" s="90"/>
      <c r="E18" s="90"/>
      <c r="F18" s="90"/>
      <c r="G18" s="90"/>
      <c r="H18" s="90"/>
      <c r="I18" s="90"/>
      <c r="J18" s="87">
        <f t="shared" si="0"/>
        <v>0</v>
      </c>
    </row>
    <row r="19" spans="1:13" ht="15.75" thickBot="1" x14ac:dyDescent="0.3">
      <c r="A19" s="100"/>
      <c r="B19" s="98"/>
      <c r="C19" s="89"/>
      <c r="D19" s="90"/>
      <c r="E19" s="90"/>
      <c r="F19" s="90"/>
      <c r="G19" s="90"/>
      <c r="H19" s="90"/>
      <c r="I19" s="90"/>
      <c r="J19" s="87">
        <f t="shared" si="0"/>
        <v>0</v>
      </c>
    </row>
    <row r="20" spans="1:13" ht="15.75" thickBot="1" x14ac:dyDescent="0.3">
      <c r="A20" s="101"/>
      <c r="B20" s="101"/>
      <c r="C20" s="89"/>
      <c r="D20" s="90"/>
      <c r="E20" s="90"/>
      <c r="F20" s="90"/>
      <c r="G20" s="90"/>
      <c r="H20" s="90"/>
      <c r="I20" s="90"/>
      <c r="J20" s="87">
        <f t="shared" si="0"/>
        <v>0</v>
      </c>
    </row>
    <row r="21" spans="1:13" ht="15.75" thickBot="1" x14ac:dyDescent="0.3">
      <c r="A21" s="98"/>
      <c r="B21" s="102"/>
      <c r="C21" s="103"/>
      <c r="D21" s="104"/>
      <c r="E21" s="104"/>
      <c r="F21" s="104"/>
      <c r="G21" s="104"/>
      <c r="H21" s="104"/>
      <c r="I21" s="104"/>
      <c r="J21" s="87">
        <f t="shared" si="0"/>
        <v>0</v>
      </c>
    </row>
    <row r="22" spans="1:13" ht="19.5" thickBot="1" x14ac:dyDescent="0.35">
      <c r="A22" s="105" t="s">
        <v>4</v>
      </c>
      <c r="B22" s="86"/>
      <c r="C22" s="106"/>
      <c r="D22" s="107">
        <f t="shared" ref="D22:I22" si="1">SUM(D4:D21)</f>
        <v>0</v>
      </c>
      <c r="E22" s="107">
        <f t="shared" si="1"/>
        <v>0</v>
      </c>
      <c r="F22" s="107">
        <f t="shared" si="1"/>
        <v>0</v>
      </c>
      <c r="G22" s="107">
        <f t="shared" si="1"/>
        <v>0</v>
      </c>
      <c r="H22" s="107">
        <f t="shared" si="1"/>
        <v>30.9</v>
      </c>
      <c r="I22" s="107">
        <f t="shared" si="1"/>
        <v>0</v>
      </c>
      <c r="J22" s="108">
        <f>SUM(J4:J21)</f>
        <v>30.9</v>
      </c>
    </row>
    <row r="23" spans="1:13" ht="19.5" thickBot="1" x14ac:dyDescent="0.35">
      <c r="A23" s="2"/>
      <c r="B23" s="109"/>
      <c r="C23" s="110"/>
      <c r="D23" s="111"/>
      <c r="E23" s="111"/>
      <c r="F23" s="111"/>
      <c r="G23" s="111"/>
      <c r="H23" s="111"/>
      <c r="I23" s="111"/>
      <c r="J23" s="111"/>
    </row>
    <row r="24" spans="1:13" ht="24" thickBot="1" x14ac:dyDescent="0.4">
      <c r="A24" s="112" t="s">
        <v>40</v>
      </c>
      <c r="B24" s="109"/>
      <c r="C24" s="110"/>
      <c r="D24" s="111"/>
      <c r="E24" s="111"/>
      <c r="F24" s="111"/>
      <c r="G24" s="111"/>
      <c r="H24" s="111"/>
      <c r="I24" s="111"/>
      <c r="J24" s="111"/>
    </row>
    <row r="25" spans="1:13" ht="15.75" thickBot="1" x14ac:dyDescent="0.3">
      <c r="A25" s="113" t="s">
        <v>3</v>
      </c>
      <c r="B25" s="86" t="s">
        <v>32</v>
      </c>
      <c r="C25" s="114" t="s">
        <v>41</v>
      </c>
      <c r="D25" s="114" t="s">
        <v>34</v>
      </c>
      <c r="E25" s="114" t="s">
        <v>35</v>
      </c>
      <c r="F25" s="86" t="s">
        <v>36</v>
      </c>
      <c r="G25" s="86" t="s">
        <v>37</v>
      </c>
      <c r="H25" s="86" t="s">
        <v>42</v>
      </c>
      <c r="I25" s="86" t="s">
        <v>39</v>
      </c>
      <c r="J25" s="115" t="s">
        <v>4</v>
      </c>
    </row>
    <row r="26" spans="1:13" ht="15.75" thickBot="1" x14ac:dyDescent="0.3">
      <c r="A26" s="101"/>
      <c r="B26" s="103"/>
      <c r="C26" s="103"/>
      <c r="D26" s="116"/>
      <c r="E26" s="117"/>
      <c r="F26" s="116"/>
      <c r="G26" s="116"/>
      <c r="H26" s="118"/>
      <c r="I26" s="118"/>
      <c r="J26" s="119">
        <f>SUM(D26:I26)</f>
        <v>0</v>
      </c>
    </row>
    <row r="27" spans="1:13" ht="15.75" thickBot="1" x14ac:dyDescent="0.3">
      <c r="A27" s="101"/>
      <c r="B27" s="103"/>
      <c r="C27" s="103"/>
      <c r="D27" s="116"/>
      <c r="E27" s="116"/>
      <c r="F27" s="116"/>
      <c r="G27" s="116"/>
      <c r="H27" s="118"/>
      <c r="I27" s="118"/>
      <c r="J27" s="119">
        <f t="shared" ref="J27:J29" si="2">SUM(D27:I27)</f>
        <v>0</v>
      </c>
    </row>
    <row r="28" spans="1:13" ht="15.75" thickBot="1" x14ac:dyDescent="0.3">
      <c r="A28" s="101"/>
      <c r="B28" s="98"/>
      <c r="C28" s="89"/>
      <c r="D28" s="120"/>
      <c r="E28" s="120"/>
      <c r="F28" s="120"/>
      <c r="G28" s="120"/>
      <c r="H28" s="90"/>
      <c r="I28" s="90"/>
      <c r="J28" s="119">
        <f t="shared" si="2"/>
        <v>0</v>
      </c>
    </row>
    <row r="29" spans="1:13" ht="15.75" thickBot="1" x14ac:dyDescent="0.3">
      <c r="A29" s="86"/>
      <c r="B29" s="121"/>
      <c r="C29" s="89"/>
      <c r="D29" s="120"/>
      <c r="E29" s="120"/>
      <c r="F29" s="120"/>
      <c r="G29" s="120"/>
      <c r="H29" s="90"/>
      <c r="I29" s="90"/>
      <c r="J29" s="119">
        <f t="shared" si="2"/>
        <v>0</v>
      </c>
      <c r="L29" s="122" t="s">
        <v>43</v>
      </c>
      <c r="M29" s="123">
        <f>J30+J38</f>
        <v>0</v>
      </c>
    </row>
    <row r="30" spans="1:13" ht="15.75" thickBot="1" x14ac:dyDescent="0.3">
      <c r="A30" s="86" t="s">
        <v>4</v>
      </c>
      <c r="B30" s="124"/>
      <c r="C30" s="125"/>
      <c r="D30" s="126"/>
      <c r="E30" s="126"/>
      <c r="F30" s="126"/>
      <c r="G30" s="126"/>
      <c r="H30" s="126"/>
      <c r="I30" s="126"/>
      <c r="J30" s="94">
        <f>SUM(J26:J29)</f>
        <v>0</v>
      </c>
    </row>
    <row r="31" spans="1:13" ht="15.75" thickBot="1" x14ac:dyDescent="0.3">
      <c r="A31" s="109"/>
      <c r="B31" s="127"/>
      <c r="C31" s="128"/>
      <c r="D31" s="129"/>
      <c r="E31" s="129"/>
      <c r="F31" s="129"/>
      <c r="G31" s="129"/>
      <c r="H31" s="129"/>
      <c r="I31" s="129"/>
      <c r="J31" s="130"/>
    </row>
    <row r="32" spans="1:13" ht="24" thickBot="1" x14ac:dyDescent="0.4">
      <c r="A32" s="112" t="s">
        <v>40</v>
      </c>
      <c r="B32" s="109"/>
      <c r="C32" s="110"/>
      <c r="D32" s="111"/>
      <c r="E32" s="111"/>
      <c r="F32" s="111"/>
      <c r="G32" s="111"/>
      <c r="H32" s="111"/>
      <c r="I32" s="111"/>
      <c r="J32" s="111"/>
    </row>
    <row r="33" spans="1:13" ht="45.75" thickBot="1" x14ac:dyDescent="0.3">
      <c r="A33" s="131" t="s">
        <v>44</v>
      </c>
      <c r="B33" s="86" t="s">
        <v>45</v>
      </c>
      <c r="C33" s="114" t="s">
        <v>41</v>
      </c>
      <c r="D33" s="114" t="s">
        <v>34</v>
      </c>
      <c r="E33" s="114" t="s">
        <v>35</v>
      </c>
      <c r="F33" s="114" t="s">
        <v>46</v>
      </c>
      <c r="G33" s="114" t="s">
        <v>47</v>
      </c>
      <c r="H33" s="114" t="s">
        <v>42</v>
      </c>
      <c r="I33" s="132" t="s">
        <v>48</v>
      </c>
      <c r="J33" s="115" t="s">
        <v>4</v>
      </c>
    </row>
    <row r="34" spans="1:13" ht="15.75" thickBot="1" x14ac:dyDescent="0.3">
      <c r="A34" s="133"/>
      <c r="B34" s="99"/>
      <c r="C34" s="89"/>
      <c r="D34" s="90"/>
      <c r="E34" s="90"/>
      <c r="F34" s="90"/>
      <c r="G34" s="90"/>
      <c r="H34" s="90"/>
      <c r="I34" s="90"/>
      <c r="J34" s="87">
        <f t="shared" ref="J34:J37" si="3">SUM(D34:I34)</f>
        <v>0</v>
      </c>
    </row>
    <row r="35" spans="1:13" ht="15.75" thickBot="1" x14ac:dyDescent="0.3">
      <c r="A35" s="95"/>
      <c r="B35" s="103"/>
      <c r="C35" s="89"/>
      <c r="D35" s="116"/>
      <c r="E35" s="116"/>
      <c r="F35" s="116"/>
      <c r="G35" s="116"/>
      <c r="H35" s="118"/>
      <c r="I35" s="118"/>
      <c r="J35" s="119">
        <f t="shared" si="3"/>
        <v>0</v>
      </c>
    </row>
    <row r="36" spans="1:13" ht="15.75" thickBot="1" x14ac:dyDescent="0.3">
      <c r="A36" s="101"/>
      <c r="B36" s="98"/>
      <c r="C36" s="89"/>
      <c r="D36" s="120"/>
      <c r="E36" s="120"/>
      <c r="F36" s="120"/>
      <c r="G36" s="120"/>
      <c r="H36" s="90"/>
      <c r="I36" s="90"/>
      <c r="J36" s="119">
        <f t="shared" si="3"/>
        <v>0</v>
      </c>
    </row>
    <row r="37" spans="1:13" ht="15.75" thickBot="1" x14ac:dyDescent="0.3">
      <c r="A37" s="86"/>
      <c r="B37" s="121"/>
      <c r="C37" s="89"/>
      <c r="D37" s="120"/>
      <c r="E37" s="120"/>
      <c r="F37" s="120"/>
      <c r="G37" s="120"/>
      <c r="H37" s="90"/>
      <c r="I37" s="90"/>
      <c r="J37" s="119">
        <f t="shared" si="3"/>
        <v>0</v>
      </c>
      <c r="L37" s="134"/>
      <c r="M37" s="135"/>
    </row>
    <row r="38" spans="1:13" ht="15.75" thickBot="1" x14ac:dyDescent="0.3">
      <c r="A38" s="86" t="s">
        <v>4</v>
      </c>
      <c r="B38" s="124"/>
      <c r="C38" s="125"/>
      <c r="D38" s="126"/>
      <c r="E38" s="126"/>
      <c r="F38" s="126"/>
      <c r="G38" s="126"/>
      <c r="H38" s="126"/>
      <c r="I38" s="126"/>
      <c r="J38" s="94">
        <f>SUM(J34:J37)</f>
        <v>0</v>
      </c>
    </row>
    <row r="39" spans="1:13" x14ac:dyDescent="0.25">
      <c r="A39" s="109"/>
      <c r="B39" s="127"/>
      <c r="C39" s="128"/>
      <c r="D39" s="129"/>
      <c r="E39" s="129"/>
      <c r="F39" s="129"/>
      <c r="G39" s="129"/>
      <c r="H39" s="129"/>
      <c r="I39" s="129"/>
      <c r="J39" s="130"/>
    </row>
    <row r="40" spans="1:13" x14ac:dyDescent="0.25">
      <c r="A40" s="109"/>
      <c r="B40" s="127"/>
      <c r="C40" s="128"/>
      <c r="D40" s="129"/>
      <c r="E40" s="129"/>
      <c r="F40" s="129"/>
      <c r="G40" s="129"/>
      <c r="H40" s="129"/>
      <c r="I40" s="129"/>
      <c r="J40" s="130"/>
    </row>
    <row r="41" spans="1:13" ht="15.75" thickBot="1" x14ac:dyDescent="0.3">
      <c r="A41" s="84"/>
      <c r="B41" s="84"/>
      <c r="C41" s="84"/>
      <c r="J41" s="85"/>
    </row>
    <row r="42" spans="1:13" ht="45.75" thickBot="1" x14ac:dyDescent="0.3">
      <c r="A42" s="114" t="s">
        <v>49</v>
      </c>
      <c r="B42" s="86" t="s">
        <v>45</v>
      </c>
      <c r="C42" s="114" t="s">
        <v>41</v>
      </c>
      <c r="D42" s="114" t="s">
        <v>34</v>
      </c>
      <c r="E42" s="114" t="s">
        <v>35</v>
      </c>
      <c r="F42" s="114" t="s">
        <v>46</v>
      </c>
      <c r="G42" s="114" t="s">
        <v>47</v>
      </c>
      <c r="H42" s="86" t="s">
        <v>48</v>
      </c>
      <c r="I42" s="132" t="s">
        <v>42</v>
      </c>
      <c r="J42" s="115" t="s">
        <v>4</v>
      </c>
    </row>
    <row r="43" spans="1:13" ht="15.75" thickBot="1" x14ac:dyDescent="0.3">
      <c r="A43" s="121"/>
      <c r="B43" s="103"/>
      <c r="C43" s="103"/>
      <c r="D43" s="118"/>
      <c r="E43" s="136"/>
      <c r="F43" s="118"/>
      <c r="G43" s="118"/>
      <c r="H43" s="118"/>
      <c r="I43" s="118"/>
      <c r="J43" s="119">
        <f>SUM(D43:I43)</f>
        <v>0</v>
      </c>
    </row>
    <row r="44" spans="1:13" ht="15.75" thickBot="1" x14ac:dyDescent="0.3">
      <c r="A44" s="121"/>
      <c r="B44" s="103"/>
      <c r="C44" s="103"/>
      <c r="D44" s="118"/>
      <c r="E44" s="118"/>
      <c r="F44" s="118"/>
      <c r="G44" s="118"/>
      <c r="H44" s="118"/>
      <c r="I44" s="118"/>
      <c r="J44" s="119">
        <f t="shared" ref="J44:J56" si="4">SUM(D44:I44)</f>
        <v>0</v>
      </c>
    </row>
    <row r="45" spans="1:13" ht="15.75" thickBot="1" x14ac:dyDescent="0.3">
      <c r="A45" s="98"/>
      <c r="B45" s="103"/>
      <c r="C45" s="103"/>
      <c r="D45" s="118"/>
      <c r="E45" s="118"/>
      <c r="F45" s="118"/>
      <c r="G45" s="118"/>
      <c r="H45" s="118"/>
      <c r="I45" s="118"/>
      <c r="J45" s="119">
        <f t="shared" si="4"/>
        <v>0</v>
      </c>
    </row>
    <row r="46" spans="1:13" ht="15.75" thickBot="1" x14ac:dyDescent="0.3">
      <c r="A46" s="121"/>
      <c r="B46" s="103"/>
      <c r="C46" s="103"/>
      <c r="D46" s="118"/>
      <c r="E46" s="118"/>
      <c r="F46" s="118"/>
      <c r="G46" s="118"/>
      <c r="H46" s="118"/>
      <c r="I46" s="118"/>
      <c r="J46" s="119">
        <f t="shared" si="4"/>
        <v>0</v>
      </c>
    </row>
    <row r="47" spans="1:13" ht="15.75" thickBot="1" x14ac:dyDescent="0.3">
      <c r="A47" s="121"/>
      <c r="B47" s="103"/>
      <c r="C47" s="103"/>
      <c r="D47" s="118"/>
      <c r="E47" s="118"/>
      <c r="F47" s="118"/>
      <c r="G47" s="118"/>
      <c r="H47" s="118"/>
      <c r="I47" s="118"/>
      <c r="J47" s="119">
        <f t="shared" si="4"/>
        <v>0</v>
      </c>
    </row>
    <row r="48" spans="1:13" ht="15.75" thickBot="1" x14ac:dyDescent="0.3">
      <c r="A48" s="98"/>
      <c r="B48" s="103"/>
      <c r="C48" s="103"/>
      <c r="D48" s="118"/>
      <c r="E48" s="118"/>
      <c r="F48" s="118"/>
      <c r="G48" s="118"/>
      <c r="H48" s="118"/>
      <c r="I48" s="118"/>
      <c r="J48" s="119">
        <f t="shared" si="4"/>
        <v>0</v>
      </c>
    </row>
    <row r="49" spans="1:10" ht="15.75" thickBot="1" x14ac:dyDescent="0.3">
      <c r="A49" s="98"/>
      <c r="B49" s="103"/>
      <c r="C49" s="103"/>
      <c r="D49" s="118"/>
      <c r="E49" s="118"/>
      <c r="F49" s="118"/>
      <c r="G49" s="118"/>
      <c r="H49" s="118"/>
      <c r="I49" s="118"/>
      <c r="J49" s="119">
        <f t="shared" si="4"/>
        <v>0</v>
      </c>
    </row>
    <row r="50" spans="1:10" ht="15.75" thickBot="1" x14ac:dyDescent="0.3">
      <c r="A50" s="98"/>
      <c r="B50" s="103"/>
      <c r="C50" s="103"/>
      <c r="D50" s="118"/>
      <c r="E50" s="118"/>
      <c r="F50" s="118"/>
      <c r="G50" s="118"/>
      <c r="H50" s="118"/>
      <c r="I50" s="118"/>
      <c r="J50" s="119">
        <f t="shared" si="4"/>
        <v>0</v>
      </c>
    </row>
    <row r="51" spans="1:10" ht="15.75" thickBot="1" x14ac:dyDescent="0.3">
      <c r="A51" s="98"/>
      <c r="B51" s="103"/>
      <c r="C51" s="103"/>
      <c r="D51" s="118"/>
      <c r="E51" s="118"/>
      <c r="F51" s="118"/>
      <c r="G51" s="118"/>
      <c r="H51" s="118"/>
      <c r="I51" s="118"/>
      <c r="J51" s="119">
        <f t="shared" si="4"/>
        <v>0</v>
      </c>
    </row>
    <row r="52" spans="1:10" ht="15.75" thickBot="1" x14ac:dyDescent="0.3">
      <c r="A52" s="98"/>
      <c r="B52" s="103"/>
      <c r="C52" s="103"/>
      <c r="D52" s="118"/>
      <c r="E52" s="118"/>
      <c r="F52" s="118"/>
      <c r="G52" s="118"/>
      <c r="H52" s="118"/>
      <c r="I52" s="118"/>
      <c r="J52" s="119">
        <f t="shared" si="4"/>
        <v>0</v>
      </c>
    </row>
    <row r="53" spans="1:10" ht="15.75" thickBot="1" x14ac:dyDescent="0.3">
      <c r="A53" s="137"/>
      <c r="B53" s="103"/>
      <c r="C53" s="103"/>
      <c r="D53" s="118"/>
      <c r="E53" s="118"/>
      <c r="F53" s="118"/>
      <c r="G53" s="118"/>
      <c r="H53" s="118"/>
      <c r="I53" s="118"/>
      <c r="J53" s="119">
        <f t="shared" si="4"/>
        <v>0</v>
      </c>
    </row>
    <row r="54" spans="1:10" ht="15.75" thickBot="1" x14ac:dyDescent="0.3">
      <c r="A54" s="121"/>
      <c r="B54" s="103"/>
      <c r="C54" s="103"/>
      <c r="D54" s="118"/>
      <c r="F54" s="118"/>
      <c r="G54" s="118"/>
      <c r="H54" s="118"/>
      <c r="I54" s="118"/>
      <c r="J54" s="119">
        <f t="shared" si="4"/>
        <v>0</v>
      </c>
    </row>
    <row r="55" spans="1:10" ht="15.75" thickBot="1" x14ac:dyDescent="0.3">
      <c r="A55" s="121"/>
      <c r="B55" s="103"/>
      <c r="C55" s="103"/>
      <c r="D55" s="118"/>
      <c r="E55" s="118"/>
      <c r="F55" s="118"/>
      <c r="G55" s="118"/>
      <c r="H55" s="118"/>
      <c r="I55" s="118"/>
      <c r="J55" s="119">
        <f t="shared" si="4"/>
        <v>0</v>
      </c>
    </row>
    <row r="56" spans="1:10" ht="15.75" thickBot="1" x14ac:dyDescent="0.3">
      <c r="A56" s="121"/>
      <c r="B56" s="103"/>
      <c r="C56" s="103"/>
      <c r="D56" s="138"/>
      <c r="E56" s="138"/>
      <c r="F56" s="138"/>
      <c r="G56" s="138"/>
      <c r="H56" s="138"/>
      <c r="I56" s="138"/>
      <c r="J56" s="119">
        <f t="shared" si="4"/>
        <v>0</v>
      </c>
    </row>
    <row r="57" spans="1:10" ht="19.5" thickBot="1" x14ac:dyDescent="0.35">
      <c r="A57" s="105" t="s">
        <v>4</v>
      </c>
      <c r="B57" s="86"/>
      <c r="C57" s="106"/>
      <c r="D57" s="107">
        <f t="shared" ref="D57:J57" si="5">SUM(D43:D56)</f>
        <v>0</v>
      </c>
      <c r="E57" s="107">
        <f t="shared" si="5"/>
        <v>0</v>
      </c>
      <c r="F57" s="107">
        <f t="shared" si="5"/>
        <v>0</v>
      </c>
      <c r="G57" s="107">
        <f t="shared" si="5"/>
        <v>0</v>
      </c>
      <c r="H57" s="107">
        <f t="shared" si="5"/>
        <v>0</v>
      </c>
      <c r="I57" s="107">
        <f t="shared" si="5"/>
        <v>0</v>
      </c>
      <c r="J57" s="107">
        <f t="shared" si="5"/>
        <v>0</v>
      </c>
    </row>
    <row r="58" spans="1:10" ht="15.75" x14ac:dyDescent="0.25">
      <c r="A58" s="139"/>
      <c r="B58" s="139"/>
      <c r="C58" s="140"/>
      <c r="D58" s="141"/>
      <c r="E58" s="141"/>
      <c r="F58" s="141"/>
      <c r="G58" s="141"/>
      <c r="H58" s="141"/>
      <c r="I58" s="141"/>
      <c r="J58" s="141"/>
    </row>
    <row r="59" spans="1:10" ht="16.5" thickBot="1" x14ac:dyDescent="0.3">
      <c r="A59" s="139"/>
      <c r="B59" s="139"/>
      <c r="C59" s="140"/>
      <c r="D59" s="141"/>
      <c r="E59" s="141"/>
      <c r="F59" s="141"/>
      <c r="G59" s="141"/>
      <c r="H59" s="141"/>
      <c r="I59" s="141"/>
      <c r="J59" s="141"/>
    </row>
    <row r="60" spans="1:10" ht="19.5" thickBot="1" x14ac:dyDescent="0.35">
      <c r="A60" s="492" t="s">
        <v>50</v>
      </c>
      <c r="B60" s="493"/>
      <c r="C60" s="142"/>
      <c r="D60" s="143"/>
      <c r="E60" s="143"/>
      <c r="F60" s="143"/>
      <c r="G60" s="143"/>
      <c r="H60" s="143"/>
      <c r="I60" s="143"/>
      <c r="J60" s="108">
        <f>+J22+J57</f>
        <v>30.9</v>
      </c>
    </row>
    <row r="61" spans="1:10" x14ac:dyDescent="0.25">
      <c r="A61" s="84"/>
      <c r="B61" s="84"/>
      <c r="C61" s="144"/>
      <c r="D61" s="85"/>
      <c r="E61" s="85"/>
      <c r="F61" s="85"/>
      <c r="G61" s="85"/>
      <c r="H61" s="85"/>
      <c r="I61" s="85"/>
      <c r="J61" s="85"/>
    </row>
    <row r="62" spans="1:10" x14ac:dyDescent="0.25">
      <c r="A62" s="84"/>
      <c r="B62" s="84"/>
      <c r="C62" s="144"/>
      <c r="D62" s="85"/>
      <c r="E62" s="85"/>
      <c r="F62" s="85"/>
      <c r="G62" s="85"/>
      <c r="H62" s="85"/>
      <c r="I62" s="85"/>
      <c r="J62" s="85"/>
    </row>
    <row r="63" spans="1:10" ht="16.5" thickBot="1" x14ac:dyDescent="0.3">
      <c r="A63" s="145" t="s">
        <v>51</v>
      </c>
      <c r="B63" s="84"/>
      <c r="C63" s="144"/>
      <c r="D63" s="85"/>
      <c r="E63" s="85"/>
      <c r="F63" s="85"/>
      <c r="G63" s="85"/>
      <c r="H63" s="85"/>
      <c r="I63" s="85"/>
      <c r="J63" s="85"/>
    </row>
    <row r="64" spans="1:10" ht="19.5" thickBot="1" x14ac:dyDescent="0.35">
      <c r="A64" s="146" t="s">
        <v>52</v>
      </c>
      <c r="B64" s="147"/>
      <c r="C64" s="148"/>
      <c r="D64" s="149"/>
      <c r="E64" s="149"/>
      <c r="F64" s="149"/>
      <c r="G64" s="149"/>
      <c r="H64" s="149"/>
      <c r="I64" s="149"/>
      <c r="J64" s="108"/>
    </row>
    <row r="65" spans="1:10" ht="19.5" thickBot="1" x14ac:dyDescent="0.35">
      <c r="A65" s="146" t="s">
        <v>53</v>
      </c>
      <c r="B65" s="147"/>
      <c r="C65" s="150"/>
      <c r="D65" s="149"/>
      <c r="E65" s="149"/>
      <c r="F65" s="149"/>
      <c r="G65" s="149"/>
      <c r="H65" s="149"/>
      <c r="I65" s="149"/>
      <c r="J65" s="108"/>
    </row>
    <row r="66" spans="1:10" ht="18.75" x14ac:dyDescent="0.3">
      <c r="A66" s="151"/>
      <c r="B66" s="151"/>
      <c r="C66" s="152"/>
      <c r="D66" s="153"/>
      <c r="E66" s="153"/>
      <c r="F66" s="153"/>
      <c r="G66" s="153"/>
      <c r="H66" s="153"/>
      <c r="I66" s="153"/>
      <c r="J66" s="111"/>
    </row>
    <row r="67" spans="1:10" ht="18.75" x14ac:dyDescent="0.3">
      <c r="A67" s="151"/>
      <c r="B67" s="151"/>
      <c r="C67" s="152"/>
      <c r="D67" s="153"/>
      <c r="E67" s="153"/>
      <c r="F67" s="153"/>
      <c r="G67" s="153"/>
      <c r="H67" s="153"/>
      <c r="I67" s="153"/>
      <c r="J67" s="111"/>
    </row>
    <row r="68" spans="1:10" ht="16.5" thickBot="1" x14ac:dyDescent="0.3">
      <c r="A68" s="154" t="s">
        <v>54</v>
      </c>
      <c r="B68" s="155"/>
      <c r="C68" s="144"/>
      <c r="D68" s="85"/>
      <c r="E68" s="85"/>
      <c r="F68" s="85"/>
      <c r="G68" s="85"/>
      <c r="H68" s="85"/>
      <c r="I68" s="85"/>
      <c r="J68" s="85"/>
    </row>
    <row r="69" spans="1:10" ht="19.5" thickBot="1" x14ac:dyDescent="0.35">
      <c r="A69" s="156" t="s">
        <v>55</v>
      </c>
      <c r="B69" s="157"/>
      <c r="C69" s="158"/>
      <c r="D69" s="159"/>
      <c r="E69" s="159"/>
      <c r="F69" s="159"/>
      <c r="G69" s="159"/>
      <c r="H69" s="159"/>
      <c r="I69" s="159"/>
      <c r="J69" s="160">
        <v>226.5</v>
      </c>
    </row>
    <row r="70" spans="1:10" x14ac:dyDescent="0.25">
      <c r="A70" s="161"/>
      <c r="B70" s="84"/>
      <c r="C70" s="144"/>
      <c r="D70" s="85"/>
      <c r="E70" s="85"/>
      <c r="F70" s="85"/>
      <c r="G70" s="85"/>
      <c r="H70" s="85"/>
      <c r="I70" s="85"/>
      <c r="J70" s="85"/>
    </row>
    <row r="71" spans="1:10" ht="16.5" thickBot="1" x14ac:dyDescent="0.3">
      <c r="A71" s="154"/>
      <c r="B71" s="155"/>
      <c r="C71" s="144"/>
      <c r="D71" s="85"/>
      <c r="E71" s="85"/>
      <c r="F71" s="85"/>
      <c r="G71" s="85"/>
      <c r="H71" s="85"/>
      <c r="I71" s="85"/>
      <c r="J71" s="85"/>
    </row>
    <row r="72" spans="1:10" ht="19.5" thickBot="1" x14ac:dyDescent="0.35">
      <c r="A72" s="156" t="s">
        <v>56</v>
      </c>
      <c r="B72" s="157"/>
      <c r="C72" s="162"/>
      <c r="D72" s="159"/>
      <c r="E72" s="159"/>
      <c r="F72" s="159"/>
      <c r="G72" s="159"/>
      <c r="H72" s="159"/>
      <c r="I72" s="159"/>
      <c r="J72" s="163"/>
    </row>
    <row r="73" spans="1:10" ht="15.75" thickBot="1" x14ac:dyDescent="0.3">
      <c r="A73" s="161"/>
      <c r="B73" s="84"/>
      <c r="C73" s="144"/>
      <c r="D73" s="85"/>
      <c r="E73" s="85"/>
      <c r="F73" s="85"/>
      <c r="G73" s="85"/>
      <c r="H73" s="85"/>
      <c r="I73" s="85"/>
      <c r="J73" s="85"/>
    </row>
    <row r="74" spans="1:10" ht="21.75" thickBot="1" x14ac:dyDescent="0.4">
      <c r="A74" s="494" t="s">
        <v>57</v>
      </c>
      <c r="B74" s="495"/>
      <c r="C74" s="164"/>
      <c r="D74" s="165"/>
      <c r="E74" s="165"/>
      <c r="F74" s="165"/>
      <c r="G74" s="165"/>
      <c r="H74" s="165"/>
      <c r="I74" s="165"/>
      <c r="J74" s="166">
        <f>SUM(J60:J73)</f>
        <v>257.39999999999998</v>
      </c>
    </row>
    <row r="75" spans="1:10" x14ac:dyDescent="0.25">
      <c r="A75" s="84"/>
      <c r="B75" s="84"/>
      <c r="C75" s="144"/>
      <c r="D75" s="85"/>
      <c r="E75" s="85"/>
      <c r="F75" s="85"/>
      <c r="G75" s="85"/>
      <c r="H75" s="85"/>
      <c r="I75" s="85"/>
      <c r="J75" s="85"/>
    </row>
    <row r="76" spans="1:10" ht="21" x14ac:dyDescent="0.35">
      <c r="A76" s="491" t="s">
        <v>103</v>
      </c>
      <c r="B76" s="491"/>
      <c r="C76" s="491"/>
      <c r="D76" s="491"/>
      <c r="E76" s="491"/>
      <c r="F76" s="491"/>
      <c r="G76" s="491"/>
      <c r="H76" s="491"/>
      <c r="I76" s="491"/>
      <c r="J76" s="491"/>
    </row>
    <row r="77" spans="1:10" ht="21.75" thickBot="1" x14ac:dyDescent="0.4">
      <c r="A77" s="167" t="s">
        <v>10</v>
      </c>
      <c r="B77" s="167"/>
      <c r="C77" s="167"/>
      <c r="D77" s="167"/>
      <c r="E77" s="167"/>
      <c r="F77" s="167"/>
      <c r="G77" s="167"/>
      <c r="H77" s="167"/>
      <c r="I77" s="167"/>
      <c r="J77" s="168"/>
    </row>
    <row r="78" spans="1:10" ht="15.75" thickBot="1" x14ac:dyDescent="0.3">
      <c r="A78" s="169" t="s">
        <v>58</v>
      </c>
      <c r="B78" s="170" t="s">
        <v>59</v>
      </c>
      <c r="C78" s="496" t="s">
        <v>33</v>
      </c>
      <c r="D78" s="497"/>
      <c r="E78" s="497"/>
      <c r="F78" s="497"/>
      <c r="G78" s="497"/>
      <c r="H78" s="497"/>
      <c r="I78" s="498"/>
      <c r="J78" s="171" t="s">
        <v>4</v>
      </c>
    </row>
    <row r="79" spans="1:10" ht="15.75" thickBot="1" x14ac:dyDescent="0.3">
      <c r="A79" s="172"/>
      <c r="B79" s="173"/>
      <c r="C79" s="488"/>
      <c r="D79" s="489"/>
      <c r="E79" s="489"/>
      <c r="F79" s="489"/>
      <c r="G79" s="489"/>
      <c r="H79" s="489"/>
      <c r="I79" s="489"/>
      <c r="J79" s="104"/>
    </row>
    <row r="80" spans="1:10" ht="15.75" thickBot="1" x14ac:dyDescent="0.3">
      <c r="A80" s="121"/>
      <c r="B80" s="173"/>
      <c r="C80" s="488"/>
      <c r="D80" s="489"/>
      <c r="E80" s="489"/>
      <c r="F80" s="489"/>
      <c r="G80" s="489"/>
      <c r="H80" s="490"/>
      <c r="I80" s="490"/>
      <c r="J80" s="104"/>
    </row>
    <row r="81" spans="1:10" ht="15.75" thickBot="1" x14ac:dyDescent="0.3">
      <c r="A81" s="121"/>
      <c r="B81" s="173"/>
      <c r="C81" s="504"/>
      <c r="D81" s="505"/>
      <c r="E81" s="505"/>
      <c r="F81" s="505"/>
      <c r="G81" s="505"/>
      <c r="H81" s="505"/>
      <c r="I81" s="505"/>
      <c r="J81" s="174"/>
    </row>
    <row r="82" spans="1:10" ht="15.75" thickBot="1" x14ac:dyDescent="0.3">
      <c r="A82" s="121"/>
      <c r="B82" s="173"/>
      <c r="C82" s="488"/>
      <c r="D82" s="489"/>
      <c r="E82" s="489"/>
      <c r="F82" s="489"/>
      <c r="G82" s="489"/>
      <c r="H82" s="490"/>
      <c r="I82" s="490"/>
      <c r="J82" s="104"/>
    </row>
    <row r="83" spans="1:10" ht="15.75" thickBot="1" x14ac:dyDescent="0.3">
      <c r="A83" s="121"/>
      <c r="B83" s="173"/>
      <c r="C83" s="488"/>
      <c r="D83" s="489"/>
      <c r="E83" s="489"/>
      <c r="F83" s="489"/>
      <c r="G83" s="489"/>
      <c r="H83" s="490"/>
      <c r="I83" s="490"/>
      <c r="J83" s="104"/>
    </row>
    <row r="84" spans="1:10" ht="15.75" thickBot="1" x14ac:dyDescent="0.3">
      <c r="A84" s="121"/>
      <c r="B84" s="173"/>
      <c r="C84" s="488"/>
      <c r="D84" s="489"/>
      <c r="E84" s="489"/>
      <c r="F84" s="489"/>
      <c r="G84" s="489"/>
      <c r="H84" s="490"/>
      <c r="I84" s="490"/>
      <c r="J84" s="104"/>
    </row>
    <row r="85" spans="1:10" ht="15.75" thickBot="1" x14ac:dyDescent="0.3">
      <c r="A85" s="121"/>
      <c r="B85" s="173"/>
      <c r="C85" s="488"/>
      <c r="D85" s="489"/>
      <c r="E85" s="489"/>
      <c r="F85" s="489"/>
      <c r="G85" s="489"/>
      <c r="H85" s="490"/>
      <c r="I85" s="490"/>
      <c r="J85" s="104"/>
    </row>
    <row r="86" spans="1:10" ht="15.75" thickBot="1" x14ac:dyDescent="0.3">
      <c r="A86" s="121"/>
      <c r="B86" s="173"/>
      <c r="C86" s="488"/>
      <c r="D86" s="489"/>
      <c r="E86" s="489"/>
      <c r="F86" s="489"/>
      <c r="G86" s="489"/>
      <c r="H86" s="490"/>
      <c r="I86" s="490"/>
      <c r="J86" s="104"/>
    </row>
    <row r="87" spans="1:10" ht="15.75" thickBot="1" x14ac:dyDescent="0.3">
      <c r="A87" s="121"/>
      <c r="B87" s="173"/>
      <c r="C87" s="488"/>
      <c r="D87" s="489"/>
      <c r="E87" s="489"/>
      <c r="F87" s="489"/>
      <c r="G87" s="489"/>
      <c r="H87" s="490"/>
      <c r="I87" s="490"/>
      <c r="J87" s="118"/>
    </row>
    <row r="88" spans="1:10" ht="15.75" thickBot="1" x14ac:dyDescent="0.3">
      <c r="A88" s="121"/>
      <c r="B88" s="173"/>
      <c r="C88" s="488"/>
      <c r="D88" s="489"/>
      <c r="E88" s="489"/>
      <c r="F88" s="489"/>
      <c r="G88" s="489"/>
      <c r="H88" s="490"/>
      <c r="I88" s="490"/>
      <c r="J88" s="118"/>
    </row>
    <row r="89" spans="1:10" ht="15.75" thickBot="1" x14ac:dyDescent="0.3">
      <c r="A89" s="121"/>
      <c r="B89" s="173"/>
      <c r="C89" s="488"/>
      <c r="D89" s="489"/>
      <c r="E89" s="489"/>
      <c r="F89" s="489"/>
      <c r="G89" s="489"/>
      <c r="H89" s="490"/>
      <c r="I89" s="490"/>
      <c r="J89" s="118"/>
    </row>
    <row r="90" spans="1:10" ht="15.75" thickBot="1" x14ac:dyDescent="0.3">
      <c r="A90" s="121"/>
      <c r="B90" s="173"/>
      <c r="C90" s="488"/>
      <c r="D90" s="489"/>
      <c r="E90" s="489"/>
      <c r="F90" s="489"/>
      <c r="G90" s="489"/>
      <c r="H90" s="490"/>
      <c r="I90" s="490"/>
      <c r="J90" s="118"/>
    </row>
    <row r="91" spans="1:10" ht="15.75" thickBot="1" x14ac:dyDescent="0.3">
      <c r="A91" s="121"/>
      <c r="B91" s="173"/>
      <c r="C91" s="488"/>
      <c r="D91" s="489"/>
      <c r="E91" s="489"/>
      <c r="F91" s="489"/>
      <c r="G91" s="489"/>
      <c r="H91" s="490"/>
      <c r="I91" s="490"/>
      <c r="J91" s="118"/>
    </row>
    <row r="92" spans="1:10" ht="19.5" thickBot="1" x14ac:dyDescent="0.35">
      <c r="A92" s="175" t="s">
        <v>60</v>
      </c>
      <c r="B92" s="492"/>
      <c r="C92" s="499"/>
      <c r="D92" s="499"/>
      <c r="E92" s="499"/>
      <c r="F92" s="499"/>
      <c r="G92" s="499"/>
      <c r="H92" s="499"/>
      <c r="I92" s="499"/>
      <c r="J92" s="176">
        <f>SUM(J79:J91)</f>
        <v>0</v>
      </c>
    </row>
    <row r="93" spans="1:10" ht="18.75" x14ac:dyDescent="0.3">
      <c r="A93" s="2"/>
      <c r="B93" s="2"/>
      <c r="C93" s="177"/>
      <c r="D93" s="177"/>
      <c r="E93" s="177"/>
      <c r="F93" s="178"/>
      <c r="G93" s="177"/>
      <c r="H93" s="177"/>
      <c r="I93" s="177"/>
      <c r="J93" s="111"/>
    </row>
    <row r="94" spans="1:10" ht="18.75" x14ac:dyDescent="0.3">
      <c r="A94" s="2"/>
      <c r="B94" s="2"/>
      <c r="C94" s="177"/>
      <c r="D94" s="177"/>
      <c r="E94" s="177"/>
      <c r="F94" s="178"/>
      <c r="G94" s="177"/>
      <c r="H94" s="177"/>
      <c r="I94" s="177"/>
      <c r="J94" s="111"/>
    </row>
    <row r="95" spans="1:10" ht="18.75" x14ac:dyDescent="0.3">
      <c r="A95" s="139" t="s">
        <v>61</v>
      </c>
      <c r="B95" s="2"/>
      <c r="C95" s="84"/>
      <c r="D95" s="85"/>
      <c r="F95" s="85"/>
      <c r="J95" s="85"/>
    </row>
    <row r="96" spans="1:10" x14ac:dyDescent="0.25">
      <c r="A96" s="84" t="s">
        <v>62</v>
      </c>
      <c r="B96" s="144">
        <f>+J74</f>
        <v>257.39999999999998</v>
      </c>
      <c r="C96" s="179"/>
      <c r="D96" s="85"/>
      <c r="F96" s="85"/>
      <c r="J96" s="85"/>
    </row>
    <row r="97" spans="1:10" ht="15.75" thickBot="1" x14ac:dyDescent="0.3">
      <c r="A97" s="84" t="s">
        <v>60</v>
      </c>
      <c r="B97" s="180">
        <f>+J92</f>
        <v>0</v>
      </c>
      <c r="C97" s="181"/>
      <c r="D97" s="85"/>
      <c r="F97" s="85"/>
      <c r="G97" s="182"/>
      <c r="H97" s="182"/>
      <c r="I97" s="183"/>
      <c r="J97" s="183"/>
    </row>
    <row r="98" spans="1:10" ht="17.25" thickTop="1" thickBot="1" x14ac:dyDescent="0.3">
      <c r="A98" s="139" t="s">
        <v>8</v>
      </c>
      <c r="B98" s="184">
        <f>++B96-B97</f>
        <v>257.39999999999998</v>
      </c>
      <c r="C98" s="185"/>
      <c r="D98" s="186"/>
      <c r="E98" s="41"/>
      <c r="F98" s="186"/>
      <c r="G98" s="187"/>
      <c r="H98" s="187"/>
      <c r="I98" s="85"/>
    </row>
    <row r="99" spans="1:10" ht="15.75" thickTop="1" x14ac:dyDescent="0.25"/>
  </sheetData>
  <mergeCells count="19">
    <mergeCell ref="B92:I92"/>
    <mergeCell ref="C86:I86"/>
    <mergeCell ref="C87:I87"/>
    <mergeCell ref="C88:I88"/>
    <mergeCell ref="C89:I89"/>
    <mergeCell ref="C90:I90"/>
    <mergeCell ref="C91:I91"/>
    <mergeCell ref="C85:I85"/>
    <mergeCell ref="A1:J1"/>
    <mergeCell ref="A60:B60"/>
    <mergeCell ref="A74:B74"/>
    <mergeCell ref="A76:J76"/>
    <mergeCell ref="C78:I78"/>
    <mergeCell ref="C79:I79"/>
    <mergeCell ref="C80:I80"/>
    <mergeCell ref="C81:I81"/>
    <mergeCell ref="C82:I82"/>
    <mergeCell ref="C83:I83"/>
    <mergeCell ref="C84:I84"/>
  </mergeCells>
  <pageMargins left="0.17" right="0.17" top="0.17" bottom="0.17" header="0.17" footer="0.17"/>
  <pageSetup scale="46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F482-A16F-4B79-91B7-687158B8AE7A}">
  <sheetPr>
    <pageSetUpPr fitToPage="1"/>
  </sheetPr>
  <dimension ref="A1:M99"/>
  <sheetViews>
    <sheetView topLeftCell="A16" workbookViewId="0">
      <selection activeCell="M29" sqref="M29"/>
    </sheetView>
  </sheetViews>
  <sheetFormatPr baseColWidth="10" defaultRowHeight="15" x14ac:dyDescent="0.25"/>
  <cols>
    <col min="1" max="1" width="39.28515625" customWidth="1"/>
    <col min="2" max="2" width="15.42578125" bestFit="1" customWidth="1"/>
    <col min="10" max="10" width="15.7109375" customWidth="1"/>
  </cols>
  <sheetData>
    <row r="1" spans="1:10" ht="21" x14ac:dyDescent="0.35">
      <c r="A1" s="491" t="s">
        <v>67</v>
      </c>
      <c r="B1" s="491"/>
      <c r="C1" s="491"/>
      <c r="D1" s="491"/>
      <c r="E1" s="491"/>
      <c r="F1" s="491"/>
      <c r="G1" s="491"/>
      <c r="H1" s="491"/>
      <c r="I1" s="491"/>
      <c r="J1" s="491"/>
    </row>
    <row r="2" spans="1:10" ht="15.75" thickBot="1" x14ac:dyDescent="0.3">
      <c r="A2" s="83"/>
      <c r="B2" s="84"/>
      <c r="C2" s="84"/>
      <c r="J2" s="85"/>
    </row>
    <row r="3" spans="1:10" ht="30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108</v>
      </c>
      <c r="H3" s="86" t="s">
        <v>38</v>
      </c>
      <c r="I3" s="86" t="s">
        <v>39</v>
      </c>
      <c r="J3" s="87" t="s">
        <v>4</v>
      </c>
    </row>
    <row r="4" spans="1:10" ht="15.75" thickBot="1" x14ac:dyDescent="0.3">
      <c r="A4" s="88" t="s">
        <v>78</v>
      </c>
      <c r="B4" s="88" t="s">
        <v>121</v>
      </c>
      <c r="C4" s="89"/>
      <c r="D4" s="90"/>
      <c r="E4" s="90"/>
      <c r="F4" s="90"/>
      <c r="G4" s="90"/>
      <c r="H4" s="90"/>
      <c r="I4" s="90">
        <v>10</v>
      </c>
      <c r="J4" s="87">
        <f>SUM(D4:I4)</f>
        <v>10</v>
      </c>
    </row>
    <row r="5" spans="1:10" ht="15.75" thickBot="1" x14ac:dyDescent="0.3">
      <c r="A5" s="88"/>
      <c r="B5" s="88"/>
      <c r="C5" s="89"/>
      <c r="D5" s="90"/>
      <c r="E5" s="90"/>
      <c r="F5" s="90"/>
      <c r="G5" s="90"/>
      <c r="H5" s="90"/>
      <c r="I5" s="90"/>
      <c r="J5" s="87">
        <f t="shared" ref="J5:J21" si="0">SUM(D5:I5)</f>
        <v>0</v>
      </c>
    </row>
    <row r="6" spans="1:10" ht="15.75" thickBot="1" x14ac:dyDescent="0.3">
      <c r="A6" s="88" t="s">
        <v>107</v>
      </c>
      <c r="B6" s="88" t="s">
        <v>106</v>
      </c>
      <c r="C6" s="89">
        <v>46113</v>
      </c>
      <c r="D6" s="90"/>
      <c r="E6" s="90"/>
      <c r="F6" s="90"/>
      <c r="G6" s="90">
        <v>650</v>
      </c>
      <c r="H6" s="90"/>
      <c r="I6" s="90"/>
      <c r="J6" s="87">
        <f t="shared" si="0"/>
        <v>650</v>
      </c>
    </row>
    <row r="7" spans="1:10" ht="15.75" thickBot="1" x14ac:dyDescent="0.3">
      <c r="A7" s="93" t="s">
        <v>104</v>
      </c>
      <c r="B7" s="88" t="s">
        <v>105</v>
      </c>
      <c r="C7" s="89">
        <v>46082</v>
      </c>
      <c r="D7" s="90"/>
      <c r="E7" s="90"/>
      <c r="F7" s="90">
        <v>500</v>
      </c>
      <c r="G7" s="90"/>
      <c r="H7" s="90"/>
      <c r="I7" s="90"/>
      <c r="J7" s="87">
        <f t="shared" si="0"/>
        <v>500</v>
      </c>
    </row>
    <row r="8" spans="1:10" ht="15.75" thickBot="1" x14ac:dyDescent="0.3">
      <c r="A8" s="88"/>
      <c r="B8" s="88"/>
      <c r="C8" s="89"/>
      <c r="D8" s="90"/>
      <c r="E8" s="90"/>
      <c r="F8" s="90"/>
      <c r="G8" s="90"/>
      <c r="H8" s="90"/>
      <c r="I8" s="90"/>
      <c r="J8" s="87">
        <f t="shared" si="0"/>
        <v>0</v>
      </c>
    </row>
    <row r="9" spans="1:10" ht="15.75" thickBot="1" x14ac:dyDescent="0.3">
      <c r="A9" s="88"/>
      <c r="B9" s="88"/>
      <c r="C9" s="89"/>
      <c r="D9" s="90"/>
      <c r="E9" s="90"/>
      <c r="F9" s="90"/>
      <c r="G9" s="90"/>
      <c r="H9" s="90"/>
      <c r="I9" s="90"/>
      <c r="J9" s="87">
        <f t="shared" si="0"/>
        <v>0</v>
      </c>
    </row>
    <row r="10" spans="1:10" ht="15.75" thickBot="1" x14ac:dyDescent="0.3">
      <c r="A10" s="88"/>
      <c r="B10" s="88"/>
      <c r="C10" s="89"/>
      <c r="D10" s="90"/>
      <c r="E10" s="90"/>
      <c r="F10" s="90"/>
      <c r="G10" s="90"/>
      <c r="H10" s="90"/>
      <c r="I10" s="90"/>
      <c r="J10" s="87">
        <f t="shared" si="0"/>
        <v>0</v>
      </c>
    </row>
    <row r="11" spans="1:10" ht="15.75" thickBot="1" x14ac:dyDescent="0.3">
      <c r="A11" s="91"/>
      <c r="B11" s="88"/>
      <c r="C11" s="89"/>
      <c r="D11" s="90"/>
      <c r="E11" s="90"/>
      <c r="F11" s="90"/>
      <c r="G11" s="90"/>
      <c r="H11" s="90"/>
      <c r="I11" s="90"/>
      <c r="J11" s="87">
        <f t="shared" si="0"/>
        <v>0</v>
      </c>
    </row>
    <row r="12" spans="1:10" ht="15.75" thickBot="1" x14ac:dyDescent="0.3">
      <c r="A12" s="91"/>
      <c r="B12" s="92"/>
      <c r="C12" s="89"/>
      <c r="D12" s="90"/>
      <c r="E12" s="90"/>
      <c r="F12" s="90"/>
      <c r="G12" s="90"/>
      <c r="H12" s="90"/>
      <c r="I12" s="93"/>
      <c r="J12" s="94">
        <f t="shared" si="0"/>
        <v>0</v>
      </c>
    </row>
    <row r="13" spans="1:10" ht="15.75" thickBot="1" x14ac:dyDescent="0.3">
      <c r="A13" s="88"/>
      <c r="B13" s="88"/>
      <c r="C13" s="89"/>
      <c r="D13" s="90"/>
      <c r="E13" s="90"/>
      <c r="F13" s="90"/>
      <c r="G13" s="90"/>
      <c r="H13" s="90"/>
      <c r="I13" s="90"/>
      <c r="J13" s="87">
        <f t="shared" si="0"/>
        <v>0</v>
      </c>
    </row>
    <row r="14" spans="1:10" ht="15.75" thickBot="1" x14ac:dyDescent="0.3">
      <c r="A14" s="95"/>
      <c r="B14" s="96"/>
      <c r="C14" s="89"/>
      <c r="D14" s="90"/>
      <c r="E14" s="90"/>
      <c r="F14" s="90"/>
      <c r="G14" s="90"/>
      <c r="H14" s="90"/>
      <c r="I14" s="90"/>
      <c r="J14" s="87">
        <f t="shared" si="0"/>
        <v>0</v>
      </c>
    </row>
    <row r="15" spans="1:10" ht="15.75" thickBot="1" x14ac:dyDescent="0.3">
      <c r="A15" s="97"/>
      <c r="B15" s="95"/>
      <c r="C15" s="89"/>
      <c r="D15" s="90"/>
      <c r="E15" s="90"/>
      <c r="F15" s="90"/>
      <c r="G15" s="90"/>
      <c r="H15" s="90"/>
      <c r="I15" s="90"/>
      <c r="J15" s="87">
        <f t="shared" si="0"/>
        <v>0</v>
      </c>
    </row>
    <row r="16" spans="1:10" ht="15.75" thickBot="1" x14ac:dyDescent="0.3">
      <c r="A16" s="98"/>
      <c r="B16" s="98"/>
      <c r="C16" s="89"/>
      <c r="D16" s="90"/>
      <c r="E16" s="90"/>
      <c r="F16" s="90"/>
      <c r="G16" s="90"/>
      <c r="H16" s="90"/>
      <c r="I16" s="90"/>
      <c r="J16" s="87">
        <f t="shared" si="0"/>
        <v>0</v>
      </c>
    </row>
    <row r="17" spans="1:13" ht="15.75" thickBot="1" x14ac:dyDescent="0.3">
      <c r="A17" s="99"/>
      <c r="B17" s="98"/>
      <c r="C17" s="89"/>
      <c r="D17" s="90"/>
      <c r="E17" s="90"/>
      <c r="F17" s="90"/>
      <c r="G17" s="90"/>
      <c r="H17" s="90"/>
      <c r="I17" s="90"/>
      <c r="J17" s="87">
        <f t="shared" si="0"/>
        <v>0</v>
      </c>
    </row>
    <row r="18" spans="1:13" ht="15.75" thickBot="1" x14ac:dyDescent="0.3">
      <c r="A18" s="99"/>
      <c r="B18" s="98"/>
      <c r="C18" s="89"/>
      <c r="D18" s="90"/>
      <c r="E18" s="90"/>
      <c r="F18" s="90"/>
      <c r="G18" s="90"/>
      <c r="H18" s="90"/>
      <c r="I18" s="90"/>
      <c r="J18" s="87">
        <f t="shared" si="0"/>
        <v>0</v>
      </c>
    </row>
    <row r="19" spans="1:13" ht="15.75" thickBot="1" x14ac:dyDescent="0.3">
      <c r="A19" s="100"/>
      <c r="B19" s="98"/>
      <c r="C19" s="89"/>
      <c r="D19" s="90"/>
      <c r="E19" s="90"/>
      <c r="F19" s="90"/>
      <c r="G19" s="90"/>
      <c r="H19" s="90"/>
      <c r="I19" s="90"/>
      <c r="J19" s="87">
        <f t="shared" si="0"/>
        <v>0</v>
      </c>
    </row>
    <row r="20" spans="1:13" ht="15.75" thickBot="1" x14ac:dyDescent="0.3">
      <c r="A20" s="101"/>
      <c r="B20" s="101"/>
      <c r="C20" s="89"/>
      <c r="D20" s="90"/>
      <c r="E20" s="90"/>
      <c r="F20" s="90"/>
      <c r="G20" s="90"/>
      <c r="H20" s="90"/>
      <c r="I20" s="90"/>
      <c r="J20" s="87">
        <f t="shared" si="0"/>
        <v>0</v>
      </c>
    </row>
    <row r="21" spans="1:13" ht="15.75" thickBot="1" x14ac:dyDescent="0.3">
      <c r="A21" s="98"/>
      <c r="B21" s="102"/>
      <c r="C21" s="103"/>
      <c r="D21" s="104"/>
      <c r="E21" s="104"/>
      <c r="F21" s="104"/>
      <c r="G21" s="104"/>
      <c r="H21" s="104"/>
      <c r="I21" s="104"/>
      <c r="J21" s="87">
        <f t="shared" si="0"/>
        <v>0</v>
      </c>
    </row>
    <row r="22" spans="1:13" ht="19.5" thickBot="1" x14ac:dyDescent="0.35">
      <c r="A22" s="105" t="s">
        <v>4</v>
      </c>
      <c r="B22" s="86"/>
      <c r="C22" s="106"/>
      <c r="D22" s="107">
        <f t="shared" ref="D22:I22" si="1">SUM(D4:D21)</f>
        <v>0</v>
      </c>
      <c r="E22" s="107">
        <f t="shared" si="1"/>
        <v>0</v>
      </c>
      <c r="F22" s="107">
        <f t="shared" si="1"/>
        <v>500</v>
      </c>
      <c r="G22" s="107">
        <f t="shared" si="1"/>
        <v>650</v>
      </c>
      <c r="H22" s="107">
        <f t="shared" si="1"/>
        <v>0</v>
      </c>
      <c r="I22" s="107">
        <f t="shared" si="1"/>
        <v>10</v>
      </c>
      <c r="J22" s="108">
        <f>SUM(J4:J21)</f>
        <v>1160</v>
      </c>
    </row>
    <row r="23" spans="1:13" ht="19.5" thickBot="1" x14ac:dyDescent="0.35">
      <c r="A23" s="2"/>
      <c r="B23" s="109"/>
      <c r="C23" s="110"/>
      <c r="D23" s="111"/>
      <c r="E23" s="111"/>
      <c r="F23" s="111"/>
      <c r="G23" s="111"/>
      <c r="H23" s="111"/>
      <c r="I23" s="111"/>
      <c r="J23" s="111"/>
    </row>
    <row r="24" spans="1:13" ht="24" thickBot="1" x14ac:dyDescent="0.4">
      <c r="A24" s="112" t="s">
        <v>40</v>
      </c>
      <c r="B24" s="109"/>
      <c r="C24" s="110"/>
      <c r="D24" s="111"/>
      <c r="E24" s="111"/>
      <c r="F24" s="111"/>
      <c r="G24" s="111"/>
      <c r="H24" s="111"/>
      <c r="I24" s="111"/>
      <c r="J24" s="111"/>
    </row>
    <row r="25" spans="1:13" ht="15.75" thickBot="1" x14ac:dyDescent="0.3">
      <c r="A25" s="113" t="s">
        <v>3</v>
      </c>
      <c r="B25" s="86" t="s">
        <v>32</v>
      </c>
      <c r="C25" s="114" t="s">
        <v>41</v>
      </c>
      <c r="D25" s="114" t="s">
        <v>34</v>
      </c>
      <c r="E25" s="114" t="s">
        <v>35</v>
      </c>
      <c r="F25" s="86" t="s">
        <v>36</v>
      </c>
      <c r="G25" s="86" t="s">
        <v>37</v>
      </c>
      <c r="H25" s="86" t="s">
        <v>42</v>
      </c>
      <c r="I25" s="86" t="s">
        <v>39</v>
      </c>
      <c r="J25" s="115" t="s">
        <v>4</v>
      </c>
    </row>
    <row r="26" spans="1:13" ht="15.75" thickBot="1" x14ac:dyDescent="0.3">
      <c r="A26" s="101"/>
      <c r="B26" s="103"/>
      <c r="C26" s="103"/>
      <c r="D26" s="116"/>
      <c r="E26" s="117"/>
      <c r="F26" s="116"/>
      <c r="G26" s="116"/>
      <c r="H26" s="118"/>
      <c r="I26" s="118"/>
      <c r="J26" s="119">
        <f>SUM(D26:I26)</f>
        <v>0</v>
      </c>
    </row>
    <row r="27" spans="1:13" ht="15.75" thickBot="1" x14ac:dyDescent="0.3">
      <c r="A27" s="101"/>
      <c r="B27" s="103"/>
      <c r="C27" s="103"/>
      <c r="D27" s="116"/>
      <c r="E27" s="116"/>
      <c r="F27" s="116"/>
      <c r="G27" s="116"/>
      <c r="H27" s="118"/>
      <c r="I27" s="118"/>
      <c r="J27" s="119">
        <f t="shared" ref="J27:J29" si="2">SUM(D27:I27)</f>
        <v>0</v>
      </c>
    </row>
    <row r="28" spans="1:13" ht="15.75" thickBot="1" x14ac:dyDescent="0.3">
      <c r="A28" s="101"/>
      <c r="B28" s="98"/>
      <c r="C28" s="89"/>
      <c r="D28" s="120"/>
      <c r="E28" s="120"/>
      <c r="F28" s="120"/>
      <c r="G28" s="120"/>
      <c r="H28" s="90"/>
      <c r="I28" s="90"/>
      <c r="J28" s="119">
        <f t="shared" si="2"/>
        <v>0</v>
      </c>
    </row>
    <row r="29" spans="1:13" ht="15.75" thickBot="1" x14ac:dyDescent="0.3">
      <c r="A29" s="86"/>
      <c r="B29" s="121"/>
      <c r="C29" s="89"/>
      <c r="D29" s="120"/>
      <c r="E29" s="120"/>
      <c r="F29" s="120"/>
      <c r="G29" s="120"/>
      <c r="H29" s="90"/>
      <c r="I29" s="90"/>
      <c r="J29" s="119">
        <f t="shared" si="2"/>
        <v>0</v>
      </c>
      <c r="L29" s="122" t="s">
        <v>43</v>
      </c>
      <c r="M29" s="123">
        <f>J30+J38</f>
        <v>0</v>
      </c>
    </row>
    <row r="30" spans="1:13" ht="15.75" thickBot="1" x14ac:dyDescent="0.3">
      <c r="A30" s="86" t="s">
        <v>4</v>
      </c>
      <c r="B30" s="124"/>
      <c r="C30" s="125"/>
      <c r="D30" s="126"/>
      <c r="E30" s="126"/>
      <c r="F30" s="126"/>
      <c r="G30" s="126"/>
      <c r="H30" s="126"/>
      <c r="I30" s="126"/>
      <c r="J30" s="94">
        <f>SUM(J26:J29)</f>
        <v>0</v>
      </c>
    </row>
    <row r="31" spans="1:13" ht="15.75" thickBot="1" x14ac:dyDescent="0.3">
      <c r="A31" s="109"/>
      <c r="B31" s="127"/>
      <c r="C31" s="128"/>
      <c r="D31" s="129"/>
      <c r="E31" s="129"/>
      <c r="F31" s="129"/>
      <c r="G31" s="129"/>
      <c r="H31" s="129"/>
      <c r="I31" s="129"/>
      <c r="J31" s="130"/>
    </row>
    <row r="32" spans="1:13" ht="24" thickBot="1" x14ac:dyDescent="0.4">
      <c r="A32" s="112" t="s">
        <v>40</v>
      </c>
      <c r="B32" s="109"/>
      <c r="C32" s="110"/>
      <c r="D32" s="111"/>
      <c r="E32" s="111"/>
      <c r="F32" s="111"/>
      <c r="G32" s="111"/>
      <c r="H32" s="111"/>
      <c r="I32" s="111"/>
      <c r="J32" s="111"/>
    </row>
    <row r="33" spans="1:13" ht="45.75" thickBot="1" x14ac:dyDescent="0.3">
      <c r="A33" s="131" t="s">
        <v>44</v>
      </c>
      <c r="B33" s="86" t="s">
        <v>45</v>
      </c>
      <c r="C33" s="114" t="s">
        <v>41</v>
      </c>
      <c r="D33" s="114" t="s">
        <v>34</v>
      </c>
      <c r="E33" s="114" t="s">
        <v>35</v>
      </c>
      <c r="F33" s="114" t="s">
        <v>46</v>
      </c>
      <c r="G33" s="114" t="s">
        <v>47</v>
      </c>
      <c r="H33" s="114" t="s">
        <v>42</v>
      </c>
      <c r="I33" s="132" t="s">
        <v>48</v>
      </c>
      <c r="J33" s="115" t="s">
        <v>4</v>
      </c>
    </row>
    <row r="34" spans="1:13" ht="15.75" thickBot="1" x14ac:dyDescent="0.3">
      <c r="A34" s="133"/>
      <c r="B34" s="99"/>
      <c r="C34" s="89"/>
      <c r="D34" s="90"/>
      <c r="E34" s="90"/>
      <c r="F34" s="90"/>
      <c r="G34" s="90"/>
      <c r="H34" s="90"/>
      <c r="I34" s="90"/>
      <c r="J34" s="87">
        <f t="shared" ref="J34:J37" si="3">SUM(D34:I34)</f>
        <v>0</v>
      </c>
    </row>
    <row r="35" spans="1:13" ht="15.75" thickBot="1" x14ac:dyDescent="0.3">
      <c r="A35" s="95"/>
      <c r="B35" s="103"/>
      <c r="C35" s="89"/>
      <c r="D35" s="116"/>
      <c r="E35" s="116"/>
      <c r="F35" s="116"/>
      <c r="G35" s="116"/>
      <c r="H35" s="118"/>
      <c r="I35" s="118"/>
      <c r="J35" s="119">
        <f t="shared" si="3"/>
        <v>0</v>
      </c>
    </row>
    <row r="36" spans="1:13" ht="15.75" thickBot="1" x14ac:dyDescent="0.3">
      <c r="A36" s="101"/>
      <c r="B36" s="98"/>
      <c r="C36" s="89"/>
      <c r="D36" s="120"/>
      <c r="E36" s="120"/>
      <c r="F36" s="120"/>
      <c r="G36" s="120"/>
      <c r="H36" s="90"/>
      <c r="I36" s="90"/>
      <c r="J36" s="119">
        <f t="shared" si="3"/>
        <v>0</v>
      </c>
    </row>
    <row r="37" spans="1:13" ht="15.75" thickBot="1" x14ac:dyDescent="0.3">
      <c r="A37" s="86"/>
      <c r="B37" s="121"/>
      <c r="C37" s="89"/>
      <c r="D37" s="120"/>
      <c r="E37" s="120"/>
      <c r="F37" s="120"/>
      <c r="G37" s="120"/>
      <c r="H37" s="90"/>
      <c r="I37" s="90"/>
      <c r="J37" s="119">
        <f t="shared" si="3"/>
        <v>0</v>
      </c>
      <c r="L37" s="134"/>
      <c r="M37" s="135"/>
    </row>
    <row r="38" spans="1:13" ht="15.75" thickBot="1" x14ac:dyDescent="0.3">
      <c r="A38" s="86" t="s">
        <v>4</v>
      </c>
      <c r="B38" s="124"/>
      <c r="C38" s="125"/>
      <c r="D38" s="126"/>
      <c r="E38" s="126"/>
      <c r="F38" s="126"/>
      <c r="G38" s="126"/>
      <c r="H38" s="126"/>
      <c r="I38" s="126"/>
      <c r="J38" s="94">
        <f>SUM(J34:J37)</f>
        <v>0</v>
      </c>
    </row>
    <row r="39" spans="1:13" x14ac:dyDescent="0.25">
      <c r="A39" s="109"/>
      <c r="B39" s="127"/>
      <c r="C39" s="128"/>
      <c r="D39" s="129"/>
      <c r="E39" s="129"/>
      <c r="F39" s="129"/>
      <c r="G39" s="129"/>
      <c r="H39" s="129"/>
      <c r="I39" s="129"/>
      <c r="J39" s="130"/>
    </row>
    <row r="40" spans="1:13" x14ac:dyDescent="0.25">
      <c r="A40" s="109"/>
      <c r="B40" s="127"/>
      <c r="C40" s="128"/>
      <c r="D40" s="129"/>
      <c r="E40" s="129"/>
      <c r="F40" s="129"/>
      <c r="G40" s="129"/>
      <c r="H40" s="129"/>
      <c r="I40" s="129"/>
      <c r="J40" s="130"/>
    </row>
    <row r="41" spans="1:13" ht="15.75" thickBot="1" x14ac:dyDescent="0.3">
      <c r="A41" s="84"/>
      <c r="B41" s="84"/>
      <c r="C41" s="84"/>
      <c r="J41" s="85"/>
    </row>
    <row r="42" spans="1:13" ht="45.75" thickBot="1" x14ac:dyDescent="0.3">
      <c r="A42" s="114" t="s">
        <v>49</v>
      </c>
      <c r="B42" s="86" t="s">
        <v>45</v>
      </c>
      <c r="C42" s="114" t="s">
        <v>41</v>
      </c>
      <c r="D42" s="114" t="s">
        <v>34</v>
      </c>
      <c r="E42" s="114" t="s">
        <v>35</v>
      </c>
      <c r="F42" s="114" t="s">
        <v>46</v>
      </c>
      <c r="G42" s="114" t="s">
        <v>47</v>
      </c>
      <c r="H42" s="86" t="s">
        <v>48</v>
      </c>
      <c r="I42" s="132" t="s">
        <v>42</v>
      </c>
      <c r="J42" s="115" t="s">
        <v>4</v>
      </c>
    </row>
    <row r="43" spans="1:13" ht="15.75" thickBot="1" x14ac:dyDescent="0.3">
      <c r="A43" s="121"/>
      <c r="B43" s="103"/>
      <c r="C43" s="103"/>
      <c r="D43" s="118"/>
      <c r="E43" s="136"/>
      <c r="F43" s="118"/>
      <c r="G43" s="118"/>
      <c r="H43" s="118"/>
      <c r="I43" s="118"/>
      <c r="J43" s="119">
        <f>SUM(D43:I43)</f>
        <v>0</v>
      </c>
    </row>
    <row r="44" spans="1:13" ht="15.75" thickBot="1" x14ac:dyDescent="0.3">
      <c r="A44" s="121"/>
      <c r="B44" s="103"/>
      <c r="C44" s="103"/>
      <c r="D44" s="118"/>
      <c r="E44" s="118"/>
      <c r="F44" s="118"/>
      <c r="G44" s="118"/>
      <c r="H44" s="118"/>
      <c r="I44" s="118"/>
      <c r="J44" s="119">
        <f t="shared" ref="J44:J56" si="4">SUM(D44:I44)</f>
        <v>0</v>
      </c>
    </row>
    <row r="45" spans="1:13" ht="15.75" thickBot="1" x14ac:dyDescent="0.3">
      <c r="A45" s="98"/>
      <c r="B45" s="103"/>
      <c r="C45" s="103"/>
      <c r="D45" s="118"/>
      <c r="E45" s="118"/>
      <c r="F45" s="118"/>
      <c r="G45" s="118"/>
      <c r="H45" s="118"/>
      <c r="I45" s="118"/>
      <c r="J45" s="119">
        <f t="shared" si="4"/>
        <v>0</v>
      </c>
    </row>
    <row r="46" spans="1:13" ht="15.75" thickBot="1" x14ac:dyDescent="0.3">
      <c r="A46" s="121"/>
      <c r="B46" s="103"/>
      <c r="C46" s="103"/>
      <c r="D46" s="118"/>
      <c r="E46" s="118"/>
      <c r="F46" s="118"/>
      <c r="G46" s="118"/>
      <c r="H46" s="118"/>
      <c r="I46" s="118"/>
      <c r="J46" s="119">
        <f t="shared" si="4"/>
        <v>0</v>
      </c>
    </row>
    <row r="47" spans="1:13" ht="15.75" thickBot="1" x14ac:dyDescent="0.3">
      <c r="A47" s="121"/>
      <c r="B47" s="103"/>
      <c r="C47" s="103"/>
      <c r="D47" s="118"/>
      <c r="E47" s="118"/>
      <c r="F47" s="118"/>
      <c r="G47" s="118"/>
      <c r="H47" s="118"/>
      <c r="I47" s="118"/>
      <c r="J47" s="119">
        <f t="shared" si="4"/>
        <v>0</v>
      </c>
    </row>
    <row r="48" spans="1:13" ht="15.75" thickBot="1" x14ac:dyDescent="0.3">
      <c r="A48" s="98"/>
      <c r="B48" s="103"/>
      <c r="C48" s="103"/>
      <c r="D48" s="118"/>
      <c r="E48" s="118"/>
      <c r="F48" s="118"/>
      <c r="G48" s="118"/>
      <c r="H48" s="118"/>
      <c r="I48" s="118"/>
      <c r="J48" s="119">
        <f t="shared" si="4"/>
        <v>0</v>
      </c>
    </row>
    <row r="49" spans="1:10" ht="15.75" thickBot="1" x14ac:dyDescent="0.3">
      <c r="A49" s="98"/>
      <c r="B49" s="103"/>
      <c r="C49" s="103"/>
      <c r="D49" s="118"/>
      <c r="E49" s="118"/>
      <c r="F49" s="118"/>
      <c r="G49" s="118"/>
      <c r="H49" s="118"/>
      <c r="I49" s="118"/>
      <c r="J49" s="119">
        <f t="shared" si="4"/>
        <v>0</v>
      </c>
    </row>
    <row r="50" spans="1:10" ht="15.75" thickBot="1" x14ac:dyDescent="0.3">
      <c r="A50" s="98"/>
      <c r="B50" s="103"/>
      <c r="C50" s="103"/>
      <c r="D50" s="118"/>
      <c r="E50" s="118"/>
      <c r="F50" s="118"/>
      <c r="G50" s="118"/>
      <c r="H50" s="118"/>
      <c r="I50" s="118"/>
      <c r="J50" s="119">
        <f t="shared" si="4"/>
        <v>0</v>
      </c>
    </row>
    <row r="51" spans="1:10" ht="15.75" thickBot="1" x14ac:dyDescent="0.3">
      <c r="A51" s="98"/>
      <c r="B51" s="103"/>
      <c r="C51" s="103"/>
      <c r="D51" s="118"/>
      <c r="E51" s="118"/>
      <c r="F51" s="118"/>
      <c r="G51" s="118"/>
      <c r="H51" s="118"/>
      <c r="I51" s="118"/>
      <c r="J51" s="119">
        <f t="shared" si="4"/>
        <v>0</v>
      </c>
    </row>
    <row r="52" spans="1:10" ht="15.75" thickBot="1" x14ac:dyDescent="0.3">
      <c r="A52" s="98"/>
      <c r="B52" s="103"/>
      <c r="C52" s="103"/>
      <c r="D52" s="118"/>
      <c r="E52" s="118"/>
      <c r="F52" s="118"/>
      <c r="G52" s="118"/>
      <c r="H52" s="118"/>
      <c r="I52" s="118"/>
      <c r="J52" s="119">
        <f t="shared" si="4"/>
        <v>0</v>
      </c>
    </row>
    <row r="53" spans="1:10" ht="15.75" thickBot="1" x14ac:dyDescent="0.3">
      <c r="A53" s="137"/>
      <c r="B53" s="103"/>
      <c r="C53" s="103"/>
      <c r="D53" s="118"/>
      <c r="E53" s="118"/>
      <c r="F53" s="118"/>
      <c r="G53" s="118"/>
      <c r="H53" s="118"/>
      <c r="I53" s="118"/>
      <c r="J53" s="119">
        <f t="shared" si="4"/>
        <v>0</v>
      </c>
    </row>
    <row r="54" spans="1:10" ht="15.75" thickBot="1" x14ac:dyDescent="0.3">
      <c r="A54" s="121"/>
      <c r="B54" s="103"/>
      <c r="C54" s="103"/>
      <c r="D54" s="118"/>
      <c r="F54" s="118"/>
      <c r="G54" s="118"/>
      <c r="H54" s="118"/>
      <c r="I54" s="118"/>
      <c r="J54" s="119">
        <f t="shared" si="4"/>
        <v>0</v>
      </c>
    </row>
    <row r="55" spans="1:10" ht="15.75" thickBot="1" x14ac:dyDescent="0.3">
      <c r="A55" s="121"/>
      <c r="B55" s="103"/>
      <c r="C55" s="103"/>
      <c r="D55" s="118"/>
      <c r="E55" s="118"/>
      <c r="F55" s="118"/>
      <c r="G55" s="118"/>
      <c r="H55" s="118"/>
      <c r="I55" s="118"/>
      <c r="J55" s="119">
        <f t="shared" si="4"/>
        <v>0</v>
      </c>
    </row>
    <row r="56" spans="1:10" ht="15.75" thickBot="1" x14ac:dyDescent="0.3">
      <c r="A56" s="121"/>
      <c r="B56" s="103"/>
      <c r="C56" s="103"/>
      <c r="D56" s="138"/>
      <c r="E56" s="138"/>
      <c r="F56" s="138"/>
      <c r="G56" s="138"/>
      <c r="H56" s="138"/>
      <c r="I56" s="138"/>
      <c r="J56" s="119">
        <f t="shared" si="4"/>
        <v>0</v>
      </c>
    </row>
    <row r="57" spans="1:10" ht="19.5" thickBot="1" x14ac:dyDescent="0.35">
      <c r="A57" s="105" t="s">
        <v>4</v>
      </c>
      <c r="B57" s="86"/>
      <c r="C57" s="106"/>
      <c r="D57" s="107">
        <f t="shared" ref="D57:J57" si="5">SUM(D43:D56)</f>
        <v>0</v>
      </c>
      <c r="E57" s="107">
        <f t="shared" si="5"/>
        <v>0</v>
      </c>
      <c r="F57" s="107">
        <f t="shared" si="5"/>
        <v>0</v>
      </c>
      <c r="G57" s="107">
        <f t="shared" si="5"/>
        <v>0</v>
      </c>
      <c r="H57" s="107">
        <f t="shared" si="5"/>
        <v>0</v>
      </c>
      <c r="I57" s="107">
        <f t="shared" si="5"/>
        <v>0</v>
      </c>
      <c r="J57" s="107">
        <f t="shared" si="5"/>
        <v>0</v>
      </c>
    </row>
    <row r="58" spans="1:10" ht="15.75" x14ac:dyDescent="0.25">
      <c r="A58" s="139"/>
      <c r="B58" s="139"/>
      <c r="C58" s="140"/>
      <c r="D58" s="141"/>
      <c r="E58" s="141"/>
      <c r="F58" s="141"/>
      <c r="G58" s="141"/>
      <c r="H58" s="141"/>
      <c r="I58" s="141"/>
      <c r="J58" s="141"/>
    </row>
    <row r="59" spans="1:10" ht="16.5" thickBot="1" x14ac:dyDescent="0.3">
      <c r="A59" s="139"/>
      <c r="B59" s="139"/>
      <c r="C59" s="140"/>
      <c r="D59" s="141"/>
      <c r="E59" s="141"/>
      <c r="F59" s="141"/>
      <c r="G59" s="141"/>
      <c r="H59" s="141"/>
      <c r="I59" s="141"/>
      <c r="J59" s="141"/>
    </row>
    <row r="60" spans="1:10" ht="19.5" thickBot="1" x14ac:dyDescent="0.35">
      <c r="A60" s="492" t="s">
        <v>50</v>
      </c>
      <c r="B60" s="493"/>
      <c r="C60" s="142"/>
      <c r="D60" s="143"/>
      <c r="E60" s="143"/>
      <c r="F60" s="143"/>
      <c r="G60" s="143"/>
      <c r="H60" s="143"/>
      <c r="I60" s="143"/>
      <c r="J60" s="108">
        <f>+J22+J57</f>
        <v>1160</v>
      </c>
    </row>
    <row r="61" spans="1:10" x14ac:dyDescent="0.25">
      <c r="A61" s="84"/>
      <c r="B61" s="84"/>
      <c r="C61" s="144"/>
      <c r="D61" s="85"/>
      <c r="E61" s="85"/>
      <c r="F61" s="85"/>
      <c r="G61" s="85"/>
      <c r="H61" s="85"/>
      <c r="I61" s="85"/>
      <c r="J61" s="85"/>
    </row>
    <row r="62" spans="1:10" x14ac:dyDescent="0.25">
      <c r="A62" s="84"/>
      <c r="B62" s="84"/>
      <c r="C62" s="144"/>
      <c r="D62" s="85"/>
      <c r="E62" s="85"/>
      <c r="F62" s="85"/>
      <c r="G62" s="85"/>
      <c r="H62" s="85"/>
      <c r="I62" s="85"/>
      <c r="J62" s="85"/>
    </row>
    <row r="63" spans="1:10" ht="16.5" thickBot="1" x14ac:dyDescent="0.3">
      <c r="A63" s="145" t="s">
        <v>51</v>
      </c>
      <c r="B63" s="84"/>
      <c r="C63" s="144"/>
      <c r="D63" s="85"/>
      <c r="E63" s="85"/>
      <c r="F63" s="85"/>
      <c r="G63" s="85"/>
      <c r="H63" s="85"/>
      <c r="I63" s="85"/>
      <c r="J63" s="85"/>
    </row>
    <row r="64" spans="1:10" ht="19.5" thickBot="1" x14ac:dyDescent="0.35">
      <c r="A64" s="146" t="s">
        <v>52</v>
      </c>
      <c r="B64" s="147"/>
      <c r="C64" s="148"/>
      <c r="D64" s="149"/>
      <c r="E64" s="149"/>
      <c r="F64" s="149"/>
      <c r="G64" s="149"/>
      <c r="H64" s="149"/>
      <c r="I64" s="149"/>
      <c r="J64" s="108"/>
    </row>
    <row r="65" spans="1:10" ht="19.5" thickBot="1" x14ac:dyDescent="0.35">
      <c r="A65" s="146" t="s">
        <v>53</v>
      </c>
      <c r="B65" s="147"/>
      <c r="C65" s="150"/>
      <c r="D65" s="149"/>
      <c r="E65" s="149"/>
      <c r="F65" s="149"/>
      <c r="G65" s="149"/>
      <c r="H65" s="149"/>
      <c r="I65" s="149"/>
      <c r="J65" s="108"/>
    </row>
    <row r="66" spans="1:10" ht="18.75" x14ac:dyDescent="0.3">
      <c r="A66" s="151"/>
      <c r="B66" s="151"/>
      <c r="C66" s="152"/>
      <c r="D66" s="153"/>
      <c r="E66" s="153"/>
      <c r="F66" s="153"/>
      <c r="G66" s="153"/>
      <c r="H66" s="153"/>
      <c r="I66" s="153"/>
      <c r="J66" s="111"/>
    </row>
    <row r="67" spans="1:10" ht="18.75" x14ac:dyDescent="0.3">
      <c r="A67" s="151"/>
      <c r="B67" s="151"/>
      <c r="C67" s="152"/>
      <c r="D67" s="153"/>
      <c r="E67" s="153"/>
      <c r="F67" s="153"/>
      <c r="G67" s="153"/>
      <c r="H67" s="153"/>
      <c r="I67" s="153"/>
      <c r="J67" s="111"/>
    </row>
    <row r="68" spans="1:10" ht="16.5" thickBot="1" x14ac:dyDescent="0.3">
      <c r="A68" s="154" t="s">
        <v>54</v>
      </c>
      <c r="B68" s="155"/>
      <c r="C68" s="144"/>
      <c r="D68" s="85"/>
      <c r="E68" s="85"/>
      <c r="F68" s="85"/>
      <c r="G68" s="85"/>
      <c r="H68" s="85"/>
      <c r="I68" s="85"/>
      <c r="J68" s="85"/>
    </row>
    <row r="69" spans="1:10" ht="19.5" thickBot="1" x14ac:dyDescent="0.35">
      <c r="A69" s="156" t="s">
        <v>55</v>
      </c>
      <c r="B69" s="157"/>
      <c r="C69" s="158"/>
      <c r="D69" s="159"/>
      <c r="E69" s="159"/>
      <c r="F69" s="159"/>
      <c r="G69" s="159"/>
      <c r="H69" s="159"/>
      <c r="I69" s="159"/>
      <c r="J69" s="160">
        <v>377.5</v>
      </c>
    </row>
    <row r="70" spans="1:10" x14ac:dyDescent="0.25">
      <c r="A70" s="161"/>
      <c r="B70" s="84"/>
      <c r="C70" s="144"/>
      <c r="D70" s="85"/>
      <c r="E70" s="85"/>
      <c r="F70" s="85"/>
      <c r="G70" s="85"/>
      <c r="H70" s="85"/>
      <c r="I70" s="85"/>
      <c r="J70" s="85"/>
    </row>
    <row r="71" spans="1:10" ht="16.5" thickBot="1" x14ac:dyDescent="0.3">
      <c r="A71" s="154"/>
      <c r="B71" s="155"/>
      <c r="C71" s="144"/>
      <c r="D71" s="85"/>
      <c r="E71" s="85"/>
      <c r="F71" s="85"/>
      <c r="G71" s="85"/>
      <c r="H71" s="85"/>
      <c r="I71" s="85"/>
      <c r="J71" s="85"/>
    </row>
    <row r="72" spans="1:10" ht="19.5" thickBot="1" x14ac:dyDescent="0.35">
      <c r="A72" s="156" t="s">
        <v>56</v>
      </c>
      <c r="B72" s="157"/>
      <c r="C72" s="162"/>
      <c r="D72" s="159"/>
      <c r="E72" s="159"/>
      <c r="F72" s="159"/>
      <c r="G72" s="159"/>
      <c r="H72" s="159"/>
      <c r="I72" s="159"/>
      <c r="J72" s="163"/>
    </row>
    <row r="73" spans="1:10" ht="15.75" thickBot="1" x14ac:dyDescent="0.3">
      <c r="A73" s="161"/>
      <c r="B73" s="84"/>
      <c r="C73" s="144"/>
      <c r="D73" s="85"/>
      <c r="E73" s="85"/>
      <c r="F73" s="85"/>
      <c r="G73" s="85"/>
      <c r="H73" s="85"/>
      <c r="I73" s="85"/>
      <c r="J73" s="85"/>
    </row>
    <row r="74" spans="1:10" ht="21.75" thickBot="1" x14ac:dyDescent="0.4">
      <c r="A74" s="494" t="s">
        <v>57</v>
      </c>
      <c r="B74" s="495"/>
      <c r="C74" s="164"/>
      <c r="D74" s="165"/>
      <c r="E74" s="165"/>
      <c r="F74" s="165"/>
      <c r="G74" s="165"/>
      <c r="H74" s="165"/>
      <c r="I74" s="165"/>
      <c r="J74" s="166">
        <f>SUM(J60:J73)</f>
        <v>1537.5</v>
      </c>
    </row>
    <row r="75" spans="1:10" x14ac:dyDescent="0.25">
      <c r="A75" s="84"/>
      <c r="B75" s="84"/>
      <c r="C75" s="144"/>
      <c r="D75" s="85"/>
      <c r="E75" s="85"/>
      <c r="F75" s="85"/>
      <c r="G75" s="85"/>
      <c r="H75" s="85"/>
      <c r="I75" s="85"/>
      <c r="J75" s="85"/>
    </row>
    <row r="76" spans="1:10" ht="21" x14ac:dyDescent="0.35">
      <c r="A76" s="491" t="s">
        <v>69</v>
      </c>
      <c r="B76" s="491"/>
      <c r="C76" s="491"/>
      <c r="D76" s="491"/>
      <c r="E76" s="491"/>
      <c r="F76" s="491"/>
      <c r="G76" s="491"/>
      <c r="H76" s="491"/>
      <c r="I76" s="491"/>
      <c r="J76" s="491"/>
    </row>
    <row r="77" spans="1:10" ht="21.75" thickBot="1" x14ac:dyDescent="0.4">
      <c r="A77" s="167" t="s">
        <v>10</v>
      </c>
      <c r="B77" s="167"/>
      <c r="C77" s="167"/>
      <c r="D77" s="167"/>
      <c r="E77" s="167"/>
      <c r="F77" s="167"/>
      <c r="G77" s="167"/>
      <c r="H77" s="167"/>
      <c r="I77" s="167"/>
      <c r="J77" s="168"/>
    </row>
    <row r="78" spans="1:10" ht="15.75" thickBot="1" x14ac:dyDescent="0.3">
      <c r="A78" s="169" t="s">
        <v>58</v>
      </c>
      <c r="B78" s="170" t="s">
        <v>59</v>
      </c>
      <c r="C78" s="496" t="s">
        <v>33</v>
      </c>
      <c r="D78" s="497"/>
      <c r="E78" s="497"/>
      <c r="F78" s="497"/>
      <c r="G78" s="497"/>
      <c r="H78" s="497"/>
      <c r="I78" s="498"/>
      <c r="J78" s="171" t="s">
        <v>4</v>
      </c>
    </row>
    <row r="79" spans="1:10" ht="15.75" thickBot="1" x14ac:dyDescent="0.3">
      <c r="A79" s="172" t="s">
        <v>109</v>
      </c>
      <c r="B79" s="173" t="s">
        <v>110</v>
      </c>
      <c r="C79" s="488" t="s">
        <v>111</v>
      </c>
      <c r="D79" s="489"/>
      <c r="E79" s="489"/>
      <c r="F79" s="489"/>
      <c r="G79" s="489"/>
      <c r="H79" s="489"/>
      <c r="I79" s="489"/>
      <c r="J79" s="104">
        <v>61.4</v>
      </c>
    </row>
    <row r="80" spans="1:10" ht="15.75" thickBot="1" x14ac:dyDescent="0.3">
      <c r="A80" s="121" t="s">
        <v>112</v>
      </c>
      <c r="B80" s="173" t="s">
        <v>113</v>
      </c>
      <c r="C80" s="488" t="s">
        <v>114</v>
      </c>
      <c r="D80" s="489"/>
      <c r="E80" s="489"/>
      <c r="F80" s="489"/>
      <c r="G80" s="489"/>
      <c r="H80" s="490"/>
      <c r="I80" s="490"/>
      <c r="J80" s="104">
        <v>31</v>
      </c>
    </row>
    <row r="81" spans="1:10" ht="30.75" thickBot="1" x14ac:dyDescent="0.3">
      <c r="A81" s="121" t="s">
        <v>115</v>
      </c>
      <c r="B81" s="173" t="s">
        <v>116</v>
      </c>
      <c r="C81" s="504" t="s">
        <v>117</v>
      </c>
      <c r="D81" s="505"/>
      <c r="E81" s="505"/>
      <c r="F81" s="505"/>
      <c r="G81" s="505"/>
      <c r="H81" s="505"/>
      <c r="I81" s="505"/>
      <c r="J81" s="174">
        <v>50</v>
      </c>
    </row>
    <row r="82" spans="1:10" ht="15.75" thickBot="1" x14ac:dyDescent="0.3">
      <c r="A82" s="121" t="s">
        <v>118</v>
      </c>
      <c r="B82" s="173" t="s">
        <v>119</v>
      </c>
      <c r="C82" s="488" t="s">
        <v>120</v>
      </c>
      <c r="D82" s="489"/>
      <c r="E82" s="489"/>
      <c r="F82" s="489"/>
      <c r="G82" s="489"/>
      <c r="H82" s="490"/>
      <c r="I82" s="490"/>
      <c r="J82" s="104">
        <v>600</v>
      </c>
    </row>
    <row r="83" spans="1:10" ht="15.75" thickBot="1" x14ac:dyDescent="0.3">
      <c r="A83" s="121"/>
      <c r="B83" s="173"/>
      <c r="C83" s="488"/>
      <c r="D83" s="489"/>
      <c r="E83" s="489"/>
      <c r="F83" s="489"/>
      <c r="G83" s="489"/>
      <c r="H83" s="490"/>
      <c r="I83" s="490"/>
      <c r="J83" s="104"/>
    </row>
    <row r="84" spans="1:10" ht="15.75" thickBot="1" x14ac:dyDescent="0.3">
      <c r="A84" s="121"/>
      <c r="B84" s="173"/>
      <c r="C84" s="488"/>
      <c r="D84" s="489"/>
      <c r="E84" s="489"/>
      <c r="F84" s="489"/>
      <c r="G84" s="489"/>
      <c r="H84" s="490"/>
      <c r="I84" s="490"/>
      <c r="J84" s="104"/>
    </row>
    <row r="85" spans="1:10" ht="15.75" thickBot="1" x14ac:dyDescent="0.3">
      <c r="A85" s="121"/>
      <c r="B85" s="173"/>
      <c r="C85" s="488"/>
      <c r="D85" s="489"/>
      <c r="E85" s="489"/>
      <c r="F85" s="489"/>
      <c r="G85" s="489"/>
      <c r="H85" s="490"/>
      <c r="I85" s="490"/>
      <c r="J85" s="104"/>
    </row>
    <row r="86" spans="1:10" ht="15.75" thickBot="1" x14ac:dyDescent="0.3">
      <c r="A86" s="121"/>
      <c r="B86" s="173"/>
      <c r="C86" s="488"/>
      <c r="D86" s="489"/>
      <c r="E86" s="489"/>
      <c r="F86" s="489"/>
      <c r="G86" s="489"/>
      <c r="H86" s="490"/>
      <c r="I86" s="490"/>
      <c r="J86" s="104"/>
    </row>
    <row r="87" spans="1:10" ht="15.75" thickBot="1" x14ac:dyDescent="0.3">
      <c r="A87" s="121"/>
      <c r="B87" s="173"/>
      <c r="C87" s="488"/>
      <c r="D87" s="489"/>
      <c r="E87" s="489"/>
      <c r="F87" s="489"/>
      <c r="G87" s="489"/>
      <c r="H87" s="490"/>
      <c r="I87" s="490"/>
      <c r="J87" s="118"/>
    </row>
    <row r="88" spans="1:10" ht="15.75" thickBot="1" x14ac:dyDescent="0.3">
      <c r="A88" s="121"/>
      <c r="B88" s="173"/>
      <c r="C88" s="488"/>
      <c r="D88" s="489"/>
      <c r="E88" s="489"/>
      <c r="F88" s="489"/>
      <c r="G88" s="489"/>
      <c r="H88" s="490"/>
      <c r="I88" s="490"/>
      <c r="J88" s="118"/>
    </row>
    <row r="89" spans="1:10" ht="15.75" thickBot="1" x14ac:dyDescent="0.3">
      <c r="A89" s="121"/>
      <c r="B89" s="173"/>
      <c r="C89" s="488"/>
      <c r="D89" s="489"/>
      <c r="E89" s="489"/>
      <c r="F89" s="489"/>
      <c r="G89" s="489"/>
      <c r="H89" s="490"/>
      <c r="I89" s="490"/>
      <c r="J89" s="118"/>
    </row>
    <row r="90" spans="1:10" ht="15.75" thickBot="1" x14ac:dyDescent="0.3">
      <c r="A90" s="121"/>
      <c r="B90" s="173"/>
      <c r="C90" s="488"/>
      <c r="D90" s="489"/>
      <c r="E90" s="489"/>
      <c r="F90" s="489"/>
      <c r="G90" s="489"/>
      <c r="H90" s="490"/>
      <c r="I90" s="490"/>
      <c r="J90" s="118"/>
    </row>
    <row r="91" spans="1:10" ht="15.75" thickBot="1" x14ac:dyDescent="0.3">
      <c r="A91" s="121"/>
      <c r="B91" s="173"/>
      <c r="C91" s="488"/>
      <c r="D91" s="489"/>
      <c r="E91" s="489"/>
      <c r="F91" s="489"/>
      <c r="G91" s="489"/>
      <c r="H91" s="490"/>
      <c r="I91" s="490"/>
      <c r="J91" s="118"/>
    </row>
    <row r="92" spans="1:10" ht="19.5" thickBot="1" x14ac:dyDescent="0.35">
      <c r="A92" s="175" t="s">
        <v>60</v>
      </c>
      <c r="B92" s="492"/>
      <c r="C92" s="499"/>
      <c r="D92" s="499"/>
      <c r="E92" s="499"/>
      <c r="F92" s="499"/>
      <c r="G92" s="499"/>
      <c r="H92" s="499"/>
      <c r="I92" s="499"/>
      <c r="J92" s="176">
        <f>SUM(J79:J91)</f>
        <v>742.4</v>
      </c>
    </row>
    <row r="93" spans="1:10" ht="18.75" x14ac:dyDescent="0.3">
      <c r="A93" s="2"/>
      <c r="B93" s="2"/>
      <c r="C93" s="177"/>
      <c r="D93" s="177"/>
      <c r="E93" s="177"/>
      <c r="F93" s="178"/>
      <c r="G93" s="177"/>
      <c r="H93" s="177"/>
      <c r="I93" s="177"/>
      <c r="J93" s="111"/>
    </row>
    <row r="94" spans="1:10" ht="18.75" x14ac:dyDescent="0.3">
      <c r="A94" s="2"/>
      <c r="B94" s="2"/>
      <c r="C94" s="177"/>
      <c r="D94" s="177"/>
      <c r="E94" s="177"/>
      <c r="F94" s="178"/>
      <c r="G94" s="177"/>
      <c r="H94" s="177"/>
      <c r="I94" s="177"/>
      <c r="J94" s="111"/>
    </row>
    <row r="95" spans="1:10" ht="18.75" x14ac:dyDescent="0.3">
      <c r="A95" s="139" t="s">
        <v>61</v>
      </c>
      <c r="B95" s="2"/>
      <c r="C95" s="84"/>
      <c r="D95" s="85"/>
      <c r="F95" s="85"/>
      <c r="J95" s="85"/>
    </row>
    <row r="96" spans="1:10" x14ac:dyDescent="0.25">
      <c r="A96" s="84" t="s">
        <v>62</v>
      </c>
      <c r="B96" s="144">
        <f>+J74</f>
        <v>1537.5</v>
      </c>
      <c r="C96" s="179"/>
      <c r="D96" s="85"/>
      <c r="F96" s="85"/>
      <c r="J96" s="85"/>
    </row>
    <row r="97" spans="1:10" ht="15.75" thickBot="1" x14ac:dyDescent="0.3">
      <c r="A97" s="84" t="s">
        <v>60</v>
      </c>
      <c r="B97" s="180">
        <f>+J92</f>
        <v>742.4</v>
      </c>
      <c r="C97" s="181"/>
      <c r="D97" s="85"/>
      <c r="F97" s="85"/>
      <c r="G97" s="182"/>
      <c r="H97" s="182"/>
      <c r="I97" s="183"/>
      <c r="J97" s="183"/>
    </row>
    <row r="98" spans="1:10" ht="17.25" thickTop="1" thickBot="1" x14ac:dyDescent="0.3">
      <c r="A98" s="139" t="s">
        <v>8</v>
      </c>
      <c r="B98" s="184">
        <f>++B96-B97</f>
        <v>795.1</v>
      </c>
      <c r="C98" s="185"/>
      <c r="D98" s="186"/>
      <c r="E98" s="41"/>
      <c r="F98" s="186"/>
      <c r="G98" s="187"/>
      <c r="H98" s="187"/>
      <c r="I98" s="85"/>
    </row>
    <row r="99" spans="1:10" ht="15.75" thickTop="1" x14ac:dyDescent="0.25"/>
  </sheetData>
  <mergeCells count="19">
    <mergeCell ref="B92:I92"/>
    <mergeCell ref="C86:I86"/>
    <mergeCell ref="C87:I87"/>
    <mergeCell ref="C88:I88"/>
    <mergeCell ref="C89:I89"/>
    <mergeCell ref="C90:I90"/>
    <mergeCell ref="C91:I91"/>
    <mergeCell ref="C85:I85"/>
    <mergeCell ref="A1:J1"/>
    <mergeCell ref="A60:B60"/>
    <mergeCell ref="A74:B74"/>
    <mergeCell ref="A76:J76"/>
    <mergeCell ref="C78:I78"/>
    <mergeCell ref="C79:I79"/>
    <mergeCell ref="C80:I80"/>
    <mergeCell ref="C81:I81"/>
    <mergeCell ref="C82:I82"/>
    <mergeCell ref="C83:I83"/>
    <mergeCell ref="C84:I84"/>
  </mergeCells>
  <phoneticPr fontId="15" type="noConversion"/>
  <pageMargins left="0.17" right="0.17" top="0.17" bottom="0.17" header="0.17" footer="0.17"/>
  <pageSetup paperSize="9" scale="4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57A0-F115-413B-A5FA-82E0FFCE2536}">
  <sheetPr>
    <pageSetUpPr fitToPage="1"/>
  </sheetPr>
  <dimension ref="A1:M99"/>
  <sheetViews>
    <sheetView topLeftCell="A16" workbookViewId="0">
      <selection sqref="A1:XFD1048576"/>
    </sheetView>
  </sheetViews>
  <sheetFormatPr baseColWidth="10" defaultRowHeight="15" x14ac:dyDescent="0.25"/>
  <cols>
    <col min="1" max="1" width="32.140625" bestFit="1" customWidth="1"/>
    <col min="2" max="2" width="15.42578125" bestFit="1" customWidth="1"/>
  </cols>
  <sheetData>
    <row r="1" spans="1:10" ht="21" x14ac:dyDescent="0.35">
      <c r="A1" s="491" t="s">
        <v>123</v>
      </c>
      <c r="B1" s="491"/>
      <c r="C1" s="491"/>
      <c r="D1" s="491"/>
      <c r="E1" s="491"/>
      <c r="F1" s="491"/>
      <c r="G1" s="491"/>
      <c r="H1" s="491"/>
      <c r="I1" s="491"/>
      <c r="J1" s="491"/>
    </row>
    <row r="2" spans="1:10" ht="15.75" thickBot="1" x14ac:dyDescent="0.3">
      <c r="A2" s="83"/>
      <c r="B2" s="84"/>
      <c r="C2" s="84"/>
      <c r="J2" s="85"/>
    </row>
    <row r="3" spans="1:10" ht="1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87" t="s">
        <v>4</v>
      </c>
    </row>
    <row r="4" spans="1:10" ht="15.75" thickBot="1" x14ac:dyDescent="0.3">
      <c r="A4" s="88" t="s">
        <v>72</v>
      </c>
      <c r="B4" s="88" t="s">
        <v>129</v>
      </c>
      <c r="C4" s="89"/>
      <c r="D4" s="90"/>
      <c r="E4" s="90"/>
      <c r="F4" s="90">
        <v>100</v>
      </c>
      <c r="G4" s="90"/>
      <c r="H4" s="90"/>
      <c r="I4" s="90"/>
      <c r="J4" s="87">
        <f>SUM(D4:I4)</f>
        <v>100</v>
      </c>
    </row>
    <row r="5" spans="1:10" ht="15.75" thickBot="1" x14ac:dyDescent="0.3">
      <c r="A5" s="88"/>
      <c r="B5" s="88"/>
      <c r="C5" s="89"/>
      <c r="D5" s="90"/>
      <c r="E5" s="90"/>
      <c r="F5" s="90"/>
      <c r="G5" s="90"/>
      <c r="H5" s="90"/>
      <c r="I5" s="90"/>
      <c r="J5" s="87">
        <f t="shared" ref="J5:J21" si="0">SUM(D5:I5)</f>
        <v>0</v>
      </c>
    </row>
    <row r="6" spans="1:10" ht="15.75" thickBot="1" x14ac:dyDescent="0.3">
      <c r="A6" s="88"/>
      <c r="B6" s="88"/>
      <c r="C6" s="89"/>
      <c r="D6" s="90"/>
      <c r="E6" s="90"/>
      <c r="F6" s="90"/>
      <c r="G6" s="90"/>
      <c r="H6" s="90"/>
      <c r="I6" s="90"/>
      <c r="J6" s="87">
        <f t="shared" si="0"/>
        <v>0</v>
      </c>
    </row>
    <row r="7" spans="1:10" ht="15.75" thickBot="1" x14ac:dyDescent="0.3">
      <c r="A7" s="88"/>
      <c r="B7" s="88"/>
      <c r="C7" s="89"/>
      <c r="D7" s="90"/>
      <c r="E7" s="90"/>
      <c r="F7" s="90"/>
      <c r="G7" s="90"/>
      <c r="H7" s="90"/>
      <c r="I7" s="90"/>
      <c r="J7" s="87">
        <f t="shared" si="0"/>
        <v>0</v>
      </c>
    </row>
    <row r="8" spans="1:10" ht="15.75" thickBot="1" x14ac:dyDescent="0.3">
      <c r="A8" s="88"/>
      <c r="B8" s="88"/>
      <c r="C8" s="89"/>
      <c r="D8" s="90"/>
      <c r="E8" s="90"/>
      <c r="F8" s="90"/>
      <c r="G8" s="90"/>
      <c r="H8" s="90"/>
      <c r="I8" s="90"/>
      <c r="J8" s="87">
        <f t="shared" si="0"/>
        <v>0</v>
      </c>
    </row>
    <row r="9" spans="1:10" ht="15.75" thickBot="1" x14ac:dyDescent="0.3">
      <c r="A9" s="88"/>
      <c r="B9" s="88"/>
      <c r="C9" s="89"/>
      <c r="D9" s="90"/>
      <c r="E9" s="90"/>
      <c r="F9" s="90"/>
      <c r="G9" s="90"/>
      <c r="H9" s="90"/>
      <c r="I9" s="90"/>
      <c r="J9" s="87">
        <f t="shared" si="0"/>
        <v>0</v>
      </c>
    </row>
    <row r="10" spans="1:10" ht="15.75" thickBot="1" x14ac:dyDescent="0.3">
      <c r="A10" s="88"/>
      <c r="B10" s="88"/>
      <c r="C10" s="89"/>
      <c r="D10" s="90"/>
      <c r="E10" s="90"/>
      <c r="F10" s="90"/>
      <c r="G10" s="90"/>
      <c r="H10" s="90"/>
      <c r="I10" s="90"/>
      <c r="J10" s="87">
        <f t="shared" si="0"/>
        <v>0</v>
      </c>
    </row>
    <row r="11" spans="1:10" ht="15.75" thickBot="1" x14ac:dyDescent="0.3">
      <c r="A11" s="196"/>
      <c r="B11" s="88"/>
      <c r="C11" s="89"/>
      <c r="D11" s="90"/>
      <c r="E11" s="90"/>
      <c r="F11" s="90"/>
      <c r="G11" s="90"/>
      <c r="H11" s="90"/>
      <c r="I11" s="90"/>
      <c r="J11" s="87">
        <f t="shared" si="0"/>
        <v>0</v>
      </c>
    </row>
    <row r="12" spans="1:10" ht="15.75" thickBot="1" x14ac:dyDescent="0.3">
      <c r="A12" s="196"/>
      <c r="B12" s="194"/>
      <c r="C12" s="89"/>
      <c r="D12" s="90"/>
      <c r="E12" s="90"/>
      <c r="F12" s="90"/>
      <c r="G12" s="90"/>
      <c r="H12" s="90"/>
      <c r="I12" s="93"/>
      <c r="J12" s="94">
        <f t="shared" si="0"/>
        <v>0</v>
      </c>
    </row>
    <row r="13" spans="1:10" ht="15.75" thickBot="1" x14ac:dyDescent="0.3">
      <c r="A13" s="88"/>
      <c r="B13" s="88"/>
      <c r="C13" s="89"/>
      <c r="D13" s="90"/>
      <c r="E13" s="90"/>
      <c r="F13" s="90"/>
      <c r="G13" s="90"/>
      <c r="H13" s="90"/>
      <c r="I13" s="90"/>
      <c r="J13" s="87">
        <f t="shared" si="0"/>
        <v>0</v>
      </c>
    </row>
    <row r="14" spans="1:10" ht="15.75" thickBot="1" x14ac:dyDescent="0.3">
      <c r="A14" s="95"/>
      <c r="B14" s="195"/>
      <c r="C14" s="89"/>
      <c r="D14" s="90"/>
      <c r="E14" s="90"/>
      <c r="F14" s="90"/>
      <c r="G14" s="90"/>
      <c r="H14" s="90"/>
      <c r="I14" s="90"/>
      <c r="J14" s="87">
        <f t="shared" si="0"/>
        <v>0</v>
      </c>
    </row>
    <row r="15" spans="1:10" ht="15.75" thickBot="1" x14ac:dyDescent="0.3">
      <c r="A15" s="97"/>
      <c r="B15" s="95"/>
      <c r="C15" s="89"/>
      <c r="D15" s="90"/>
      <c r="E15" s="90"/>
      <c r="F15" s="90"/>
      <c r="G15" s="90"/>
      <c r="H15" s="90"/>
      <c r="I15" s="90"/>
      <c r="J15" s="87">
        <f t="shared" si="0"/>
        <v>0</v>
      </c>
    </row>
    <row r="16" spans="1:10" ht="15.75" thickBot="1" x14ac:dyDescent="0.3">
      <c r="A16" s="192"/>
      <c r="B16" s="192"/>
      <c r="C16" s="89"/>
      <c r="D16" s="90"/>
      <c r="E16" s="90"/>
      <c r="F16" s="90"/>
      <c r="G16" s="90"/>
      <c r="H16" s="90"/>
      <c r="I16" s="90"/>
      <c r="J16" s="87">
        <f t="shared" si="0"/>
        <v>0</v>
      </c>
    </row>
    <row r="17" spans="1:13" ht="15.75" thickBot="1" x14ac:dyDescent="0.3">
      <c r="A17" s="99"/>
      <c r="B17" s="192"/>
      <c r="C17" s="89"/>
      <c r="D17" s="90"/>
      <c r="E17" s="90"/>
      <c r="F17" s="90"/>
      <c r="G17" s="90"/>
      <c r="H17" s="90"/>
      <c r="I17" s="90"/>
      <c r="J17" s="87">
        <f t="shared" si="0"/>
        <v>0</v>
      </c>
    </row>
    <row r="18" spans="1:13" ht="15.75" thickBot="1" x14ac:dyDescent="0.3">
      <c r="A18" s="99"/>
      <c r="B18" s="192"/>
      <c r="C18" s="89"/>
      <c r="D18" s="90"/>
      <c r="E18" s="90"/>
      <c r="F18" s="90"/>
      <c r="G18" s="90"/>
      <c r="H18" s="90"/>
      <c r="I18" s="90"/>
      <c r="J18" s="87">
        <f t="shared" si="0"/>
        <v>0</v>
      </c>
    </row>
    <row r="19" spans="1:13" ht="15.75" thickBot="1" x14ac:dyDescent="0.3">
      <c r="A19" s="100"/>
      <c r="B19" s="192"/>
      <c r="C19" s="89"/>
      <c r="D19" s="90"/>
      <c r="E19" s="90"/>
      <c r="F19" s="90"/>
      <c r="G19" s="90"/>
      <c r="H19" s="90"/>
      <c r="I19" s="90"/>
      <c r="J19" s="87">
        <f t="shared" si="0"/>
        <v>0</v>
      </c>
    </row>
    <row r="20" spans="1:13" ht="15.75" thickBot="1" x14ac:dyDescent="0.3">
      <c r="A20" s="101"/>
      <c r="B20" s="101"/>
      <c r="C20" s="89"/>
      <c r="D20" s="90"/>
      <c r="E20" s="90"/>
      <c r="F20" s="90"/>
      <c r="G20" s="90"/>
      <c r="H20" s="90"/>
      <c r="I20" s="90"/>
      <c r="J20" s="87">
        <f t="shared" si="0"/>
        <v>0</v>
      </c>
    </row>
    <row r="21" spans="1:13" ht="15.75" thickBot="1" x14ac:dyDescent="0.3">
      <c r="A21" s="192"/>
      <c r="B21" s="102"/>
      <c r="C21" s="103"/>
      <c r="D21" s="104"/>
      <c r="E21" s="104"/>
      <c r="F21" s="104"/>
      <c r="G21" s="104"/>
      <c r="H21" s="104"/>
      <c r="I21" s="104"/>
      <c r="J21" s="87">
        <f t="shared" si="0"/>
        <v>0</v>
      </c>
    </row>
    <row r="22" spans="1:13" ht="19.5" thickBot="1" x14ac:dyDescent="0.35">
      <c r="A22" s="105" t="s">
        <v>4</v>
      </c>
      <c r="B22" s="86"/>
      <c r="C22" s="106"/>
      <c r="D22" s="107">
        <f t="shared" ref="D22:I22" si="1">SUM(D4:D21)</f>
        <v>0</v>
      </c>
      <c r="E22" s="107">
        <f t="shared" si="1"/>
        <v>0</v>
      </c>
      <c r="F22" s="107">
        <f t="shared" si="1"/>
        <v>100</v>
      </c>
      <c r="G22" s="107"/>
      <c r="H22" s="107">
        <f t="shared" si="1"/>
        <v>0</v>
      </c>
      <c r="I22" s="107">
        <f t="shared" si="1"/>
        <v>0</v>
      </c>
      <c r="J22" s="108">
        <f>SUM(J4:J21)</f>
        <v>100</v>
      </c>
    </row>
    <row r="23" spans="1:13" ht="19.5" thickBot="1" x14ac:dyDescent="0.35">
      <c r="A23" s="2"/>
      <c r="B23" s="109"/>
      <c r="C23" s="110"/>
      <c r="D23" s="111"/>
      <c r="E23" s="111"/>
      <c r="F23" s="111"/>
      <c r="G23" s="111"/>
      <c r="H23" s="111"/>
      <c r="I23" s="111"/>
      <c r="J23" s="111"/>
    </row>
    <row r="24" spans="1:13" ht="24" thickBot="1" x14ac:dyDescent="0.4">
      <c r="A24" s="112" t="s">
        <v>40</v>
      </c>
      <c r="B24" s="109"/>
      <c r="C24" s="110"/>
      <c r="D24" s="111"/>
      <c r="E24" s="111"/>
      <c r="F24" s="111"/>
      <c r="G24" s="111"/>
      <c r="H24" s="111"/>
      <c r="I24" s="111"/>
      <c r="J24" s="111"/>
    </row>
    <row r="25" spans="1:13" ht="15.75" thickBot="1" x14ac:dyDescent="0.3">
      <c r="A25" s="113" t="s">
        <v>3</v>
      </c>
      <c r="B25" s="86" t="s">
        <v>32</v>
      </c>
      <c r="C25" s="114" t="s">
        <v>41</v>
      </c>
      <c r="D25" s="114" t="s">
        <v>34</v>
      </c>
      <c r="E25" s="114" t="s">
        <v>35</v>
      </c>
      <c r="F25" s="86" t="s">
        <v>36</v>
      </c>
      <c r="G25" s="86" t="s">
        <v>37</v>
      </c>
      <c r="H25" s="86" t="s">
        <v>42</v>
      </c>
      <c r="I25" s="86" t="s">
        <v>39</v>
      </c>
      <c r="J25" s="115" t="s">
        <v>4</v>
      </c>
    </row>
    <row r="26" spans="1:13" ht="15.75" thickBot="1" x14ac:dyDescent="0.3">
      <c r="A26" s="101"/>
      <c r="B26" s="103"/>
      <c r="C26" s="103"/>
      <c r="D26" s="116"/>
      <c r="E26" s="117"/>
      <c r="F26" s="116"/>
      <c r="G26" s="116"/>
      <c r="H26" s="118"/>
      <c r="I26" s="118"/>
      <c r="J26" s="119">
        <f>SUM(D26:I26)</f>
        <v>0</v>
      </c>
    </row>
    <row r="27" spans="1:13" ht="15.75" thickBot="1" x14ac:dyDescent="0.3">
      <c r="A27" s="101"/>
      <c r="B27" s="103"/>
      <c r="C27" s="103"/>
      <c r="D27" s="116"/>
      <c r="E27" s="116"/>
      <c r="F27" s="116"/>
      <c r="G27" s="116"/>
      <c r="H27" s="118"/>
      <c r="I27" s="118"/>
      <c r="J27" s="119">
        <f t="shared" ref="J27:J29" si="2">SUM(D27:I27)</f>
        <v>0</v>
      </c>
    </row>
    <row r="28" spans="1:13" ht="15.75" thickBot="1" x14ac:dyDescent="0.3">
      <c r="A28" s="101"/>
      <c r="B28" s="192"/>
      <c r="C28" s="89"/>
      <c r="D28" s="120"/>
      <c r="E28" s="120"/>
      <c r="F28" s="120"/>
      <c r="G28" s="120"/>
      <c r="H28" s="90"/>
      <c r="I28" s="90"/>
      <c r="J28" s="119">
        <f t="shared" si="2"/>
        <v>0</v>
      </c>
    </row>
    <row r="29" spans="1:13" ht="15.75" thickBot="1" x14ac:dyDescent="0.3">
      <c r="A29" s="86"/>
      <c r="B29" s="121"/>
      <c r="C29" s="89"/>
      <c r="D29" s="120"/>
      <c r="E29" s="120"/>
      <c r="F29" s="120"/>
      <c r="G29" s="120"/>
      <c r="H29" s="90"/>
      <c r="I29" s="90"/>
      <c r="J29" s="119">
        <f t="shared" si="2"/>
        <v>0</v>
      </c>
      <c r="L29" s="122" t="s">
        <v>43</v>
      </c>
      <c r="M29" s="123">
        <f>J30+J38</f>
        <v>0</v>
      </c>
    </row>
    <row r="30" spans="1:13" ht="15.75" thickBot="1" x14ac:dyDescent="0.3">
      <c r="A30" s="86" t="s">
        <v>4</v>
      </c>
      <c r="B30" s="124"/>
      <c r="C30" s="125"/>
      <c r="D30" s="126"/>
      <c r="E30" s="126"/>
      <c r="F30" s="126"/>
      <c r="G30" s="126"/>
      <c r="H30" s="126"/>
      <c r="I30" s="126"/>
      <c r="J30" s="94">
        <f>SUM(J26:J29)</f>
        <v>0</v>
      </c>
    </row>
    <row r="31" spans="1:13" ht="15.75" thickBot="1" x14ac:dyDescent="0.3">
      <c r="A31" s="109"/>
      <c r="B31" s="127"/>
      <c r="C31" s="128"/>
      <c r="D31" s="129"/>
      <c r="E31" s="129"/>
      <c r="F31" s="129"/>
      <c r="G31" s="129"/>
      <c r="H31" s="129"/>
      <c r="I31" s="129"/>
      <c r="J31" s="130"/>
    </row>
    <row r="32" spans="1:13" ht="24" thickBot="1" x14ac:dyDescent="0.4">
      <c r="A32" s="112" t="s">
        <v>40</v>
      </c>
      <c r="B32" s="109"/>
      <c r="C32" s="110"/>
      <c r="D32" s="111"/>
      <c r="E32" s="111"/>
      <c r="F32" s="111"/>
      <c r="G32" s="111"/>
      <c r="H32" s="111"/>
      <c r="I32" s="111"/>
      <c r="J32" s="111"/>
    </row>
    <row r="33" spans="1:13" ht="45.75" thickBot="1" x14ac:dyDescent="0.3">
      <c r="A33" s="131" t="s">
        <v>44</v>
      </c>
      <c r="B33" s="86" t="s">
        <v>45</v>
      </c>
      <c r="C33" s="114" t="s">
        <v>41</v>
      </c>
      <c r="D33" s="114" t="s">
        <v>34</v>
      </c>
      <c r="E33" s="114" t="s">
        <v>35</v>
      </c>
      <c r="F33" s="114" t="s">
        <v>46</v>
      </c>
      <c r="G33" s="114" t="s">
        <v>47</v>
      </c>
      <c r="H33" s="114" t="s">
        <v>42</v>
      </c>
      <c r="I33" s="132" t="s">
        <v>48</v>
      </c>
      <c r="J33" s="115" t="s">
        <v>4</v>
      </c>
    </row>
    <row r="34" spans="1:13" ht="15.75" thickBot="1" x14ac:dyDescent="0.3">
      <c r="A34" s="133"/>
      <c r="B34" s="99"/>
      <c r="C34" s="89"/>
      <c r="D34" s="90"/>
      <c r="E34" s="90"/>
      <c r="F34" s="90"/>
      <c r="G34" s="90"/>
      <c r="H34" s="90"/>
      <c r="I34" s="90"/>
      <c r="J34" s="87">
        <f t="shared" ref="J34:J37" si="3">SUM(D34:I34)</f>
        <v>0</v>
      </c>
    </row>
    <row r="35" spans="1:13" ht="15.75" thickBot="1" x14ac:dyDescent="0.3">
      <c r="A35" s="95"/>
      <c r="B35" s="103"/>
      <c r="C35" s="89"/>
      <c r="D35" s="116"/>
      <c r="E35" s="116"/>
      <c r="F35" s="116"/>
      <c r="G35" s="116"/>
      <c r="H35" s="118"/>
      <c r="I35" s="118"/>
      <c r="J35" s="119">
        <f t="shared" si="3"/>
        <v>0</v>
      </c>
    </row>
    <row r="36" spans="1:13" ht="15.75" thickBot="1" x14ac:dyDescent="0.3">
      <c r="A36" s="101"/>
      <c r="B36" s="192"/>
      <c r="C36" s="89"/>
      <c r="D36" s="120"/>
      <c r="E36" s="120"/>
      <c r="F36" s="120"/>
      <c r="G36" s="120"/>
      <c r="H36" s="90"/>
      <c r="I36" s="90"/>
      <c r="J36" s="119">
        <f t="shared" si="3"/>
        <v>0</v>
      </c>
    </row>
    <row r="37" spans="1:13" ht="15.75" thickBot="1" x14ac:dyDescent="0.3">
      <c r="A37" s="86"/>
      <c r="B37" s="121"/>
      <c r="C37" s="89"/>
      <c r="D37" s="120"/>
      <c r="E37" s="120"/>
      <c r="F37" s="120"/>
      <c r="G37" s="120"/>
      <c r="H37" s="90"/>
      <c r="I37" s="90"/>
      <c r="J37" s="119">
        <f t="shared" si="3"/>
        <v>0</v>
      </c>
      <c r="L37" s="134"/>
      <c r="M37" s="135"/>
    </row>
    <row r="38" spans="1:13" ht="15.75" thickBot="1" x14ac:dyDescent="0.3">
      <c r="A38" s="86" t="s">
        <v>4</v>
      </c>
      <c r="B38" s="124"/>
      <c r="C38" s="125"/>
      <c r="D38" s="126"/>
      <c r="E38" s="126"/>
      <c r="F38" s="126"/>
      <c r="G38" s="126"/>
      <c r="H38" s="126"/>
      <c r="I38" s="126"/>
      <c r="J38" s="94">
        <f>SUM(J34:J37)</f>
        <v>0</v>
      </c>
    </row>
    <row r="39" spans="1:13" x14ac:dyDescent="0.25">
      <c r="A39" s="109"/>
      <c r="B39" s="127"/>
      <c r="C39" s="128"/>
      <c r="D39" s="129"/>
      <c r="E39" s="129"/>
      <c r="F39" s="129"/>
      <c r="G39" s="129"/>
      <c r="H39" s="129"/>
      <c r="I39" s="129"/>
      <c r="J39" s="130"/>
    </row>
    <row r="40" spans="1:13" x14ac:dyDescent="0.25">
      <c r="A40" s="109"/>
      <c r="B40" s="127"/>
      <c r="C40" s="128"/>
      <c r="D40" s="129"/>
      <c r="E40" s="129"/>
      <c r="F40" s="129"/>
      <c r="G40" s="129"/>
      <c r="H40" s="129"/>
      <c r="I40" s="129"/>
      <c r="J40" s="130"/>
    </row>
    <row r="41" spans="1:13" ht="15.75" thickBot="1" x14ac:dyDescent="0.3">
      <c r="A41" s="84"/>
      <c r="B41" s="84"/>
      <c r="C41" s="84"/>
      <c r="J41" s="85"/>
    </row>
    <row r="42" spans="1:13" ht="45.75" thickBot="1" x14ac:dyDescent="0.3">
      <c r="A42" s="114" t="s">
        <v>49</v>
      </c>
      <c r="B42" s="86" t="s">
        <v>45</v>
      </c>
      <c r="C42" s="114" t="s">
        <v>41</v>
      </c>
      <c r="D42" s="114" t="s">
        <v>34</v>
      </c>
      <c r="E42" s="114" t="s">
        <v>35</v>
      </c>
      <c r="F42" s="114" t="s">
        <v>46</v>
      </c>
      <c r="G42" s="114" t="s">
        <v>47</v>
      </c>
      <c r="H42" s="86" t="s">
        <v>48</v>
      </c>
      <c r="I42" s="132" t="s">
        <v>42</v>
      </c>
      <c r="J42" s="115" t="s">
        <v>4</v>
      </c>
    </row>
    <row r="43" spans="1:13" ht="15.75" thickBot="1" x14ac:dyDescent="0.3">
      <c r="A43" s="121"/>
      <c r="B43" s="103"/>
      <c r="C43" s="103"/>
      <c r="D43" s="118"/>
      <c r="E43" s="136"/>
      <c r="F43" s="118"/>
      <c r="G43" s="118"/>
      <c r="H43" s="118"/>
      <c r="I43" s="118"/>
      <c r="J43" s="119">
        <f>SUM(D43:I43)</f>
        <v>0</v>
      </c>
    </row>
    <row r="44" spans="1:13" ht="15.75" thickBot="1" x14ac:dyDescent="0.3">
      <c r="A44" s="121"/>
      <c r="B44" s="103"/>
      <c r="C44" s="103"/>
      <c r="D44" s="118"/>
      <c r="E44" s="118"/>
      <c r="F44" s="118"/>
      <c r="G44" s="118"/>
      <c r="H44" s="118"/>
      <c r="I44" s="118"/>
      <c r="J44" s="119">
        <f t="shared" ref="J44:J56" si="4">SUM(D44:I44)</f>
        <v>0</v>
      </c>
    </row>
    <row r="45" spans="1:13" ht="15.75" thickBot="1" x14ac:dyDescent="0.3">
      <c r="A45" s="192"/>
      <c r="B45" s="103"/>
      <c r="C45" s="103"/>
      <c r="D45" s="118"/>
      <c r="E45" s="118"/>
      <c r="F45" s="118"/>
      <c r="G45" s="118"/>
      <c r="H45" s="118"/>
      <c r="I45" s="118"/>
      <c r="J45" s="119">
        <f t="shared" si="4"/>
        <v>0</v>
      </c>
    </row>
    <row r="46" spans="1:13" ht="15.75" thickBot="1" x14ac:dyDescent="0.3">
      <c r="A46" s="121"/>
      <c r="B46" s="103"/>
      <c r="C46" s="103"/>
      <c r="D46" s="118"/>
      <c r="E46" s="118"/>
      <c r="F46" s="118"/>
      <c r="G46" s="118"/>
      <c r="H46" s="118"/>
      <c r="I46" s="118"/>
      <c r="J46" s="119">
        <f t="shared" si="4"/>
        <v>0</v>
      </c>
    </row>
    <row r="47" spans="1:13" ht="15.75" thickBot="1" x14ac:dyDescent="0.3">
      <c r="A47" s="121"/>
      <c r="B47" s="103"/>
      <c r="C47" s="103"/>
      <c r="D47" s="118"/>
      <c r="E47" s="118"/>
      <c r="F47" s="118"/>
      <c r="G47" s="118"/>
      <c r="H47" s="118"/>
      <c r="I47" s="118"/>
      <c r="J47" s="119">
        <f t="shared" si="4"/>
        <v>0</v>
      </c>
    </row>
    <row r="48" spans="1:13" ht="15.75" thickBot="1" x14ac:dyDescent="0.3">
      <c r="A48" s="192"/>
      <c r="B48" s="103"/>
      <c r="C48" s="103"/>
      <c r="D48" s="118"/>
      <c r="E48" s="118"/>
      <c r="F48" s="118"/>
      <c r="G48" s="118"/>
      <c r="H48" s="118"/>
      <c r="I48" s="118"/>
      <c r="J48" s="119">
        <f t="shared" si="4"/>
        <v>0</v>
      </c>
    </row>
    <row r="49" spans="1:10" ht="15.75" thickBot="1" x14ac:dyDescent="0.3">
      <c r="A49" s="192"/>
      <c r="B49" s="103"/>
      <c r="C49" s="103"/>
      <c r="D49" s="118"/>
      <c r="E49" s="118"/>
      <c r="F49" s="118"/>
      <c r="G49" s="118"/>
      <c r="H49" s="118"/>
      <c r="I49" s="118"/>
      <c r="J49" s="119">
        <f t="shared" si="4"/>
        <v>0</v>
      </c>
    </row>
    <row r="50" spans="1:10" ht="15.75" thickBot="1" x14ac:dyDescent="0.3">
      <c r="A50" s="192"/>
      <c r="B50" s="103"/>
      <c r="C50" s="103"/>
      <c r="D50" s="118"/>
      <c r="E50" s="118"/>
      <c r="F50" s="118"/>
      <c r="G50" s="118"/>
      <c r="H50" s="118"/>
      <c r="I50" s="118"/>
      <c r="J50" s="119">
        <f t="shared" si="4"/>
        <v>0</v>
      </c>
    </row>
    <row r="51" spans="1:10" ht="15.75" thickBot="1" x14ac:dyDescent="0.3">
      <c r="A51" s="192"/>
      <c r="B51" s="103"/>
      <c r="C51" s="103"/>
      <c r="D51" s="118"/>
      <c r="E51" s="118"/>
      <c r="F51" s="118"/>
      <c r="G51" s="118"/>
      <c r="H51" s="118"/>
      <c r="I51" s="118"/>
      <c r="J51" s="119">
        <f t="shared" si="4"/>
        <v>0</v>
      </c>
    </row>
    <row r="52" spans="1:10" ht="15.75" thickBot="1" x14ac:dyDescent="0.3">
      <c r="A52" s="192"/>
      <c r="B52" s="103"/>
      <c r="C52" s="103"/>
      <c r="D52" s="118"/>
      <c r="E52" s="118"/>
      <c r="F52" s="118"/>
      <c r="G52" s="118"/>
      <c r="H52" s="118"/>
      <c r="I52" s="118"/>
      <c r="J52" s="119">
        <f t="shared" si="4"/>
        <v>0</v>
      </c>
    </row>
    <row r="53" spans="1:10" ht="15.75" thickBot="1" x14ac:dyDescent="0.3">
      <c r="A53" s="137"/>
      <c r="B53" s="103"/>
      <c r="C53" s="103"/>
      <c r="D53" s="118"/>
      <c r="E53" s="118"/>
      <c r="F53" s="118"/>
      <c r="G53" s="118"/>
      <c r="H53" s="118"/>
      <c r="I53" s="118"/>
      <c r="J53" s="119">
        <f t="shared" si="4"/>
        <v>0</v>
      </c>
    </row>
    <row r="54" spans="1:10" ht="15.75" thickBot="1" x14ac:dyDescent="0.3">
      <c r="A54" s="121"/>
      <c r="B54" s="103"/>
      <c r="C54" s="103"/>
      <c r="D54" s="118"/>
      <c r="F54" s="118"/>
      <c r="G54" s="118"/>
      <c r="H54" s="118"/>
      <c r="I54" s="118"/>
      <c r="J54" s="119">
        <f t="shared" si="4"/>
        <v>0</v>
      </c>
    </row>
    <row r="55" spans="1:10" ht="15.75" thickBot="1" x14ac:dyDescent="0.3">
      <c r="A55" s="121"/>
      <c r="B55" s="103"/>
      <c r="C55" s="103"/>
      <c r="D55" s="118"/>
      <c r="E55" s="118"/>
      <c r="F55" s="118"/>
      <c r="G55" s="118"/>
      <c r="H55" s="118"/>
      <c r="I55" s="118"/>
      <c r="J55" s="119">
        <f t="shared" si="4"/>
        <v>0</v>
      </c>
    </row>
    <row r="56" spans="1:10" ht="15.75" thickBot="1" x14ac:dyDescent="0.3">
      <c r="A56" s="121"/>
      <c r="B56" s="103"/>
      <c r="C56" s="103"/>
      <c r="D56" s="138"/>
      <c r="E56" s="138"/>
      <c r="F56" s="138"/>
      <c r="G56" s="138"/>
      <c r="H56" s="138"/>
      <c r="I56" s="138"/>
      <c r="J56" s="119">
        <f t="shared" si="4"/>
        <v>0</v>
      </c>
    </row>
    <row r="57" spans="1:10" ht="19.5" thickBot="1" x14ac:dyDescent="0.35">
      <c r="A57" s="105" t="s">
        <v>4</v>
      </c>
      <c r="B57" s="86"/>
      <c r="C57" s="106"/>
      <c r="D57" s="107">
        <f t="shared" ref="D57:J57" si="5">SUM(D43:D56)</f>
        <v>0</v>
      </c>
      <c r="E57" s="107">
        <f t="shared" si="5"/>
        <v>0</v>
      </c>
      <c r="F57" s="107">
        <f t="shared" si="5"/>
        <v>0</v>
      </c>
      <c r="G57" s="107">
        <f t="shared" si="5"/>
        <v>0</v>
      </c>
      <c r="H57" s="107">
        <f t="shared" si="5"/>
        <v>0</v>
      </c>
      <c r="I57" s="107">
        <f t="shared" si="5"/>
        <v>0</v>
      </c>
      <c r="J57" s="107">
        <f t="shared" si="5"/>
        <v>0</v>
      </c>
    </row>
    <row r="58" spans="1:10" ht="15.75" x14ac:dyDescent="0.25">
      <c r="A58" s="139"/>
      <c r="B58" s="139"/>
      <c r="C58" s="140"/>
      <c r="D58" s="141"/>
      <c r="E58" s="141"/>
      <c r="F58" s="141"/>
      <c r="G58" s="141"/>
      <c r="H58" s="141"/>
      <c r="I58" s="141"/>
      <c r="J58" s="141"/>
    </row>
    <row r="59" spans="1:10" ht="16.5" thickBot="1" x14ac:dyDescent="0.3">
      <c r="A59" s="139"/>
      <c r="B59" s="139"/>
      <c r="C59" s="140"/>
      <c r="D59" s="141"/>
      <c r="E59" s="141"/>
      <c r="F59" s="141"/>
      <c r="G59" s="141"/>
      <c r="H59" s="141"/>
      <c r="I59" s="141"/>
      <c r="J59" s="141"/>
    </row>
    <row r="60" spans="1:10" ht="19.5" thickBot="1" x14ac:dyDescent="0.35">
      <c r="A60" s="492" t="s">
        <v>50</v>
      </c>
      <c r="B60" s="493"/>
      <c r="C60" s="142"/>
      <c r="D60" s="143"/>
      <c r="E60" s="143"/>
      <c r="F60" s="143"/>
      <c r="G60" s="143"/>
      <c r="H60" s="143"/>
      <c r="I60" s="143"/>
      <c r="J60" s="108">
        <f>+J22+J57</f>
        <v>100</v>
      </c>
    </row>
    <row r="61" spans="1:10" x14ac:dyDescent="0.25">
      <c r="A61" s="84"/>
      <c r="B61" s="84"/>
      <c r="C61" s="144"/>
      <c r="D61" s="85"/>
      <c r="E61" s="85"/>
      <c r="F61" s="85"/>
      <c r="G61" s="85"/>
      <c r="H61" s="85"/>
      <c r="I61" s="85"/>
      <c r="J61" s="85"/>
    </row>
    <row r="62" spans="1:10" x14ac:dyDescent="0.25">
      <c r="A62" s="84"/>
      <c r="B62" s="84"/>
      <c r="C62" s="144"/>
      <c r="D62" s="85"/>
      <c r="E62" s="85"/>
      <c r="F62" s="85"/>
      <c r="G62" s="85"/>
      <c r="H62" s="85"/>
      <c r="I62" s="85"/>
      <c r="J62" s="85"/>
    </row>
    <row r="63" spans="1:10" ht="16.5" thickBot="1" x14ac:dyDescent="0.3">
      <c r="A63" s="145" t="s">
        <v>51</v>
      </c>
      <c r="B63" s="84"/>
      <c r="C63" s="144"/>
      <c r="D63" s="85"/>
      <c r="E63" s="85"/>
      <c r="F63" s="85"/>
      <c r="G63" s="85"/>
      <c r="H63" s="85"/>
      <c r="I63" s="85"/>
      <c r="J63" s="85"/>
    </row>
    <row r="64" spans="1:10" ht="19.5" thickBot="1" x14ac:dyDescent="0.35">
      <c r="A64" s="146" t="s">
        <v>52</v>
      </c>
      <c r="B64" s="147"/>
      <c r="C64" s="148"/>
      <c r="D64" s="149"/>
      <c r="E64" s="149"/>
      <c r="F64" s="149"/>
      <c r="G64" s="149"/>
      <c r="H64" s="149"/>
      <c r="I64" s="149"/>
      <c r="J64" s="108"/>
    </row>
    <row r="65" spans="1:10" ht="19.5" thickBot="1" x14ac:dyDescent="0.35">
      <c r="A65" s="146" t="s">
        <v>53</v>
      </c>
      <c r="B65" s="147"/>
      <c r="C65" s="150"/>
      <c r="D65" s="149"/>
      <c r="E65" s="149"/>
      <c r="F65" s="149"/>
      <c r="G65" s="149"/>
      <c r="H65" s="149"/>
      <c r="I65" s="149"/>
      <c r="J65" s="108"/>
    </row>
    <row r="66" spans="1:10" ht="18.75" x14ac:dyDescent="0.3">
      <c r="A66" s="151"/>
      <c r="B66" s="151"/>
      <c r="C66" s="152"/>
      <c r="D66" s="153"/>
      <c r="E66" s="153"/>
      <c r="F66" s="153"/>
      <c r="G66" s="153"/>
      <c r="H66" s="153"/>
      <c r="I66" s="153"/>
      <c r="J66" s="111"/>
    </row>
    <row r="67" spans="1:10" ht="18.75" x14ac:dyDescent="0.3">
      <c r="A67" s="151"/>
      <c r="B67" s="151"/>
      <c r="C67" s="152"/>
      <c r="D67" s="153"/>
      <c r="E67" s="153"/>
      <c r="F67" s="153"/>
      <c r="G67" s="153"/>
      <c r="H67" s="153"/>
      <c r="I67" s="153"/>
      <c r="J67" s="111"/>
    </row>
    <row r="68" spans="1:10" ht="16.5" thickBot="1" x14ac:dyDescent="0.3">
      <c r="A68" s="154" t="s">
        <v>54</v>
      </c>
      <c r="B68" s="155"/>
      <c r="C68" s="144"/>
      <c r="D68" s="85"/>
      <c r="E68" s="85"/>
      <c r="F68" s="85"/>
      <c r="G68" s="85"/>
      <c r="H68" s="85"/>
      <c r="I68" s="85"/>
      <c r="J68" s="85"/>
    </row>
    <row r="69" spans="1:10" ht="19.5" thickBot="1" x14ac:dyDescent="0.35">
      <c r="A69" s="156" t="s">
        <v>55</v>
      </c>
      <c r="B69" s="157"/>
      <c r="C69" s="158"/>
      <c r="D69" s="159"/>
      <c r="E69" s="159"/>
      <c r="F69" s="159"/>
      <c r="G69" s="159"/>
      <c r="H69" s="159"/>
      <c r="I69" s="159"/>
      <c r="J69" s="160">
        <v>504.5</v>
      </c>
    </row>
    <row r="70" spans="1:10" x14ac:dyDescent="0.25">
      <c r="A70" s="161"/>
      <c r="B70" s="84"/>
      <c r="C70" s="144"/>
      <c r="D70" s="85"/>
      <c r="E70" s="85"/>
      <c r="F70" s="85"/>
      <c r="G70" s="85"/>
      <c r="H70" s="85"/>
      <c r="I70" s="85"/>
      <c r="J70" s="85"/>
    </row>
    <row r="71" spans="1:10" ht="16.5" thickBot="1" x14ac:dyDescent="0.3">
      <c r="A71" s="154"/>
      <c r="B71" s="155"/>
      <c r="C71" s="144"/>
      <c r="D71" s="85"/>
      <c r="E71" s="85"/>
      <c r="F71" s="85"/>
      <c r="G71" s="85"/>
      <c r="H71" s="85"/>
      <c r="I71" s="85"/>
      <c r="J71" s="85"/>
    </row>
    <row r="72" spans="1:10" ht="19.5" thickBot="1" x14ac:dyDescent="0.35">
      <c r="A72" s="156" t="s">
        <v>56</v>
      </c>
      <c r="B72" s="157"/>
      <c r="C72" s="162"/>
      <c r="D72" s="159"/>
      <c r="E72" s="159"/>
      <c r="F72" s="159"/>
      <c r="G72" s="159"/>
      <c r="H72" s="159"/>
      <c r="I72" s="159"/>
      <c r="J72" s="163"/>
    </row>
    <row r="73" spans="1:10" ht="15.75" thickBot="1" x14ac:dyDescent="0.3">
      <c r="A73" s="161"/>
      <c r="B73" s="84"/>
      <c r="C73" s="144"/>
      <c r="D73" s="85"/>
      <c r="E73" s="85"/>
      <c r="F73" s="85"/>
      <c r="G73" s="85"/>
      <c r="H73" s="85"/>
      <c r="I73" s="85"/>
      <c r="J73" s="85"/>
    </row>
    <row r="74" spans="1:10" ht="21.75" thickBot="1" x14ac:dyDescent="0.4">
      <c r="A74" s="494" t="s">
        <v>57</v>
      </c>
      <c r="B74" s="495"/>
      <c r="C74" s="164"/>
      <c r="D74" s="165"/>
      <c r="E74" s="165"/>
      <c r="F74" s="165"/>
      <c r="G74" s="165"/>
      <c r="H74" s="165"/>
      <c r="I74" s="165"/>
      <c r="J74" s="166">
        <f>SUM(J60:J73)</f>
        <v>604.5</v>
      </c>
    </row>
    <row r="75" spans="1:10" x14ac:dyDescent="0.25">
      <c r="A75" s="84"/>
      <c r="B75" s="84"/>
      <c r="C75" s="144"/>
      <c r="D75" s="85"/>
      <c r="E75" s="85"/>
      <c r="F75" s="85"/>
      <c r="G75" s="85"/>
      <c r="H75" s="85"/>
      <c r="I75" s="85"/>
      <c r="J75" s="85"/>
    </row>
    <row r="76" spans="1:10" ht="21" x14ac:dyDescent="0.35">
      <c r="A76" s="491" t="s">
        <v>124</v>
      </c>
      <c r="B76" s="491"/>
      <c r="C76" s="491"/>
      <c r="D76" s="491"/>
      <c r="E76" s="491"/>
      <c r="F76" s="491"/>
      <c r="G76" s="491"/>
      <c r="H76" s="491"/>
      <c r="I76" s="491"/>
      <c r="J76" s="491"/>
    </row>
    <row r="77" spans="1:10" ht="21.75" thickBot="1" x14ac:dyDescent="0.4">
      <c r="A77" s="193" t="s">
        <v>10</v>
      </c>
      <c r="B77" s="193"/>
      <c r="C77" s="193"/>
      <c r="D77" s="193"/>
      <c r="E77" s="193"/>
      <c r="F77" s="193"/>
      <c r="G77" s="193"/>
      <c r="H77" s="193"/>
      <c r="I77" s="193"/>
      <c r="J77" s="168"/>
    </row>
    <row r="78" spans="1:10" ht="15.75" thickBot="1" x14ac:dyDescent="0.3">
      <c r="A78" s="169" t="s">
        <v>58</v>
      </c>
      <c r="B78" s="170" t="s">
        <v>59</v>
      </c>
      <c r="C78" s="496" t="s">
        <v>33</v>
      </c>
      <c r="D78" s="497"/>
      <c r="E78" s="497"/>
      <c r="F78" s="497"/>
      <c r="G78" s="497"/>
      <c r="H78" s="497"/>
      <c r="I78" s="498"/>
      <c r="J78" s="171" t="s">
        <v>4</v>
      </c>
    </row>
    <row r="79" spans="1:10" ht="15.75" thickBot="1" x14ac:dyDescent="0.3">
      <c r="A79" s="172"/>
      <c r="B79" s="173"/>
      <c r="C79" s="488"/>
      <c r="D79" s="489"/>
      <c r="E79" s="489"/>
      <c r="F79" s="489"/>
      <c r="G79" s="489"/>
      <c r="H79" s="489"/>
      <c r="I79" s="489"/>
      <c r="J79" s="104"/>
    </row>
    <row r="80" spans="1:10" ht="15.75" thickBot="1" x14ac:dyDescent="0.3">
      <c r="A80" s="121"/>
      <c r="B80" s="173"/>
      <c r="C80" s="488"/>
      <c r="D80" s="489"/>
      <c r="E80" s="489"/>
      <c r="F80" s="489"/>
      <c r="G80" s="489"/>
      <c r="H80" s="490"/>
      <c r="I80" s="490"/>
      <c r="J80" s="104"/>
    </row>
    <row r="81" spans="1:10" ht="15.75" thickBot="1" x14ac:dyDescent="0.3">
      <c r="A81" s="121"/>
      <c r="B81" s="173"/>
      <c r="C81" s="504"/>
      <c r="D81" s="505"/>
      <c r="E81" s="505"/>
      <c r="F81" s="505"/>
      <c r="G81" s="505"/>
      <c r="H81" s="505"/>
      <c r="I81" s="505"/>
      <c r="J81" s="174"/>
    </row>
    <row r="82" spans="1:10" ht="15.75" thickBot="1" x14ac:dyDescent="0.3">
      <c r="A82" s="121"/>
      <c r="B82" s="173"/>
      <c r="C82" s="488"/>
      <c r="D82" s="489"/>
      <c r="E82" s="489"/>
      <c r="F82" s="489"/>
      <c r="G82" s="489"/>
      <c r="H82" s="490"/>
      <c r="I82" s="490"/>
      <c r="J82" s="104"/>
    </row>
    <row r="83" spans="1:10" ht="15.75" thickBot="1" x14ac:dyDescent="0.3">
      <c r="A83" s="121"/>
      <c r="B83" s="173"/>
      <c r="C83" s="488"/>
      <c r="D83" s="489"/>
      <c r="E83" s="489"/>
      <c r="F83" s="489"/>
      <c r="G83" s="489"/>
      <c r="H83" s="490"/>
      <c r="I83" s="490"/>
      <c r="J83" s="104"/>
    </row>
    <row r="84" spans="1:10" ht="15.75" thickBot="1" x14ac:dyDescent="0.3">
      <c r="A84" s="121"/>
      <c r="B84" s="173"/>
      <c r="C84" s="488"/>
      <c r="D84" s="489"/>
      <c r="E84" s="489"/>
      <c r="F84" s="489"/>
      <c r="G84" s="489"/>
      <c r="H84" s="490"/>
      <c r="I84" s="490"/>
      <c r="J84" s="104"/>
    </row>
    <row r="85" spans="1:10" ht="15.75" thickBot="1" x14ac:dyDescent="0.3">
      <c r="A85" s="121"/>
      <c r="B85" s="173"/>
      <c r="C85" s="488"/>
      <c r="D85" s="489"/>
      <c r="E85" s="489"/>
      <c r="F85" s="489"/>
      <c r="G85" s="489"/>
      <c r="H85" s="490"/>
      <c r="I85" s="490"/>
      <c r="J85" s="104"/>
    </row>
    <row r="86" spans="1:10" ht="15.75" thickBot="1" x14ac:dyDescent="0.3">
      <c r="A86" s="121"/>
      <c r="B86" s="173"/>
      <c r="C86" s="488"/>
      <c r="D86" s="489"/>
      <c r="E86" s="489"/>
      <c r="F86" s="489"/>
      <c r="G86" s="489"/>
      <c r="H86" s="490"/>
      <c r="I86" s="490"/>
      <c r="J86" s="104"/>
    </row>
    <row r="87" spans="1:10" ht="15.75" thickBot="1" x14ac:dyDescent="0.3">
      <c r="A87" s="121"/>
      <c r="B87" s="173"/>
      <c r="C87" s="488"/>
      <c r="D87" s="489"/>
      <c r="E87" s="489"/>
      <c r="F87" s="489"/>
      <c r="G87" s="489"/>
      <c r="H87" s="490"/>
      <c r="I87" s="490"/>
      <c r="J87" s="118"/>
    </row>
    <row r="88" spans="1:10" ht="15.75" thickBot="1" x14ac:dyDescent="0.3">
      <c r="A88" s="121"/>
      <c r="B88" s="173"/>
      <c r="C88" s="488"/>
      <c r="D88" s="489"/>
      <c r="E88" s="489"/>
      <c r="F88" s="489"/>
      <c r="G88" s="489"/>
      <c r="H88" s="490"/>
      <c r="I88" s="490"/>
      <c r="J88" s="118"/>
    </row>
    <row r="89" spans="1:10" ht="15.75" thickBot="1" x14ac:dyDescent="0.3">
      <c r="A89" s="121"/>
      <c r="B89" s="173"/>
      <c r="C89" s="488"/>
      <c r="D89" s="489"/>
      <c r="E89" s="489"/>
      <c r="F89" s="489"/>
      <c r="G89" s="489"/>
      <c r="H89" s="490"/>
      <c r="I89" s="490"/>
      <c r="J89" s="118"/>
    </row>
    <row r="90" spans="1:10" ht="15.75" thickBot="1" x14ac:dyDescent="0.3">
      <c r="A90" s="121"/>
      <c r="B90" s="173"/>
      <c r="C90" s="488"/>
      <c r="D90" s="489"/>
      <c r="E90" s="489"/>
      <c r="F90" s="489"/>
      <c r="G90" s="489"/>
      <c r="H90" s="490"/>
      <c r="I90" s="490"/>
      <c r="J90" s="118"/>
    </row>
    <row r="91" spans="1:10" ht="15.75" thickBot="1" x14ac:dyDescent="0.3">
      <c r="A91" s="121"/>
      <c r="B91" s="173"/>
      <c r="C91" s="488"/>
      <c r="D91" s="489"/>
      <c r="E91" s="489"/>
      <c r="F91" s="489"/>
      <c r="G91" s="489"/>
      <c r="H91" s="490"/>
      <c r="I91" s="490"/>
      <c r="J91" s="118"/>
    </row>
    <row r="92" spans="1:10" ht="19.5" thickBot="1" x14ac:dyDescent="0.35">
      <c r="A92" s="175" t="s">
        <v>60</v>
      </c>
      <c r="B92" s="492"/>
      <c r="C92" s="499"/>
      <c r="D92" s="499"/>
      <c r="E92" s="499"/>
      <c r="F92" s="499"/>
      <c r="G92" s="499"/>
      <c r="H92" s="499"/>
      <c r="I92" s="499"/>
      <c r="J92" s="176">
        <f>SUM(J79:J91)</f>
        <v>0</v>
      </c>
    </row>
    <row r="93" spans="1:10" ht="18.75" x14ac:dyDescent="0.3">
      <c r="A93" s="2"/>
      <c r="B93" s="2"/>
      <c r="C93" s="177"/>
      <c r="D93" s="177"/>
      <c r="E93" s="177"/>
      <c r="F93" s="178"/>
      <c r="G93" s="177"/>
      <c r="H93" s="177"/>
      <c r="I93" s="177"/>
      <c r="J93" s="111"/>
    </row>
    <row r="94" spans="1:10" ht="18.75" x14ac:dyDescent="0.3">
      <c r="A94" s="2"/>
      <c r="B94" s="2"/>
      <c r="C94" s="177"/>
      <c r="D94" s="177"/>
      <c r="E94" s="177"/>
      <c r="F94" s="178"/>
      <c r="G94" s="177"/>
      <c r="H94" s="177"/>
      <c r="I94" s="177"/>
      <c r="J94" s="111"/>
    </row>
    <row r="95" spans="1:10" ht="18.75" x14ac:dyDescent="0.3">
      <c r="A95" s="139" t="s">
        <v>61</v>
      </c>
      <c r="B95" s="2"/>
      <c r="C95" s="84"/>
      <c r="D95" s="85"/>
      <c r="F95" s="85"/>
      <c r="J95" s="85"/>
    </row>
    <row r="96" spans="1:10" x14ac:dyDescent="0.25">
      <c r="A96" s="84" t="s">
        <v>62</v>
      </c>
      <c r="B96" s="144">
        <f>+J74</f>
        <v>604.5</v>
      </c>
      <c r="C96" s="179"/>
      <c r="D96" s="85"/>
      <c r="F96" s="85"/>
      <c r="J96" s="85"/>
    </row>
    <row r="97" spans="1:10" ht="15.75" thickBot="1" x14ac:dyDescent="0.3">
      <c r="A97" s="84" t="s">
        <v>60</v>
      </c>
      <c r="B97" s="180">
        <f>+J92</f>
        <v>0</v>
      </c>
      <c r="C97" s="181"/>
      <c r="D97" s="85"/>
      <c r="F97" s="85"/>
      <c r="G97" s="182"/>
      <c r="H97" s="182"/>
      <c r="I97" s="183"/>
      <c r="J97" s="183"/>
    </row>
    <row r="98" spans="1:10" ht="17.25" thickTop="1" thickBot="1" x14ac:dyDescent="0.3">
      <c r="A98" s="139" t="s">
        <v>8</v>
      </c>
      <c r="B98" s="184">
        <f>++B96-B97</f>
        <v>604.5</v>
      </c>
      <c r="C98" s="185"/>
      <c r="D98" s="186"/>
      <c r="E98" s="41"/>
      <c r="F98" s="186"/>
      <c r="G98" s="187"/>
      <c r="H98" s="187"/>
      <c r="I98" s="85"/>
    </row>
    <row r="99" spans="1:10" ht="15.75" thickTop="1" x14ac:dyDescent="0.25"/>
  </sheetData>
  <mergeCells count="19">
    <mergeCell ref="C85:I85"/>
    <mergeCell ref="A1:J1"/>
    <mergeCell ref="A60:B60"/>
    <mergeCell ref="A74:B74"/>
    <mergeCell ref="A76:J76"/>
    <mergeCell ref="C78:I78"/>
    <mergeCell ref="C79:I79"/>
    <mergeCell ref="C80:I80"/>
    <mergeCell ref="C81:I81"/>
    <mergeCell ref="C82:I82"/>
    <mergeCell ref="C83:I83"/>
    <mergeCell ref="C84:I84"/>
    <mergeCell ref="B92:I92"/>
    <mergeCell ref="C86:I86"/>
    <mergeCell ref="C87:I87"/>
    <mergeCell ref="C88:I88"/>
    <mergeCell ref="C89:I89"/>
    <mergeCell ref="C90:I90"/>
    <mergeCell ref="C91:I91"/>
  </mergeCells>
  <pageMargins left="0.17" right="0.17" top="0.17" bottom="0.17" header="0.17" footer="0.17"/>
  <pageSetup paperSize="9" scale="4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A198D-B772-43F8-BECB-1F6BF7EA3B16}">
  <sheetPr>
    <pageSetUpPr fitToPage="1"/>
  </sheetPr>
  <dimension ref="A1:M97"/>
  <sheetViews>
    <sheetView workbookViewId="0">
      <selection activeCell="B17" sqref="B17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6" max="6" width="13" bestFit="1" customWidth="1"/>
    <col min="10" max="10" width="14" bestFit="1" customWidth="1"/>
  </cols>
  <sheetData>
    <row r="1" spans="1:10" ht="21" x14ac:dyDescent="0.35">
      <c r="A1" s="491" t="s">
        <v>122</v>
      </c>
      <c r="B1" s="491"/>
      <c r="C1" s="491"/>
      <c r="D1" s="491"/>
      <c r="E1" s="491"/>
      <c r="F1" s="491"/>
      <c r="G1" s="491"/>
      <c r="H1" s="491"/>
      <c r="I1" s="491"/>
      <c r="J1" s="491"/>
    </row>
    <row r="2" spans="1:10" ht="15.75" thickBot="1" x14ac:dyDescent="0.3">
      <c r="A2" s="83"/>
      <c r="B2" s="84"/>
      <c r="C2" s="84"/>
      <c r="J2" s="85"/>
    </row>
    <row r="3" spans="1:10" ht="1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87" t="s">
        <v>4</v>
      </c>
    </row>
    <row r="4" spans="1:10" ht="15.75" thickBot="1" x14ac:dyDescent="0.3">
      <c r="A4" s="88" t="s">
        <v>72</v>
      </c>
      <c r="B4" s="88" t="s">
        <v>125</v>
      </c>
      <c r="C4" s="89">
        <v>46054</v>
      </c>
      <c r="D4" s="90"/>
      <c r="E4" s="90"/>
      <c r="F4" s="90">
        <v>100</v>
      </c>
      <c r="G4" s="90"/>
      <c r="H4" s="90"/>
      <c r="I4" s="90"/>
      <c r="J4" s="87">
        <f>SUM(D4:I4)</f>
        <v>100</v>
      </c>
    </row>
    <row r="5" spans="1:10" ht="15.75" thickBot="1" x14ac:dyDescent="0.3">
      <c r="A5" s="88" t="s">
        <v>126</v>
      </c>
      <c r="B5" s="88" t="s">
        <v>127</v>
      </c>
      <c r="C5" s="89">
        <v>46082</v>
      </c>
      <c r="D5" s="90"/>
      <c r="E5" s="90"/>
      <c r="F5" s="90">
        <v>450</v>
      </c>
      <c r="G5" s="90"/>
      <c r="H5" s="90"/>
      <c r="I5" s="90"/>
      <c r="J5" s="87">
        <f t="shared" ref="J5:J22" si="0">SUM(D5:I5)</f>
        <v>450</v>
      </c>
    </row>
    <row r="6" spans="1:10" ht="15.75" thickBot="1" x14ac:dyDescent="0.3">
      <c r="A6" s="88" t="s">
        <v>131</v>
      </c>
      <c r="B6" s="88" t="s">
        <v>132</v>
      </c>
      <c r="C6" s="89">
        <v>46114</v>
      </c>
      <c r="D6" s="90"/>
      <c r="E6" s="90"/>
      <c r="F6" s="90">
        <v>450</v>
      </c>
      <c r="G6" s="90"/>
      <c r="H6" s="90"/>
      <c r="I6" s="90"/>
      <c r="J6" s="87">
        <f t="shared" si="0"/>
        <v>450</v>
      </c>
    </row>
    <row r="7" spans="1:10" ht="15.75" thickBot="1" x14ac:dyDescent="0.3">
      <c r="A7" s="88" t="s">
        <v>133</v>
      </c>
      <c r="B7" s="88" t="s">
        <v>134</v>
      </c>
      <c r="C7" s="89">
        <v>46114</v>
      </c>
      <c r="D7" s="90"/>
      <c r="E7" s="90"/>
      <c r="F7" s="90"/>
      <c r="G7" s="90"/>
      <c r="H7" s="90">
        <v>60.4</v>
      </c>
      <c r="I7" s="90"/>
      <c r="J7" s="87">
        <f t="shared" si="0"/>
        <v>60.4</v>
      </c>
    </row>
    <row r="8" spans="1:10" ht="15.75" thickBot="1" x14ac:dyDescent="0.3">
      <c r="A8" s="88" t="s">
        <v>137</v>
      </c>
      <c r="B8" s="88" t="s">
        <v>138</v>
      </c>
      <c r="C8" s="89">
        <v>46023</v>
      </c>
      <c r="D8" s="90"/>
      <c r="E8" s="90"/>
      <c r="F8" s="90">
        <v>200</v>
      </c>
      <c r="G8" s="90"/>
      <c r="H8" s="90"/>
      <c r="I8" s="90"/>
      <c r="J8" s="87">
        <f t="shared" si="0"/>
        <v>200</v>
      </c>
    </row>
    <row r="9" spans="1:10" ht="15.75" thickBot="1" x14ac:dyDescent="0.3">
      <c r="A9" s="88" t="s">
        <v>146</v>
      </c>
      <c r="B9" s="88" t="s">
        <v>147</v>
      </c>
      <c r="C9" s="89">
        <v>46082</v>
      </c>
      <c r="D9" s="90"/>
      <c r="E9" s="90"/>
      <c r="F9" s="90">
        <v>700</v>
      </c>
      <c r="G9" s="90"/>
      <c r="H9" s="90"/>
      <c r="I9" s="90"/>
      <c r="J9" s="87">
        <f t="shared" si="0"/>
        <v>700</v>
      </c>
    </row>
    <row r="10" spans="1:10" ht="15.75" thickBot="1" x14ac:dyDescent="0.3">
      <c r="A10" s="88" t="s">
        <v>133</v>
      </c>
      <c r="B10" s="88" t="s">
        <v>155</v>
      </c>
      <c r="C10" s="89">
        <v>46114</v>
      </c>
      <c r="D10" s="90"/>
      <c r="E10" s="90"/>
      <c r="F10" s="90"/>
      <c r="G10" s="90"/>
      <c r="H10" s="90">
        <v>76</v>
      </c>
      <c r="I10" s="90"/>
      <c r="J10" s="87">
        <f t="shared" si="0"/>
        <v>76</v>
      </c>
    </row>
    <row r="11" spans="1:10" ht="15.75" thickBot="1" x14ac:dyDescent="0.3">
      <c r="A11" s="88"/>
      <c r="B11" s="88"/>
      <c r="C11" s="89"/>
      <c r="D11" s="90"/>
      <c r="E11" s="90"/>
      <c r="F11" s="90"/>
      <c r="G11" s="90"/>
      <c r="H11" s="90"/>
      <c r="I11" s="90"/>
      <c r="J11" s="87">
        <f t="shared" si="0"/>
        <v>0</v>
      </c>
    </row>
    <row r="12" spans="1:10" ht="15.75" thickBot="1" x14ac:dyDescent="0.3">
      <c r="A12" s="88" t="s">
        <v>78</v>
      </c>
      <c r="B12" s="88" t="s">
        <v>140</v>
      </c>
      <c r="C12" s="89">
        <v>46114</v>
      </c>
      <c r="D12" s="90"/>
      <c r="E12" s="90"/>
      <c r="F12" s="90"/>
      <c r="G12" s="90"/>
      <c r="H12" s="90"/>
      <c r="I12" s="90">
        <v>10</v>
      </c>
      <c r="J12" s="87">
        <f t="shared" si="0"/>
        <v>10</v>
      </c>
    </row>
    <row r="13" spans="1:10" ht="15.75" thickBot="1" x14ac:dyDescent="0.3">
      <c r="A13" s="196" t="s">
        <v>139</v>
      </c>
      <c r="B13" s="88" t="s">
        <v>141</v>
      </c>
      <c r="C13" s="89">
        <v>46114</v>
      </c>
      <c r="D13" s="90"/>
      <c r="E13" s="90"/>
      <c r="F13" s="90"/>
      <c r="G13" s="90"/>
      <c r="H13" s="90"/>
      <c r="I13" s="90">
        <v>10</v>
      </c>
      <c r="J13" s="87">
        <f t="shared" si="0"/>
        <v>10</v>
      </c>
    </row>
    <row r="14" spans="1:10" ht="15.75" thickBot="1" x14ac:dyDescent="0.3">
      <c r="A14" s="196"/>
      <c r="B14" s="194"/>
      <c r="C14" s="89"/>
      <c r="D14" s="90"/>
      <c r="E14" s="90"/>
      <c r="F14" s="90"/>
      <c r="G14" s="90"/>
      <c r="H14" s="90"/>
      <c r="I14" s="93"/>
      <c r="J14" s="87">
        <f t="shared" si="0"/>
        <v>0</v>
      </c>
    </row>
    <row r="15" spans="1:10" ht="15.75" thickBot="1" x14ac:dyDescent="0.3">
      <c r="A15" s="88" t="s">
        <v>128</v>
      </c>
      <c r="B15" s="88" t="s">
        <v>130</v>
      </c>
      <c r="C15" s="89"/>
      <c r="D15" s="90"/>
      <c r="E15" s="90"/>
      <c r="F15" s="90">
        <v>-100</v>
      </c>
      <c r="G15" s="90"/>
      <c r="H15" s="90"/>
      <c r="I15" s="90"/>
      <c r="J15" s="87">
        <f t="shared" si="0"/>
        <v>-100</v>
      </c>
    </row>
    <row r="16" spans="1:10" ht="15.75" thickBot="1" x14ac:dyDescent="0.3">
      <c r="A16" s="95"/>
      <c r="B16" s="195"/>
      <c r="C16" s="89"/>
      <c r="D16" s="90"/>
      <c r="E16" s="90"/>
      <c r="F16" s="90"/>
      <c r="G16" s="90"/>
      <c r="H16" s="90"/>
      <c r="I16" s="90"/>
      <c r="J16" s="87">
        <f t="shared" si="0"/>
        <v>0</v>
      </c>
    </row>
    <row r="17" spans="1:13" ht="15.75" thickBot="1" x14ac:dyDescent="0.3">
      <c r="A17" s="97"/>
      <c r="B17" s="95"/>
      <c r="C17" s="89"/>
      <c r="D17" s="90"/>
      <c r="E17" s="90"/>
      <c r="F17" s="90"/>
      <c r="G17" s="90"/>
      <c r="H17" s="90"/>
      <c r="I17" s="90"/>
      <c r="J17" s="87">
        <f t="shared" si="0"/>
        <v>0</v>
      </c>
    </row>
    <row r="18" spans="1:13" ht="15.75" thickBot="1" x14ac:dyDescent="0.3">
      <c r="A18" s="192"/>
      <c r="B18" s="192"/>
      <c r="C18" s="89"/>
      <c r="D18" s="90"/>
      <c r="E18" s="90"/>
      <c r="F18" s="90"/>
      <c r="G18" s="90"/>
      <c r="H18" s="90"/>
      <c r="I18" s="90"/>
      <c r="J18" s="87">
        <f t="shared" si="0"/>
        <v>0</v>
      </c>
    </row>
    <row r="19" spans="1:13" ht="15.75" thickBot="1" x14ac:dyDescent="0.3">
      <c r="A19" s="99"/>
      <c r="B19" s="192"/>
      <c r="C19" s="89"/>
      <c r="D19" s="90"/>
      <c r="E19" s="90"/>
      <c r="F19" s="90"/>
      <c r="G19" s="90"/>
      <c r="H19" s="90"/>
      <c r="I19" s="90"/>
      <c r="J19" s="87">
        <f t="shared" si="0"/>
        <v>0</v>
      </c>
    </row>
    <row r="20" spans="1:13" ht="15.75" thickBot="1" x14ac:dyDescent="0.3">
      <c r="A20" s="99"/>
      <c r="B20" s="192"/>
      <c r="C20" s="89"/>
      <c r="D20" s="90"/>
      <c r="E20" s="90"/>
      <c r="F20" s="90"/>
      <c r="G20" s="90"/>
      <c r="H20" s="90"/>
      <c r="I20" s="90"/>
      <c r="J20" s="87">
        <f t="shared" si="0"/>
        <v>0</v>
      </c>
    </row>
    <row r="21" spans="1:13" ht="15.75" thickBot="1" x14ac:dyDescent="0.3">
      <c r="A21" s="100"/>
      <c r="B21" s="192"/>
      <c r="C21" s="89"/>
      <c r="D21" s="90"/>
      <c r="E21" s="90"/>
      <c r="F21" s="90"/>
      <c r="G21" s="90"/>
      <c r="H21" s="90"/>
      <c r="I21" s="90"/>
      <c r="J21" s="87">
        <f t="shared" si="0"/>
        <v>0</v>
      </c>
    </row>
    <row r="22" spans="1:13" ht="15.75" thickBot="1" x14ac:dyDescent="0.3">
      <c r="A22" s="101"/>
      <c r="B22" s="101"/>
      <c r="C22" s="89"/>
      <c r="D22" s="90"/>
      <c r="E22" s="90"/>
      <c r="F22" s="90"/>
      <c r="G22" s="90"/>
      <c r="H22" s="90"/>
      <c r="I22" s="90"/>
      <c r="J22" s="87">
        <f t="shared" si="0"/>
        <v>0</v>
      </c>
    </row>
    <row r="23" spans="1:13" ht="15.75" thickBot="1" x14ac:dyDescent="0.3">
      <c r="A23" s="192"/>
      <c r="B23" s="102"/>
      <c r="C23" s="103"/>
      <c r="D23" s="104"/>
      <c r="E23" s="104"/>
      <c r="F23" s="104"/>
      <c r="G23" s="104"/>
      <c r="H23" s="104"/>
      <c r="I23" s="104"/>
      <c r="J23" s="87">
        <f t="shared" ref="J23" si="1">SUM(D23:I23)</f>
        <v>0</v>
      </c>
    </row>
    <row r="24" spans="1:13" ht="19.5" thickBot="1" x14ac:dyDescent="0.35">
      <c r="A24" s="105" t="s">
        <v>4</v>
      </c>
      <c r="B24" s="86"/>
      <c r="C24" s="106"/>
      <c r="D24" s="107">
        <f t="shared" ref="D24:I24" si="2">SUM(D4:D23)</f>
        <v>0</v>
      </c>
      <c r="E24" s="107">
        <f t="shared" si="2"/>
        <v>0</v>
      </c>
      <c r="F24" s="107">
        <f t="shared" si="2"/>
        <v>1800</v>
      </c>
      <c r="G24" s="107">
        <f t="shared" si="2"/>
        <v>0</v>
      </c>
      <c r="H24" s="107">
        <f t="shared" si="2"/>
        <v>136.4</v>
      </c>
      <c r="I24" s="107">
        <f t="shared" si="2"/>
        <v>20</v>
      </c>
      <c r="J24" s="108">
        <f>SUM(J4:J23)</f>
        <v>1956.4</v>
      </c>
    </row>
    <row r="25" spans="1:13" ht="19.5" thickBot="1" x14ac:dyDescent="0.35">
      <c r="A25" s="2"/>
      <c r="B25" s="109"/>
      <c r="C25" s="110"/>
      <c r="D25" s="111"/>
      <c r="E25" s="111"/>
      <c r="F25" s="111"/>
      <c r="G25" s="111"/>
      <c r="H25" s="111"/>
      <c r="I25" s="111"/>
      <c r="J25" s="111"/>
    </row>
    <row r="26" spans="1:13" ht="24" thickBot="1" x14ac:dyDescent="0.4">
      <c r="A26" s="112" t="s">
        <v>40</v>
      </c>
      <c r="B26" s="109"/>
      <c r="C26" s="110"/>
      <c r="D26" s="111"/>
      <c r="E26" s="111"/>
      <c r="F26" s="111"/>
      <c r="G26" s="111"/>
      <c r="H26" s="111"/>
      <c r="I26" s="111"/>
      <c r="J26" s="111"/>
    </row>
    <row r="27" spans="1:13" ht="15.75" thickBot="1" x14ac:dyDescent="0.3">
      <c r="A27" s="113" t="s">
        <v>3</v>
      </c>
      <c r="B27" s="86" t="s">
        <v>32</v>
      </c>
      <c r="C27" s="114" t="s">
        <v>41</v>
      </c>
      <c r="D27" s="114" t="s">
        <v>34</v>
      </c>
      <c r="E27" s="114" t="s">
        <v>35</v>
      </c>
      <c r="F27" s="86" t="s">
        <v>36</v>
      </c>
      <c r="G27" s="86" t="s">
        <v>37</v>
      </c>
      <c r="H27" s="86" t="s">
        <v>42</v>
      </c>
      <c r="I27" s="86" t="s">
        <v>39</v>
      </c>
      <c r="J27" s="115" t="s">
        <v>4</v>
      </c>
    </row>
    <row r="28" spans="1:13" ht="15.75" thickBot="1" x14ac:dyDescent="0.3">
      <c r="A28" s="101"/>
      <c r="B28" s="103"/>
      <c r="C28" s="103"/>
      <c r="D28" s="116"/>
      <c r="E28" s="117"/>
      <c r="F28" s="116"/>
      <c r="G28" s="116"/>
      <c r="H28" s="118"/>
      <c r="I28" s="118"/>
      <c r="J28" s="119">
        <f>SUM(D28:I28)</f>
        <v>0</v>
      </c>
    </row>
    <row r="29" spans="1:13" ht="15.75" thickBot="1" x14ac:dyDescent="0.3">
      <c r="A29" s="101"/>
      <c r="B29" s="103"/>
      <c r="C29" s="103"/>
      <c r="D29" s="116"/>
      <c r="E29" s="116"/>
      <c r="F29" s="116"/>
      <c r="G29" s="116"/>
      <c r="H29" s="118"/>
      <c r="I29" s="118"/>
      <c r="J29" s="119">
        <f t="shared" ref="J29:J31" si="3">SUM(D29:I29)</f>
        <v>0</v>
      </c>
    </row>
    <row r="30" spans="1:13" ht="15.75" thickBot="1" x14ac:dyDescent="0.3">
      <c r="A30" s="101"/>
      <c r="B30" s="192"/>
      <c r="C30" s="89"/>
      <c r="D30" s="120"/>
      <c r="E30" s="120"/>
      <c r="F30" s="120"/>
      <c r="G30" s="120"/>
      <c r="H30" s="90"/>
      <c r="I30" s="90"/>
      <c r="J30" s="119">
        <f t="shared" si="3"/>
        <v>0</v>
      </c>
    </row>
    <row r="31" spans="1:13" ht="15.75" thickBot="1" x14ac:dyDescent="0.3">
      <c r="A31" s="86"/>
      <c r="B31" s="121"/>
      <c r="C31" s="89"/>
      <c r="D31" s="120"/>
      <c r="E31" s="120"/>
      <c r="F31" s="120"/>
      <c r="G31" s="120"/>
      <c r="H31" s="90"/>
      <c r="I31" s="90"/>
      <c r="J31" s="119">
        <f t="shared" si="3"/>
        <v>0</v>
      </c>
      <c r="L31" s="122" t="s">
        <v>43</v>
      </c>
      <c r="M31" s="123">
        <f>J32+J40</f>
        <v>65</v>
      </c>
    </row>
    <row r="32" spans="1:13" ht="15.75" thickBot="1" x14ac:dyDescent="0.3">
      <c r="A32" s="86" t="s">
        <v>4</v>
      </c>
      <c r="B32" s="124"/>
      <c r="C32" s="125"/>
      <c r="D32" s="126"/>
      <c r="E32" s="126"/>
      <c r="F32" s="126"/>
      <c r="G32" s="126"/>
      <c r="H32" s="126"/>
      <c r="I32" s="126"/>
      <c r="J32" s="94">
        <f>SUM(J28:J31)</f>
        <v>0</v>
      </c>
    </row>
    <row r="33" spans="1:13" ht="15.75" thickBot="1" x14ac:dyDescent="0.3">
      <c r="A33" s="109"/>
      <c r="B33" s="127"/>
      <c r="C33" s="128"/>
      <c r="D33" s="129"/>
      <c r="E33" s="129"/>
      <c r="F33" s="129"/>
      <c r="G33" s="129"/>
      <c r="H33" s="129"/>
      <c r="I33" s="129"/>
      <c r="J33" s="130"/>
    </row>
    <row r="34" spans="1:13" ht="24" thickBot="1" x14ac:dyDescent="0.4">
      <c r="A34" s="112" t="s">
        <v>40</v>
      </c>
      <c r="B34" s="109"/>
      <c r="C34" s="110"/>
      <c r="D34" s="111"/>
      <c r="E34" s="111"/>
      <c r="F34" s="111"/>
      <c r="G34" s="111"/>
      <c r="H34" s="111"/>
      <c r="I34" s="111"/>
      <c r="J34" s="111"/>
    </row>
    <row r="35" spans="1:13" ht="45.75" thickBot="1" x14ac:dyDescent="0.3">
      <c r="A35" s="131" t="s">
        <v>44</v>
      </c>
      <c r="B35" s="86" t="s">
        <v>45</v>
      </c>
      <c r="C35" s="114" t="s">
        <v>41</v>
      </c>
      <c r="D35" s="114" t="s">
        <v>34</v>
      </c>
      <c r="E35" s="114" t="s">
        <v>35</v>
      </c>
      <c r="F35" s="114" t="s">
        <v>46</v>
      </c>
      <c r="G35" s="114" t="s">
        <v>47</v>
      </c>
      <c r="H35" s="114" t="s">
        <v>42</v>
      </c>
      <c r="I35" s="132" t="s">
        <v>48</v>
      </c>
      <c r="J35" s="115" t="s">
        <v>4</v>
      </c>
    </row>
    <row r="36" spans="1:13" ht="15.75" thickBot="1" x14ac:dyDescent="0.3">
      <c r="A36" s="121" t="s">
        <v>150</v>
      </c>
      <c r="B36" s="103" t="s">
        <v>151</v>
      </c>
      <c r="C36" s="103">
        <v>46082</v>
      </c>
      <c r="D36" s="118"/>
      <c r="E36" s="136"/>
      <c r="F36" s="118">
        <v>60</v>
      </c>
      <c r="G36" s="118">
        <v>5</v>
      </c>
      <c r="H36" s="118"/>
      <c r="I36" s="118"/>
      <c r="J36" s="119">
        <f>SUM(D36:I36)</f>
        <v>65</v>
      </c>
    </row>
    <row r="37" spans="1:13" ht="15.75" thickBot="1" x14ac:dyDescent="0.3">
      <c r="A37" s="95"/>
      <c r="B37" s="103"/>
      <c r="C37" s="89"/>
      <c r="D37" s="116"/>
      <c r="E37" s="116"/>
      <c r="F37" s="116"/>
      <c r="G37" s="116"/>
      <c r="H37" s="118"/>
      <c r="I37" s="118"/>
      <c r="J37" s="119">
        <f t="shared" ref="J37:J39" si="4">SUM(D37:I37)</f>
        <v>0</v>
      </c>
    </row>
    <row r="38" spans="1:13" ht="15.75" thickBot="1" x14ac:dyDescent="0.3">
      <c r="A38" s="101"/>
      <c r="B38" s="192"/>
      <c r="C38" s="89"/>
      <c r="D38" s="120"/>
      <c r="E38" s="120"/>
      <c r="F38" s="120"/>
      <c r="G38" s="120"/>
      <c r="H38" s="90"/>
      <c r="I38" s="90"/>
      <c r="J38" s="119">
        <f t="shared" si="4"/>
        <v>0</v>
      </c>
    </row>
    <row r="39" spans="1:13" ht="15.75" thickBot="1" x14ac:dyDescent="0.3">
      <c r="A39" s="86"/>
      <c r="B39" s="121"/>
      <c r="C39" s="89"/>
      <c r="D39" s="120"/>
      <c r="E39" s="120"/>
      <c r="F39" s="120"/>
      <c r="G39" s="120"/>
      <c r="H39" s="90"/>
      <c r="I39" s="90"/>
      <c r="J39" s="119">
        <f t="shared" si="4"/>
        <v>0</v>
      </c>
      <c r="L39" s="134"/>
      <c r="M39" s="135"/>
    </row>
    <row r="40" spans="1:13" ht="15.75" thickBot="1" x14ac:dyDescent="0.3">
      <c r="A40" s="86" t="s">
        <v>4</v>
      </c>
      <c r="B40" s="124"/>
      <c r="C40" s="125"/>
      <c r="D40" s="126"/>
      <c r="E40" s="126"/>
      <c r="F40" s="126"/>
      <c r="G40" s="126"/>
      <c r="H40" s="126"/>
      <c r="I40" s="126"/>
      <c r="J40" s="94">
        <f>SUM(J36:J39)</f>
        <v>65</v>
      </c>
    </row>
    <row r="41" spans="1:13" x14ac:dyDescent="0.25">
      <c r="A41" s="109"/>
      <c r="B41" s="127"/>
      <c r="C41" s="128"/>
      <c r="D41" s="129"/>
      <c r="E41" s="129"/>
      <c r="F41" s="129"/>
      <c r="G41" s="129"/>
      <c r="H41" s="129"/>
      <c r="I41" s="129"/>
      <c r="J41" s="130"/>
    </row>
    <row r="42" spans="1:13" x14ac:dyDescent="0.25">
      <c r="A42" s="109"/>
      <c r="B42" s="127"/>
      <c r="C42" s="128"/>
      <c r="D42" s="129"/>
      <c r="E42" s="129"/>
      <c r="F42" s="129"/>
      <c r="G42" s="129"/>
      <c r="H42" s="129"/>
      <c r="I42" s="129"/>
      <c r="J42" s="130"/>
    </row>
    <row r="43" spans="1:13" ht="15.75" thickBot="1" x14ac:dyDescent="0.3">
      <c r="A43" s="84"/>
      <c r="B43" s="84"/>
      <c r="C43" s="84"/>
      <c r="J43" s="85"/>
    </row>
    <row r="44" spans="1:13" ht="45.75" thickBot="1" x14ac:dyDescent="0.3">
      <c r="A44" s="114" t="s">
        <v>49</v>
      </c>
      <c r="B44" s="86" t="s">
        <v>45</v>
      </c>
      <c r="C44" s="114" t="s">
        <v>41</v>
      </c>
      <c r="D44" s="114" t="s">
        <v>34</v>
      </c>
      <c r="E44" s="114" t="s">
        <v>35</v>
      </c>
      <c r="F44" s="114" t="s">
        <v>46</v>
      </c>
      <c r="G44" s="114" t="s">
        <v>47</v>
      </c>
      <c r="H44" s="86" t="s">
        <v>48</v>
      </c>
      <c r="I44" s="132" t="s">
        <v>42</v>
      </c>
      <c r="J44" s="115" t="s">
        <v>4</v>
      </c>
    </row>
    <row r="45" spans="1:13" ht="15.75" thickBot="1" x14ac:dyDescent="0.3">
      <c r="A45" s="121"/>
      <c r="B45" s="103"/>
      <c r="C45" s="103"/>
      <c r="D45" s="118"/>
      <c r="E45" s="118"/>
      <c r="F45" s="118"/>
      <c r="G45" s="118"/>
      <c r="H45" s="118"/>
      <c r="I45" s="118"/>
      <c r="J45" s="119">
        <f t="shared" ref="J45:J57" si="5">SUM(D45:I45)</f>
        <v>0</v>
      </c>
    </row>
    <row r="46" spans="1:13" ht="15.75" thickBot="1" x14ac:dyDescent="0.3">
      <c r="A46" s="192"/>
      <c r="B46" s="103"/>
      <c r="C46" s="103"/>
      <c r="D46" s="118"/>
      <c r="E46" s="118"/>
      <c r="F46" s="118"/>
      <c r="G46" s="118"/>
      <c r="H46" s="118"/>
      <c r="I46" s="118"/>
      <c r="J46" s="119">
        <f t="shared" si="5"/>
        <v>0</v>
      </c>
    </row>
    <row r="47" spans="1:13" ht="15.75" thickBot="1" x14ac:dyDescent="0.3">
      <c r="A47" s="121"/>
      <c r="B47" s="103"/>
      <c r="C47" s="103"/>
      <c r="D47" s="118"/>
      <c r="E47" s="118"/>
      <c r="F47" s="118"/>
      <c r="G47" s="118"/>
      <c r="H47" s="118"/>
      <c r="I47" s="118"/>
      <c r="J47" s="119">
        <f t="shared" si="5"/>
        <v>0</v>
      </c>
    </row>
    <row r="48" spans="1:13" ht="15.75" thickBot="1" x14ac:dyDescent="0.3">
      <c r="A48" s="121"/>
      <c r="B48" s="103"/>
      <c r="C48" s="103"/>
      <c r="D48" s="118"/>
      <c r="E48" s="118"/>
      <c r="F48" s="118"/>
      <c r="G48" s="118"/>
      <c r="H48" s="118"/>
      <c r="I48" s="118"/>
      <c r="J48" s="119">
        <f t="shared" si="5"/>
        <v>0</v>
      </c>
    </row>
    <row r="49" spans="1:10" ht="15.75" thickBot="1" x14ac:dyDescent="0.3">
      <c r="A49" s="192"/>
      <c r="B49" s="103"/>
      <c r="C49" s="103"/>
      <c r="D49" s="118"/>
      <c r="E49" s="118"/>
      <c r="F49" s="118"/>
      <c r="G49" s="118"/>
      <c r="H49" s="118"/>
      <c r="I49" s="118"/>
      <c r="J49" s="119">
        <f t="shared" si="5"/>
        <v>0</v>
      </c>
    </row>
    <row r="50" spans="1:10" ht="15.75" thickBot="1" x14ac:dyDescent="0.3">
      <c r="A50" s="192"/>
      <c r="B50" s="103"/>
      <c r="C50" s="103"/>
      <c r="D50" s="118"/>
      <c r="E50" s="118"/>
      <c r="F50" s="118"/>
      <c r="G50" s="118"/>
      <c r="H50" s="118"/>
      <c r="I50" s="118"/>
      <c r="J50" s="119">
        <f t="shared" si="5"/>
        <v>0</v>
      </c>
    </row>
    <row r="51" spans="1:10" ht="15.75" thickBot="1" x14ac:dyDescent="0.3">
      <c r="A51" s="192"/>
      <c r="B51" s="103"/>
      <c r="C51" s="103"/>
      <c r="D51" s="118"/>
      <c r="E51" s="118"/>
      <c r="F51" s="118"/>
      <c r="G51" s="118"/>
      <c r="H51" s="118"/>
      <c r="I51" s="118"/>
      <c r="J51" s="119">
        <f t="shared" si="5"/>
        <v>0</v>
      </c>
    </row>
    <row r="52" spans="1:10" ht="15.75" thickBot="1" x14ac:dyDescent="0.3">
      <c r="A52" s="192"/>
      <c r="B52" s="103"/>
      <c r="C52" s="103"/>
      <c r="D52" s="118"/>
      <c r="E52" s="118"/>
      <c r="F52" s="118"/>
      <c r="G52" s="118"/>
      <c r="H52" s="118"/>
      <c r="I52" s="118"/>
      <c r="J52" s="119">
        <f t="shared" si="5"/>
        <v>0</v>
      </c>
    </row>
    <row r="53" spans="1:10" ht="15.75" thickBot="1" x14ac:dyDescent="0.3">
      <c r="A53" s="192"/>
      <c r="B53" s="103"/>
      <c r="C53" s="103"/>
      <c r="D53" s="118"/>
      <c r="E53" s="118"/>
      <c r="F53" s="118"/>
      <c r="G53" s="118"/>
      <c r="H53" s="118"/>
      <c r="I53" s="118"/>
      <c r="J53" s="119">
        <f t="shared" si="5"/>
        <v>0</v>
      </c>
    </row>
    <row r="54" spans="1:10" ht="15.75" thickBot="1" x14ac:dyDescent="0.3">
      <c r="A54" s="137"/>
      <c r="B54" s="103"/>
      <c r="C54" s="103"/>
      <c r="D54" s="118"/>
      <c r="E54" s="118"/>
      <c r="F54" s="118"/>
      <c r="G54" s="118"/>
      <c r="H54" s="118"/>
      <c r="I54" s="118"/>
      <c r="J54" s="119">
        <f t="shared" si="5"/>
        <v>0</v>
      </c>
    </row>
    <row r="55" spans="1:10" ht="15.75" thickBot="1" x14ac:dyDescent="0.3">
      <c r="A55" s="121"/>
      <c r="B55" s="103"/>
      <c r="C55" s="103"/>
      <c r="D55" s="118"/>
      <c r="F55" s="118"/>
      <c r="G55" s="118"/>
      <c r="H55" s="118"/>
      <c r="I55" s="118"/>
      <c r="J55" s="119">
        <f t="shared" si="5"/>
        <v>0</v>
      </c>
    </row>
    <row r="56" spans="1:10" ht="15.75" thickBot="1" x14ac:dyDescent="0.3">
      <c r="A56" s="121"/>
      <c r="B56" s="103"/>
      <c r="C56" s="103"/>
      <c r="D56" s="118"/>
      <c r="E56" s="118"/>
      <c r="F56" s="118"/>
      <c r="G56" s="118"/>
      <c r="H56" s="118"/>
      <c r="I56" s="118"/>
      <c r="J56" s="119">
        <f t="shared" si="5"/>
        <v>0</v>
      </c>
    </row>
    <row r="57" spans="1:10" ht="15.75" thickBot="1" x14ac:dyDescent="0.3">
      <c r="A57" s="121"/>
      <c r="B57" s="103"/>
      <c r="C57" s="103"/>
      <c r="D57" s="138"/>
      <c r="E57" s="138"/>
      <c r="F57" s="138"/>
      <c r="G57" s="138"/>
      <c r="H57" s="138"/>
      <c r="I57" s="138"/>
      <c r="J57" s="119">
        <f t="shared" si="5"/>
        <v>0</v>
      </c>
    </row>
    <row r="58" spans="1:10" ht="19.5" thickBot="1" x14ac:dyDescent="0.35">
      <c r="A58" s="105" t="s">
        <v>4</v>
      </c>
      <c r="B58" s="86"/>
      <c r="C58" s="106"/>
      <c r="D58" s="107">
        <f t="shared" ref="D58:E58" si="6">SUM(D45:D57)</f>
        <v>0</v>
      </c>
      <c r="E58" s="107">
        <f t="shared" si="6"/>
        <v>0</v>
      </c>
      <c r="F58" s="107">
        <f>SUM(F45:F57)</f>
        <v>0</v>
      </c>
      <c r="G58" s="107">
        <f t="shared" ref="G58:I58" si="7">SUM(G45:G57)</f>
        <v>0</v>
      </c>
      <c r="H58" s="107">
        <f t="shared" si="7"/>
        <v>0</v>
      </c>
      <c r="I58" s="107">
        <f t="shared" si="7"/>
        <v>0</v>
      </c>
      <c r="J58" s="107">
        <f>SUM(J45:J57)</f>
        <v>0</v>
      </c>
    </row>
    <row r="59" spans="1:10" ht="15.75" x14ac:dyDescent="0.25">
      <c r="A59" s="139"/>
      <c r="B59" s="139"/>
      <c r="C59" s="140"/>
      <c r="D59" s="141"/>
      <c r="E59" s="141"/>
      <c r="F59" s="141"/>
      <c r="G59" s="141"/>
      <c r="H59" s="141"/>
      <c r="I59" s="141"/>
      <c r="J59" s="141"/>
    </row>
    <row r="60" spans="1:10" ht="16.5" thickBot="1" x14ac:dyDescent="0.3">
      <c r="A60" s="139"/>
      <c r="B60" s="139"/>
      <c r="C60" s="140"/>
      <c r="D60" s="141"/>
      <c r="E60" s="141"/>
      <c r="F60" s="141"/>
      <c r="G60" s="141"/>
      <c r="H60" s="141"/>
      <c r="I60" s="141"/>
      <c r="J60" s="141"/>
    </row>
    <row r="61" spans="1:10" ht="19.5" thickBot="1" x14ac:dyDescent="0.35">
      <c r="A61" s="492" t="s">
        <v>50</v>
      </c>
      <c r="B61" s="493"/>
      <c r="C61" s="142"/>
      <c r="D61" s="143"/>
      <c r="E61" s="143"/>
      <c r="F61" s="143"/>
      <c r="G61" s="143"/>
      <c r="H61" s="143"/>
      <c r="I61" s="143"/>
      <c r="J61" s="108">
        <f>+J24+J58</f>
        <v>1956.4</v>
      </c>
    </row>
    <row r="62" spans="1:10" x14ac:dyDescent="0.25">
      <c r="A62" s="84"/>
      <c r="B62" s="84"/>
      <c r="C62" s="144"/>
      <c r="D62" s="85"/>
      <c r="E62" s="85"/>
      <c r="F62" s="85"/>
      <c r="G62" s="85"/>
      <c r="H62" s="85"/>
      <c r="I62" s="85"/>
      <c r="J62" s="85"/>
    </row>
    <row r="63" spans="1:10" x14ac:dyDescent="0.25">
      <c r="A63" s="84"/>
      <c r="B63" s="84"/>
      <c r="C63" s="144"/>
      <c r="D63" s="85"/>
      <c r="E63" s="85"/>
      <c r="F63" s="85"/>
      <c r="G63" s="85"/>
      <c r="H63" s="85"/>
      <c r="I63" s="85"/>
      <c r="J63" s="85"/>
    </row>
    <row r="64" spans="1:10" ht="16.5" thickBot="1" x14ac:dyDescent="0.3">
      <c r="A64" s="145" t="s">
        <v>51</v>
      </c>
      <c r="B64" s="84"/>
      <c r="C64" s="144"/>
      <c r="D64" s="85"/>
      <c r="E64" s="85"/>
      <c r="F64" s="85"/>
      <c r="G64" s="85"/>
      <c r="H64" s="85"/>
      <c r="I64" s="85"/>
      <c r="J64" s="85"/>
    </row>
    <row r="65" spans="1:10" ht="19.5" thickBot="1" x14ac:dyDescent="0.35">
      <c r="A65" s="146" t="s">
        <v>52</v>
      </c>
      <c r="B65" s="147"/>
      <c r="C65" s="148"/>
      <c r="D65" s="149"/>
      <c r="E65" s="149"/>
      <c r="F65" s="149"/>
      <c r="G65" s="149"/>
      <c r="H65" s="149"/>
      <c r="I65" s="149"/>
      <c r="J65" s="108"/>
    </row>
    <row r="66" spans="1:10" ht="19.5" thickBot="1" x14ac:dyDescent="0.35">
      <c r="A66" s="146" t="s">
        <v>53</v>
      </c>
      <c r="B66" s="147"/>
      <c r="C66" s="150"/>
      <c r="D66" s="149"/>
      <c r="E66" s="149"/>
      <c r="F66" s="149"/>
      <c r="G66" s="149"/>
      <c r="H66" s="149"/>
      <c r="I66" s="149"/>
      <c r="J66" s="108"/>
    </row>
    <row r="67" spans="1:10" ht="18.75" x14ac:dyDescent="0.3">
      <c r="A67" s="151"/>
      <c r="B67" s="151"/>
      <c r="C67" s="152"/>
      <c r="D67" s="153"/>
      <c r="E67" s="153"/>
      <c r="F67" s="153"/>
      <c r="G67" s="153"/>
      <c r="H67" s="153"/>
      <c r="I67" s="153"/>
      <c r="J67" s="111"/>
    </row>
    <row r="68" spans="1:10" ht="18.75" x14ac:dyDescent="0.3">
      <c r="A68" s="151"/>
      <c r="B68" s="151"/>
      <c r="C68" s="152"/>
      <c r="D68" s="153"/>
      <c r="E68" s="153"/>
      <c r="F68" s="153"/>
      <c r="G68" s="153"/>
      <c r="H68" s="153"/>
      <c r="I68" s="153"/>
      <c r="J68" s="111"/>
    </row>
    <row r="69" spans="1:10" ht="16.5" thickBot="1" x14ac:dyDescent="0.3">
      <c r="A69" s="154" t="s">
        <v>54</v>
      </c>
      <c r="B69" s="155"/>
      <c r="C69" s="144"/>
      <c r="D69" s="85"/>
      <c r="E69" s="85"/>
      <c r="F69" s="85"/>
      <c r="G69" s="85"/>
      <c r="H69" s="85"/>
      <c r="I69" s="85"/>
      <c r="J69" s="85"/>
    </row>
    <row r="70" spans="1:10" ht="19.5" thickBot="1" x14ac:dyDescent="0.35">
      <c r="A70" s="156" t="s">
        <v>55</v>
      </c>
      <c r="B70" s="157"/>
      <c r="C70" s="158"/>
      <c r="D70" s="159"/>
      <c r="E70" s="159"/>
      <c r="F70" s="159"/>
      <c r="G70" s="159"/>
      <c r="H70" s="159"/>
      <c r="I70" s="159"/>
      <c r="J70" s="160">
        <v>352.5</v>
      </c>
    </row>
    <row r="71" spans="1:10" x14ac:dyDescent="0.25">
      <c r="A71" s="161"/>
      <c r="B71" s="84"/>
      <c r="C71" s="144"/>
      <c r="D71" s="85"/>
      <c r="E71" s="85"/>
      <c r="F71" s="85"/>
      <c r="G71" s="85"/>
      <c r="H71" s="85"/>
      <c r="I71" s="85"/>
      <c r="J71" s="85"/>
    </row>
    <row r="72" spans="1:10" ht="16.5" thickBot="1" x14ac:dyDescent="0.3">
      <c r="A72" s="154"/>
      <c r="B72" s="155"/>
      <c r="C72" s="144"/>
      <c r="D72" s="85"/>
      <c r="E72" s="85"/>
      <c r="F72" s="85"/>
      <c r="G72" s="85"/>
      <c r="H72" s="85"/>
      <c r="I72" s="85"/>
      <c r="J72" s="85"/>
    </row>
    <row r="73" spans="1:10" ht="19.5" thickBot="1" x14ac:dyDescent="0.35">
      <c r="A73" s="156" t="s">
        <v>56</v>
      </c>
      <c r="B73" s="157"/>
      <c r="C73" s="162"/>
      <c r="D73" s="159"/>
      <c r="E73" s="159"/>
      <c r="F73" s="159"/>
      <c r="G73" s="159"/>
      <c r="H73" s="159"/>
      <c r="I73" s="159"/>
      <c r="J73" s="163"/>
    </row>
    <row r="74" spans="1:10" ht="15.75" thickBot="1" x14ac:dyDescent="0.3">
      <c r="A74" s="161"/>
      <c r="B74" s="84"/>
      <c r="C74" s="144"/>
      <c r="D74" s="85"/>
      <c r="E74" s="85"/>
      <c r="F74" s="85"/>
      <c r="G74" s="85"/>
      <c r="H74" s="85"/>
      <c r="I74" s="85"/>
      <c r="J74" s="85"/>
    </row>
    <row r="75" spans="1:10" ht="21.75" thickBot="1" x14ac:dyDescent="0.4">
      <c r="A75" s="494" t="s">
        <v>57</v>
      </c>
      <c r="B75" s="495"/>
      <c r="C75" s="164"/>
      <c r="D75" s="165"/>
      <c r="E75" s="165"/>
      <c r="F75" s="165"/>
      <c r="G75" s="165"/>
      <c r="H75" s="165"/>
      <c r="I75" s="165"/>
      <c r="J75" s="166">
        <f>SUM(J61:J74)</f>
        <v>2308.9</v>
      </c>
    </row>
    <row r="76" spans="1:10" x14ac:dyDescent="0.25">
      <c r="A76" s="84"/>
      <c r="B76" s="84"/>
      <c r="C76" s="144"/>
      <c r="D76" s="85"/>
      <c r="E76" s="85"/>
      <c r="F76" s="85"/>
      <c r="G76" s="85"/>
      <c r="H76" s="85"/>
      <c r="I76" s="85"/>
      <c r="J76" s="85"/>
    </row>
    <row r="77" spans="1:10" ht="21" x14ac:dyDescent="0.35">
      <c r="A77" s="491" t="s">
        <v>158</v>
      </c>
      <c r="B77" s="491"/>
      <c r="C77" s="491"/>
      <c r="D77" s="491"/>
      <c r="E77" s="491"/>
      <c r="F77" s="491"/>
      <c r="G77" s="491"/>
      <c r="H77" s="491"/>
      <c r="I77" s="491"/>
      <c r="J77" s="491"/>
    </row>
    <row r="78" spans="1:10" ht="21.75" thickBot="1" x14ac:dyDescent="0.4">
      <c r="A78" s="193" t="s">
        <v>10</v>
      </c>
      <c r="B78" s="193"/>
      <c r="C78" s="193"/>
      <c r="D78" s="193"/>
      <c r="E78" s="193"/>
      <c r="F78" s="193"/>
      <c r="G78" s="193"/>
      <c r="H78" s="193"/>
      <c r="I78" s="193"/>
      <c r="J78" s="168"/>
    </row>
    <row r="79" spans="1:10" ht="15.75" thickBot="1" x14ac:dyDescent="0.3">
      <c r="A79" s="169" t="s">
        <v>58</v>
      </c>
      <c r="B79" s="170" t="s">
        <v>59</v>
      </c>
      <c r="C79" s="496" t="s">
        <v>33</v>
      </c>
      <c r="D79" s="497"/>
      <c r="E79" s="497"/>
      <c r="F79" s="497"/>
      <c r="G79" s="497"/>
      <c r="H79" s="497"/>
      <c r="I79" s="498"/>
      <c r="J79" s="171" t="s">
        <v>4</v>
      </c>
    </row>
    <row r="80" spans="1:10" ht="30.75" thickBot="1" x14ac:dyDescent="0.3">
      <c r="A80" s="172" t="s">
        <v>135</v>
      </c>
      <c r="B80" s="173">
        <v>439</v>
      </c>
      <c r="C80" s="488" t="s">
        <v>136</v>
      </c>
      <c r="D80" s="489"/>
      <c r="E80" s="489"/>
      <c r="F80" s="489"/>
      <c r="G80" s="489"/>
      <c r="H80" s="489"/>
      <c r="I80" s="489"/>
      <c r="J80" s="104">
        <v>3.5</v>
      </c>
    </row>
    <row r="81" spans="1:10" ht="15.75" thickBot="1" x14ac:dyDescent="0.3">
      <c r="A81" s="121" t="s">
        <v>142</v>
      </c>
      <c r="B81" s="173" t="s">
        <v>143</v>
      </c>
      <c r="C81" s="488" t="s">
        <v>144</v>
      </c>
      <c r="D81" s="489"/>
      <c r="E81" s="489"/>
      <c r="F81" s="489"/>
      <c r="G81" s="489"/>
      <c r="H81" s="490"/>
      <c r="I81" s="490"/>
      <c r="J81" s="104">
        <v>42</v>
      </c>
    </row>
    <row r="82" spans="1:10" ht="36" customHeight="1" thickBot="1" x14ac:dyDescent="0.3">
      <c r="A82" s="121" t="s">
        <v>145</v>
      </c>
      <c r="B82" s="173" t="s">
        <v>148</v>
      </c>
      <c r="C82" s="504" t="s">
        <v>149</v>
      </c>
      <c r="D82" s="505"/>
      <c r="E82" s="505"/>
      <c r="F82" s="505"/>
      <c r="G82" s="505"/>
      <c r="H82" s="505"/>
      <c r="I82" s="505"/>
      <c r="J82" s="174">
        <v>20</v>
      </c>
    </row>
    <row r="83" spans="1:10" ht="15.75" thickBot="1" x14ac:dyDescent="0.3">
      <c r="A83" s="121" t="s">
        <v>152</v>
      </c>
      <c r="B83" s="173" t="s">
        <v>153</v>
      </c>
      <c r="C83" s="488" t="s">
        <v>154</v>
      </c>
      <c r="D83" s="489"/>
      <c r="E83" s="489"/>
      <c r="F83" s="489"/>
      <c r="G83" s="489"/>
      <c r="H83" s="490"/>
      <c r="I83" s="490"/>
      <c r="J83" s="104">
        <v>200</v>
      </c>
    </row>
    <row r="84" spans="1:10" ht="15.75" thickBot="1" x14ac:dyDescent="0.3">
      <c r="A84" s="121"/>
      <c r="B84" s="173"/>
      <c r="C84" s="488"/>
      <c r="D84" s="489"/>
      <c r="E84" s="489"/>
      <c r="F84" s="489"/>
      <c r="G84" s="489"/>
      <c r="H84" s="490"/>
      <c r="I84" s="490"/>
      <c r="J84" s="104"/>
    </row>
    <row r="85" spans="1:10" ht="15.75" thickBot="1" x14ac:dyDescent="0.3">
      <c r="A85" s="121"/>
      <c r="B85" s="173"/>
      <c r="C85" s="488"/>
      <c r="D85" s="489"/>
      <c r="E85" s="489"/>
      <c r="F85" s="489"/>
      <c r="G85" s="489"/>
      <c r="H85" s="490"/>
      <c r="I85" s="490"/>
      <c r="J85" s="104"/>
    </row>
    <row r="86" spans="1:10" ht="15.75" thickBot="1" x14ac:dyDescent="0.3">
      <c r="A86" s="121"/>
      <c r="B86" s="173"/>
      <c r="C86" s="488"/>
      <c r="D86" s="489"/>
      <c r="E86" s="489"/>
      <c r="F86" s="489"/>
      <c r="G86" s="489"/>
      <c r="H86" s="490"/>
      <c r="I86" s="490"/>
      <c r="J86" s="104"/>
    </row>
    <row r="87" spans="1:10" ht="15.75" thickBot="1" x14ac:dyDescent="0.3">
      <c r="A87" s="121"/>
      <c r="B87" s="173"/>
      <c r="C87" s="488"/>
      <c r="D87" s="489"/>
      <c r="E87" s="489"/>
      <c r="F87" s="489"/>
      <c r="G87" s="489"/>
      <c r="H87" s="490"/>
      <c r="I87" s="490"/>
      <c r="J87" s="118"/>
    </row>
    <row r="88" spans="1:10" ht="15.75" thickBot="1" x14ac:dyDescent="0.3">
      <c r="A88" s="121"/>
      <c r="B88" s="173"/>
      <c r="C88" s="488"/>
      <c r="D88" s="489"/>
      <c r="E88" s="489"/>
      <c r="F88" s="489"/>
      <c r="G88" s="489"/>
      <c r="H88" s="490"/>
      <c r="I88" s="490"/>
      <c r="J88" s="118"/>
    </row>
    <row r="89" spans="1:10" ht="15.75" thickBot="1" x14ac:dyDescent="0.3">
      <c r="A89" s="121"/>
      <c r="B89" s="173"/>
      <c r="C89" s="488"/>
      <c r="D89" s="489"/>
      <c r="E89" s="489"/>
      <c r="F89" s="489"/>
      <c r="G89" s="489"/>
      <c r="H89" s="490"/>
      <c r="I89" s="490"/>
      <c r="J89" s="118"/>
    </row>
    <row r="90" spans="1:10" ht="19.5" thickBot="1" x14ac:dyDescent="0.35">
      <c r="A90" s="175" t="s">
        <v>60</v>
      </c>
      <c r="B90" s="492"/>
      <c r="C90" s="499"/>
      <c r="D90" s="499"/>
      <c r="E90" s="499"/>
      <c r="F90" s="499"/>
      <c r="G90" s="499"/>
      <c r="H90" s="499"/>
      <c r="I90" s="499"/>
      <c r="J90" s="176">
        <f>SUM(J80:J89)</f>
        <v>265.5</v>
      </c>
    </row>
    <row r="91" spans="1:10" ht="18.75" x14ac:dyDescent="0.3">
      <c r="A91" s="2"/>
      <c r="B91" s="2"/>
      <c r="C91" s="177"/>
      <c r="D91" s="177"/>
      <c r="E91" s="177"/>
      <c r="F91" s="178"/>
      <c r="G91" s="177"/>
      <c r="H91" s="177"/>
      <c r="I91" s="177"/>
      <c r="J91" s="111"/>
    </row>
    <row r="92" spans="1:10" ht="18.75" x14ac:dyDescent="0.3">
      <c r="A92" s="2"/>
      <c r="B92" s="2"/>
      <c r="C92" s="177"/>
      <c r="D92" s="177"/>
      <c r="E92" s="177"/>
      <c r="F92" s="178"/>
      <c r="G92" s="177"/>
      <c r="H92" s="177"/>
      <c r="I92" s="177"/>
      <c r="J92" s="111"/>
    </row>
    <row r="93" spans="1:10" ht="18.75" x14ac:dyDescent="0.3">
      <c r="A93" s="139" t="s">
        <v>61</v>
      </c>
      <c r="B93" s="2"/>
      <c r="C93" s="84"/>
      <c r="D93" s="85"/>
      <c r="F93" s="85"/>
      <c r="J93" s="85"/>
    </row>
    <row r="94" spans="1:10" x14ac:dyDescent="0.25">
      <c r="A94" s="84" t="s">
        <v>62</v>
      </c>
      <c r="B94" s="144">
        <f>+J75</f>
        <v>2308.9</v>
      </c>
      <c r="C94" s="179"/>
      <c r="D94" s="85"/>
      <c r="F94" s="85"/>
      <c r="J94" s="85"/>
    </row>
    <row r="95" spans="1:10" ht="15.75" thickBot="1" x14ac:dyDescent="0.3">
      <c r="A95" s="84" t="s">
        <v>60</v>
      </c>
      <c r="B95" s="180">
        <f>+J90</f>
        <v>265.5</v>
      </c>
      <c r="C95" s="181"/>
      <c r="D95" s="85"/>
      <c r="F95" s="85"/>
      <c r="G95" s="182"/>
      <c r="H95" s="182"/>
      <c r="I95" s="183"/>
      <c r="J95" s="183"/>
    </row>
    <row r="96" spans="1:10" ht="17.25" thickTop="1" thickBot="1" x14ac:dyDescent="0.3">
      <c r="A96" s="139" t="s">
        <v>8</v>
      </c>
      <c r="B96" s="184">
        <f>++B94-B95</f>
        <v>2043.4</v>
      </c>
      <c r="C96" s="185"/>
      <c r="D96" s="186"/>
      <c r="E96" s="41"/>
      <c r="F96" s="186"/>
      <c r="G96" s="187"/>
      <c r="H96" s="187"/>
      <c r="I96" s="85"/>
    </row>
    <row r="97" ht="15.75" thickBot="1" x14ac:dyDescent="0.3"/>
  </sheetData>
  <mergeCells count="16">
    <mergeCell ref="C85:I85"/>
    <mergeCell ref="C80:I80"/>
    <mergeCell ref="C81:I81"/>
    <mergeCell ref="C82:I82"/>
    <mergeCell ref="C83:I83"/>
    <mergeCell ref="C84:I84"/>
    <mergeCell ref="A1:J1"/>
    <mergeCell ref="A61:B61"/>
    <mergeCell ref="A75:B75"/>
    <mergeCell ref="A77:J77"/>
    <mergeCell ref="C79:I79"/>
    <mergeCell ref="B90:I90"/>
    <mergeCell ref="C87:I87"/>
    <mergeCell ref="C88:I88"/>
    <mergeCell ref="C89:I89"/>
    <mergeCell ref="C86:I86"/>
  </mergeCells>
  <phoneticPr fontId="15" type="noConversion"/>
  <pageMargins left="0.17" right="0.17" top="1.67" bottom="0.17" header="0.17" footer="0.17"/>
  <pageSetup paperSize="9" scale="28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142AB-082A-446A-9EE1-9D416C3F82F5}">
  <sheetPr>
    <pageSetUpPr fitToPage="1"/>
  </sheetPr>
  <dimension ref="A1:M97"/>
  <sheetViews>
    <sheetView topLeftCell="A55" workbookViewId="0">
      <selection activeCell="M30" sqref="M30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6" max="6" width="13" bestFit="1" customWidth="1"/>
    <col min="10" max="10" width="14" bestFit="1" customWidth="1"/>
  </cols>
  <sheetData>
    <row r="1" spans="1:10" ht="21" x14ac:dyDescent="0.35">
      <c r="A1" s="491" t="s">
        <v>157</v>
      </c>
      <c r="B1" s="491"/>
      <c r="C1" s="491"/>
      <c r="D1" s="491"/>
      <c r="E1" s="491"/>
      <c r="F1" s="491"/>
      <c r="G1" s="491"/>
      <c r="H1" s="491"/>
      <c r="I1" s="491"/>
      <c r="J1" s="491"/>
    </row>
    <row r="2" spans="1:10" ht="15.75" thickBot="1" x14ac:dyDescent="0.3">
      <c r="A2" s="83"/>
      <c r="B2" s="84"/>
      <c r="C2" s="84"/>
      <c r="J2" s="85"/>
    </row>
    <row r="3" spans="1:10" ht="30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170</v>
      </c>
      <c r="H3" s="86" t="s">
        <v>38</v>
      </c>
      <c r="I3" s="86" t="s">
        <v>39</v>
      </c>
      <c r="J3" s="87" t="s">
        <v>4</v>
      </c>
    </row>
    <row r="4" spans="1:10" ht="30.75" thickBot="1" x14ac:dyDescent="0.3">
      <c r="A4" s="188" t="s">
        <v>159</v>
      </c>
      <c r="B4" s="88" t="s">
        <v>160</v>
      </c>
      <c r="C4" s="89">
        <v>46082</v>
      </c>
      <c r="D4" s="90"/>
      <c r="E4" s="90"/>
      <c r="F4" s="90">
        <v>140</v>
      </c>
      <c r="G4" s="90"/>
      <c r="H4" s="90"/>
      <c r="I4" s="90"/>
      <c r="J4" s="87">
        <f>SUM(D4:I4)</f>
        <v>140</v>
      </c>
    </row>
    <row r="5" spans="1:10" ht="30.75" thickBot="1" x14ac:dyDescent="0.3">
      <c r="A5" s="188" t="s">
        <v>163</v>
      </c>
      <c r="B5" s="88" t="s">
        <v>161</v>
      </c>
      <c r="C5" s="89">
        <v>46082</v>
      </c>
      <c r="D5" s="90"/>
      <c r="E5" s="90"/>
      <c r="F5" s="90">
        <v>140</v>
      </c>
      <c r="G5" s="90"/>
      <c r="H5" s="90"/>
      <c r="I5" s="90"/>
      <c r="J5" s="87">
        <f t="shared" ref="J5:J22" si="0">SUM(D5:I5)</f>
        <v>140</v>
      </c>
    </row>
    <row r="6" spans="1:10" ht="30.75" thickBot="1" x14ac:dyDescent="0.3">
      <c r="A6" s="188" t="s">
        <v>164</v>
      </c>
      <c r="B6" s="88" t="s">
        <v>162</v>
      </c>
      <c r="C6" s="89">
        <v>46082</v>
      </c>
      <c r="D6" s="90"/>
      <c r="E6" s="90"/>
      <c r="F6" s="90">
        <v>140</v>
      </c>
      <c r="G6" s="90"/>
      <c r="H6" s="90"/>
      <c r="I6" s="90"/>
      <c r="J6" s="87">
        <f t="shared" si="0"/>
        <v>140</v>
      </c>
    </row>
    <row r="7" spans="1:10" ht="15.75" thickBot="1" x14ac:dyDescent="0.3">
      <c r="A7" s="88" t="s">
        <v>166</v>
      </c>
      <c r="B7" s="88" t="s">
        <v>167</v>
      </c>
      <c r="C7" s="89">
        <v>46054</v>
      </c>
      <c r="D7" s="90"/>
      <c r="E7" s="90"/>
      <c r="F7" s="90">
        <v>300</v>
      </c>
      <c r="G7" s="90"/>
      <c r="H7" s="90"/>
      <c r="I7" s="90"/>
      <c r="J7" s="87">
        <f t="shared" si="0"/>
        <v>300</v>
      </c>
    </row>
    <row r="8" spans="1:10" ht="15.75" thickBot="1" x14ac:dyDescent="0.3">
      <c r="A8" s="88" t="s">
        <v>168</v>
      </c>
      <c r="B8" s="88" t="s">
        <v>169</v>
      </c>
      <c r="C8" s="89">
        <v>46174</v>
      </c>
      <c r="D8" s="90"/>
      <c r="E8" s="90"/>
      <c r="F8" s="90"/>
      <c r="G8" s="90">
        <v>350</v>
      </c>
      <c r="H8" s="90"/>
      <c r="I8" s="90"/>
      <c r="J8" s="87">
        <f t="shared" si="0"/>
        <v>350</v>
      </c>
    </row>
    <row r="9" spans="1:10" ht="15.75" thickBot="1" x14ac:dyDescent="0.3">
      <c r="A9" s="88" t="s">
        <v>171</v>
      </c>
      <c r="B9" s="88" t="s">
        <v>172</v>
      </c>
      <c r="C9" s="89">
        <v>46082</v>
      </c>
      <c r="D9" s="90"/>
      <c r="E9" s="90"/>
      <c r="F9" s="90">
        <v>500</v>
      </c>
      <c r="G9" s="90"/>
      <c r="H9" s="90"/>
      <c r="I9" s="90"/>
      <c r="J9" s="87">
        <f t="shared" si="0"/>
        <v>500</v>
      </c>
    </row>
    <row r="10" spans="1:10" ht="15.75" thickBot="1" x14ac:dyDescent="0.3">
      <c r="A10" s="88" t="s">
        <v>173</v>
      </c>
      <c r="B10" s="88" t="s">
        <v>174</v>
      </c>
      <c r="C10" s="89">
        <v>46082</v>
      </c>
      <c r="D10" s="90"/>
      <c r="E10" s="90"/>
      <c r="F10" s="90">
        <v>500</v>
      </c>
      <c r="G10" s="90"/>
      <c r="H10" s="90"/>
      <c r="I10" s="90"/>
      <c r="J10" s="87">
        <f t="shared" si="0"/>
        <v>500</v>
      </c>
    </row>
    <row r="11" spans="1:10" ht="30.75" thickBot="1" x14ac:dyDescent="0.3">
      <c r="A11" s="212" t="s">
        <v>185</v>
      </c>
      <c r="B11" s="197" t="s">
        <v>186</v>
      </c>
      <c r="C11" s="89">
        <v>46113</v>
      </c>
      <c r="D11" s="90"/>
      <c r="E11" s="90"/>
      <c r="F11" s="90"/>
      <c r="G11" s="90">
        <v>300</v>
      </c>
      <c r="H11" s="90"/>
      <c r="I11" s="213"/>
      <c r="J11" s="94">
        <f t="shared" si="0"/>
        <v>300</v>
      </c>
    </row>
    <row r="12" spans="1:10" ht="15.75" thickBot="1" x14ac:dyDescent="0.3">
      <c r="A12" s="198" t="s">
        <v>38</v>
      </c>
      <c r="B12" s="197" t="s">
        <v>187</v>
      </c>
      <c r="C12" s="89">
        <v>46113</v>
      </c>
      <c r="D12" s="90"/>
      <c r="E12" s="90"/>
      <c r="F12" s="90"/>
      <c r="G12" s="90"/>
      <c r="H12" s="90">
        <v>67</v>
      </c>
      <c r="I12" s="90"/>
      <c r="J12" s="87">
        <f t="shared" si="0"/>
        <v>67</v>
      </c>
    </row>
    <row r="13" spans="1:10" ht="15.75" thickBot="1" x14ac:dyDescent="0.3">
      <c r="A13" s="198"/>
      <c r="B13" s="197"/>
      <c r="C13" s="89"/>
      <c r="D13" s="90"/>
      <c r="E13" s="90"/>
      <c r="F13" s="90"/>
      <c r="G13" s="90"/>
      <c r="H13" s="90"/>
      <c r="I13" s="93"/>
      <c r="J13" s="87">
        <f t="shared" si="0"/>
        <v>0</v>
      </c>
    </row>
    <row r="14" spans="1:10" ht="30.75" customHeight="1" thickBot="1" x14ac:dyDescent="0.3">
      <c r="A14" s="507" t="s">
        <v>164</v>
      </c>
      <c r="B14" s="500" t="s">
        <v>165</v>
      </c>
      <c r="C14" s="89">
        <v>45962</v>
      </c>
      <c r="D14" s="90">
        <v>42.7</v>
      </c>
      <c r="E14" s="90">
        <v>5</v>
      </c>
      <c r="F14" s="90"/>
      <c r="G14" s="90"/>
      <c r="H14" s="90"/>
      <c r="I14" s="90"/>
      <c r="J14" s="87">
        <f t="shared" si="0"/>
        <v>47.7</v>
      </c>
    </row>
    <row r="15" spans="1:10" ht="15.75" thickBot="1" x14ac:dyDescent="0.3">
      <c r="A15" s="508"/>
      <c r="B15" s="506"/>
      <c r="C15" s="89">
        <v>45992</v>
      </c>
      <c r="D15" s="90">
        <v>42.9</v>
      </c>
      <c r="E15" s="90">
        <v>5</v>
      </c>
      <c r="F15" s="90"/>
      <c r="G15" s="90"/>
      <c r="H15" s="90"/>
      <c r="I15" s="90"/>
      <c r="J15" s="87">
        <f t="shared" si="0"/>
        <v>47.9</v>
      </c>
    </row>
    <row r="16" spans="1:10" ht="15.75" thickBot="1" x14ac:dyDescent="0.3">
      <c r="A16" s="508"/>
      <c r="B16" s="506"/>
      <c r="C16" s="89">
        <v>46023</v>
      </c>
      <c r="D16" s="90">
        <v>38.299999999999997</v>
      </c>
      <c r="E16" s="90">
        <v>3</v>
      </c>
      <c r="F16" s="90"/>
      <c r="G16" s="90"/>
      <c r="H16" s="90"/>
      <c r="I16" s="90"/>
      <c r="J16" s="87">
        <f t="shared" si="0"/>
        <v>41.3</v>
      </c>
    </row>
    <row r="17" spans="1:13" ht="15.75" thickBot="1" x14ac:dyDescent="0.3">
      <c r="A17" s="509"/>
      <c r="B17" s="501"/>
      <c r="C17" s="89">
        <v>46054</v>
      </c>
      <c r="D17" s="90">
        <v>37.9</v>
      </c>
      <c r="E17" s="90">
        <v>6</v>
      </c>
      <c r="F17" s="90"/>
      <c r="G17" s="90"/>
      <c r="H17" s="90"/>
      <c r="I17" s="90"/>
      <c r="J17" s="87">
        <f t="shared" si="0"/>
        <v>43.9</v>
      </c>
    </row>
    <row r="18" spans="1:13" ht="15.75" thickBot="1" x14ac:dyDescent="0.3">
      <c r="A18" s="88" t="s">
        <v>171</v>
      </c>
      <c r="B18" s="199" t="s">
        <v>175</v>
      </c>
      <c r="C18" s="89">
        <v>46054</v>
      </c>
      <c r="D18" s="90">
        <v>14.4</v>
      </c>
      <c r="E18" s="90">
        <v>6</v>
      </c>
      <c r="F18" s="90"/>
      <c r="G18" s="90"/>
      <c r="H18" s="90"/>
      <c r="I18" s="90"/>
      <c r="J18" s="87">
        <f t="shared" si="0"/>
        <v>20.399999999999999</v>
      </c>
    </row>
    <row r="19" spans="1:13" ht="15.75" thickBot="1" x14ac:dyDescent="0.3">
      <c r="A19" s="99" t="s">
        <v>178</v>
      </c>
      <c r="B19" s="199" t="s">
        <v>176</v>
      </c>
      <c r="C19" s="89">
        <v>46054</v>
      </c>
      <c r="D19" s="90">
        <v>14.4</v>
      </c>
      <c r="E19" s="90">
        <v>6</v>
      </c>
      <c r="F19" s="90"/>
      <c r="G19" s="90"/>
      <c r="H19" s="90"/>
      <c r="I19" s="90"/>
      <c r="J19" s="87">
        <f t="shared" si="0"/>
        <v>20.399999999999999</v>
      </c>
    </row>
    <row r="20" spans="1:13" ht="15.75" thickBot="1" x14ac:dyDescent="0.3">
      <c r="A20" s="88" t="s">
        <v>173</v>
      </c>
      <c r="B20" s="199" t="s">
        <v>177</v>
      </c>
      <c r="C20" s="89">
        <v>46054</v>
      </c>
      <c r="D20" s="90">
        <v>6.6</v>
      </c>
      <c r="E20" s="90">
        <v>6</v>
      </c>
      <c r="F20" s="90"/>
      <c r="G20" s="90"/>
      <c r="H20" s="90"/>
      <c r="I20" s="90"/>
      <c r="J20" s="87">
        <f t="shared" si="0"/>
        <v>12.6</v>
      </c>
    </row>
    <row r="21" spans="1:13" ht="15.75" thickBot="1" x14ac:dyDescent="0.3">
      <c r="A21" s="101"/>
      <c r="B21" s="101"/>
      <c r="C21" s="89"/>
      <c r="D21" s="90"/>
      <c r="E21" s="90" t="s">
        <v>179</v>
      </c>
      <c r="F21" s="90" t="s">
        <v>179</v>
      </c>
      <c r="G21" s="90"/>
      <c r="H21" s="90"/>
      <c r="I21" s="90"/>
      <c r="J21" s="87">
        <f t="shared" si="0"/>
        <v>0</v>
      </c>
    </row>
    <row r="22" spans="1:13" ht="15.75" thickBot="1" x14ac:dyDescent="0.3">
      <c r="A22" s="199"/>
      <c r="B22" s="102"/>
      <c r="C22" s="103"/>
      <c r="D22" s="104"/>
      <c r="E22" s="104"/>
      <c r="F22" s="104"/>
      <c r="G22" s="104"/>
      <c r="H22" s="104"/>
      <c r="I22" s="104"/>
      <c r="J22" s="87">
        <f t="shared" si="0"/>
        <v>0</v>
      </c>
    </row>
    <row r="23" spans="1:13" ht="19.5" thickBot="1" x14ac:dyDescent="0.35">
      <c r="A23" s="105" t="s">
        <v>4</v>
      </c>
      <c r="B23" s="86"/>
      <c r="C23" s="106"/>
      <c r="D23" s="107">
        <f t="shared" ref="D23:J23" si="1">SUM(D4:D22)</f>
        <v>197.2</v>
      </c>
      <c r="E23" s="107">
        <f t="shared" si="1"/>
        <v>37</v>
      </c>
      <c r="F23" s="107">
        <f t="shared" si="1"/>
        <v>1720</v>
      </c>
      <c r="G23" s="107">
        <f t="shared" si="1"/>
        <v>650</v>
      </c>
      <c r="H23" s="107">
        <f t="shared" si="1"/>
        <v>67</v>
      </c>
      <c r="I23" s="107">
        <f t="shared" si="1"/>
        <v>0</v>
      </c>
      <c r="J23" s="108">
        <f t="shared" si="1"/>
        <v>2671.2000000000003</v>
      </c>
    </row>
    <row r="24" spans="1:13" ht="19.5" thickBot="1" x14ac:dyDescent="0.35">
      <c r="A24" s="2"/>
      <c r="B24" s="109"/>
      <c r="C24" s="110"/>
      <c r="D24" s="111"/>
      <c r="E24" s="111"/>
      <c r="F24" s="111"/>
      <c r="G24" s="111"/>
      <c r="H24" s="111"/>
      <c r="I24" s="111"/>
      <c r="J24" s="111"/>
    </row>
    <row r="25" spans="1:13" ht="24" thickBot="1" x14ac:dyDescent="0.4">
      <c r="A25" s="112" t="s">
        <v>40</v>
      </c>
      <c r="B25" s="109"/>
      <c r="C25" s="110"/>
      <c r="D25" s="111"/>
      <c r="E25" s="111"/>
      <c r="F25" s="111"/>
      <c r="G25" s="111"/>
      <c r="H25" s="111"/>
      <c r="I25" s="111"/>
      <c r="J25" s="111"/>
    </row>
    <row r="26" spans="1:13" ht="15.75" thickBot="1" x14ac:dyDescent="0.3">
      <c r="A26" s="113" t="s">
        <v>3</v>
      </c>
      <c r="B26" s="86" t="s">
        <v>32</v>
      </c>
      <c r="C26" s="114" t="s">
        <v>41</v>
      </c>
      <c r="D26" s="114" t="s">
        <v>34</v>
      </c>
      <c r="E26" s="114" t="s">
        <v>35</v>
      </c>
      <c r="F26" s="86" t="s">
        <v>36</v>
      </c>
      <c r="G26" s="86" t="s">
        <v>37</v>
      </c>
      <c r="H26" s="86" t="s">
        <v>42</v>
      </c>
      <c r="I26" s="86" t="s">
        <v>39</v>
      </c>
      <c r="J26" s="115" t="s">
        <v>4</v>
      </c>
    </row>
    <row r="27" spans="1:13" ht="30.75" customHeight="1" thickBot="1" x14ac:dyDescent="0.3">
      <c r="A27" s="507" t="s">
        <v>182</v>
      </c>
      <c r="B27" s="88" t="s">
        <v>183</v>
      </c>
      <c r="C27" s="89">
        <v>46082</v>
      </c>
      <c r="D27" s="116"/>
      <c r="E27" s="117"/>
      <c r="F27" s="116">
        <v>600</v>
      </c>
      <c r="G27" s="116"/>
      <c r="H27" s="118"/>
      <c r="I27" s="118"/>
      <c r="J27" s="119">
        <f>SUM(D27:I27)</f>
        <v>600</v>
      </c>
    </row>
    <row r="28" spans="1:13" ht="15.75" thickBot="1" x14ac:dyDescent="0.3">
      <c r="A28" s="509"/>
      <c r="B28" s="199" t="s">
        <v>184</v>
      </c>
      <c r="C28" s="89">
        <v>46054</v>
      </c>
      <c r="D28" s="116">
        <v>30</v>
      </c>
      <c r="E28" s="116">
        <v>15</v>
      </c>
      <c r="F28" s="116"/>
      <c r="G28" s="116"/>
      <c r="H28" s="118"/>
      <c r="I28" s="118"/>
      <c r="J28" s="119">
        <f t="shared" ref="J28:J30" si="2">SUM(D28:I28)</f>
        <v>45</v>
      </c>
    </row>
    <row r="29" spans="1:13" ht="15.75" thickBot="1" x14ac:dyDescent="0.3">
      <c r="A29" s="101"/>
      <c r="B29" s="199"/>
      <c r="C29" s="89"/>
      <c r="D29" s="120"/>
      <c r="E29" s="120"/>
      <c r="F29" s="120"/>
      <c r="G29" s="120"/>
      <c r="H29" s="90"/>
      <c r="I29" s="90"/>
      <c r="J29" s="119">
        <f t="shared" si="2"/>
        <v>0</v>
      </c>
    </row>
    <row r="30" spans="1:13" ht="15.75" thickBot="1" x14ac:dyDescent="0.3">
      <c r="A30" s="86"/>
      <c r="B30" s="121"/>
      <c r="C30" s="89"/>
      <c r="D30" s="120"/>
      <c r="E30" s="120"/>
      <c r="F30" s="120"/>
      <c r="G30" s="120"/>
      <c r="H30" s="90"/>
      <c r="I30" s="90"/>
      <c r="J30" s="119">
        <f t="shared" si="2"/>
        <v>0</v>
      </c>
      <c r="L30" s="122" t="s">
        <v>43</v>
      </c>
      <c r="M30" s="123">
        <f>J31+J39</f>
        <v>645</v>
      </c>
    </row>
    <row r="31" spans="1:13" ht="15.75" thickBot="1" x14ac:dyDescent="0.3">
      <c r="A31" s="86" t="s">
        <v>4</v>
      </c>
      <c r="B31" s="124"/>
      <c r="C31" s="125"/>
      <c r="D31" s="126"/>
      <c r="E31" s="126"/>
      <c r="F31" s="126"/>
      <c r="G31" s="126"/>
      <c r="H31" s="126"/>
      <c r="I31" s="126"/>
      <c r="J31" s="94">
        <f>SUM(J27:J30)</f>
        <v>645</v>
      </c>
    </row>
    <row r="32" spans="1:13" ht="15.75" thickBot="1" x14ac:dyDescent="0.3">
      <c r="A32" s="109"/>
      <c r="B32" s="127"/>
      <c r="C32" s="128"/>
      <c r="D32" s="129"/>
      <c r="E32" s="129"/>
      <c r="F32" s="129"/>
      <c r="G32" s="129"/>
      <c r="H32" s="129"/>
      <c r="I32" s="129"/>
      <c r="J32" s="130"/>
    </row>
    <row r="33" spans="1:13" ht="24" thickBot="1" x14ac:dyDescent="0.4">
      <c r="A33" s="112" t="s">
        <v>40</v>
      </c>
      <c r="B33" s="109"/>
      <c r="C33" s="110"/>
      <c r="D33" s="111"/>
      <c r="E33" s="111"/>
      <c r="F33" s="111"/>
      <c r="G33" s="111"/>
      <c r="H33" s="111"/>
      <c r="I33" s="111"/>
      <c r="J33" s="111"/>
    </row>
    <row r="34" spans="1:13" ht="45.75" thickBot="1" x14ac:dyDescent="0.3">
      <c r="A34" s="131" t="s">
        <v>44</v>
      </c>
      <c r="B34" s="86" t="s">
        <v>45</v>
      </c>
      <c r="C34" s="114" t="s">
        <v>41</v>
      </c>
      <c r="D34" s="114" t="s">
        <v>34</v>
      </c>
      <c r="E34" s="114" t="s">
        <v>35</v>
      </c>
      <c r="F34" s="114" t="s">
        <v>46</v>
      </c>
      <c r="G34" s="114" t="s">
        <v>47</v>
      </c>
      <c r="H34" s="114" t="s">
        <v>42</v>
      </c>
      <c r="I34" s="132" t="s">
        <v>48</v>
      </c>
      <c r="J34" s="115" t="s">
        <v>4</v>
      </c>
    </row>
    <row r="35" spans="1:13" ht="15.75" thickBot="1" x14ac:dyDescent="0.3">
      <c r="A35" s="133"/>
      <c r="B35" s="99"/>
      <c r="C35" s="89"/>
      <c r="D35" s="90"/>
      <c r="E35" s="90"/>
      <c r="F35" s="90"/>
      <c r="G35" s="90"/>
      <c r="H35" s="90"/>
      <c r="I35" s="90"/>
      <c r="J35" s="87">
        <f t="shared" ref="J35:J38" si="3">SUM(D35:I35)</f>
        <v>0</v>
      </c>
    </row>
    <row r="36" spans="1:13" ht="15.75" thickBot="1" x14ac:dyDescent="0.3">
      <c r="A36" s="95"/>
      <c r="B36" s="103"/>
      <c r="C36" s="89"/>
      <c r="D36" s="116"/>
      <c r="E36" s="116"/>
      <c r="F36" s="116"/>
      <c r="G36" s="116"/>
      <c r="H36" s="118"/>
      <c r="I36" s="118"/>
      <c r="J36" s="119">
        <f t="shared" si="3"/>
        <v>0</v>
      </c>
    </row>
    <row r="37" spans="1:13" ht="15.75" thickBot="1" x14ac:dyDescent="0.3">
      <c r="A37" s="101"/>
      <c r="B37" s="199"/>
      <c r="C37" s="89"/>
      <c r="D37" s="120"/>
      <c r="E37" s="120"/>
      <c r="F37" s="120"/>
      <c r="G37" s="120"/>
      <c r="H37" s="90"/>
      <c r="I37" s="90"/>
      <c r="J37" s="119">
        <f t="shared" si="3"/>
        <v>0</v>
      </c>
    </row>
    <row r="38" spans="1:13" ht="15.75" thickBot="1" x14ac:dyDescent="0.3">
      <c r="A38" s="86"/>
      <c r="B38" s="121"/>
      <c r="C38" s="89"/>
      <c r="D38" s="120"/>
      <c r="E38" s="120"/>
      <c r="F38" s="120"/>
      <c r="G38" s="120"/>
      <c r="H38" s="90"/>
      <c r="I38" s="90"/>
      <c r="J38" s="119">
        <f t="shared" si="3"/>
        <v>0</v>
      </c>
      <c r="L38" s="134"/>
      <c r="M38" s="135"/>
    </row>
    <row r="39" spans="1:13" ht="15.75" thickBot="1" x14ac:dyDescent="0.3">
      <c r="A39" s="86" t="s">
        <v>4</v>
      </c>
      <c r="B39" s="124"/>
      <c r="C39" s="125"/>
      <c r="D39" s="126"/>
      <c r="E39" s="126"/>
      <c r="F39" s="126"/>
      <c r="G39" s="126"/>
      <c r="H39" s="126"/>
      <c r="I39" s="126"/>
      <c r="J39" s="94">
        <f>SUM(J35:J38)</f>
        <v>0</v>
      </c>
    </row>
    <row r="40" spans="1:13" x14ac:dyDescent="0.25">
      <c r="A40" s="109"/>
      <c r="B40" s="127"/>
      <c r="C40" s="128"/>
      <c r="D40" s="129"/>
      <c r="E40" s="129"/>
      <c r="F40" s="129"/>
      <c r="G40" s="129"/>
      <c r="H40" s="129"/>
      <c r="I40" s="129"/>
      <c r="J40" s="130"/>
    </row>
    <row r="41" spans="1:13" x14ac:dyDescent="0.25">
      <c r="A41" s="109"/>
      <c r="B41" s="127"/>
      <c r="C41" s="128"/>
      <c r="D41" s="129"/>
      <c r="E41" s="129"/>
      <c r="F41" s="129"/>
      <c r="G41" s="129"/>
      <c r="H41" s="129"/>
      <c r="I41" s="129"/>
      <c r="J41" s="130"/>
    </row>
    <row r="42" spans="1:13" ht="15.75" thickBot="1" x14ac:dyDescent="0.3">
      <c r="A42" s="84"/>
      <c r="B42" s="84"/>
      <c r="C42" s="84"/>
      <c r="J42" s="85"/>
    </row>
    <row r="43" spans="1:13" ht="45.75" thickBot="1" x14ac:dyDescent="0.3">
      <c r="A43" s="114" t="s">
        <v>49</v>
      </c>
      <c r="B43" s="86" t="s">
        <v>45</v>
      </c>
      <c r="C43" s="114" t="s">
        <v>41</v>
      </c>
      <c r="D43" s="114" t="s">
        <v>34</v>
      </c>
      <c r="E43" s="114" t="s">
        <v>35</v>
      </c>
      <c r="F43" s="114" t="s">
        <v>46</v>
      </c>
      <c r="G43" s="114" t="s">
        <v>47</v>
      </c>
      <c r="H43" s="86" t="s">
        <v>48</v>
      </c>
      <c r="I43" s="132" t="s">
        <v>42</v>
      </c>
      <c r="J43" s="115" t="s">
        <v>4</v>
      </c>
    </row>
    <row r="44" spans="1:13" ht="15.75" thickBot="1" x14ac:dyDescent="0.3">
      <c r="A44" s="121"/>
      <c r="B44" s="103"/>
      <c r="C44" s="103"/>
      <c r="D44" s="118"/>
      <c r="E44" s="136"/>
      <c r="F44" s="118"/>
      <c r="G44" s="118"/>
      <c r="H44" s="118"/>
      <c r="I44" s="118"/>
      <c r="J44" s="119">
        <f>SUM(D44:I44)</f>
        <v>0</v>
      </c>
    </row>
    <row r="45" spans="1:13" ht="15.75" thickBot="1" x14ac:dyDescent="0.3">
      <c r="A45" s="121"/>
      <c r="B45" s="103"/>
      <c r="C45" s="103"/>
      <c r="D45" s="118"/>
      <c r="E45" s="118"/>
      <c r="F45" s="118"/>
      <c r="G45" s="118"/>
      <c r="H45" s="118"/>
      <c r="I45" s="118"/>
      <c r="J45" s="119">
        <f t="shared" ref="J45:J57" si="4">SUM(D45:I45)</f>
        <v>0</v>
      </c>
    </row>
    <row r="46" spans="1:13" ht="15.75" thickBot="1" x14ac:dyDescent="0.3">
      <c r="A46" s="199"/>
      <c r="B46" s="103"/>
      <c r="C46" s="103"/>
      <c r="D46" s="118"/>
      <c r="E46" s="118"/>
      <c r="F46" s="118"/>
      <c r="G46" s="118"/>
      <c r="H46" s="118"/>
      <c r="I46" s="118"/>
      <c r="J46" s="119">
        <f t="shared" si="4"/>
        <v>0</v>
      </c>
    </row>
    <row r="47" spans="1:13" ht="15.75" thickBot="1" x14ac:dyDescent="0.3">
      <c r="A47" s="121"/>
      <c r="B47" s="103"/>
      <c r="C47" s="103"/>
      <c r="D47" s="118"/>
      <c r="E47" s="118"/>
      <c r="F47" s="118"/>
      <c r="G47" s="118"/>
      <c r="H47" s="118"/>
      <c r="I47" s="118"/>
      <c r="J47" s="119">
        <f t="shared" si="4"/>
        <v>0</v>
      </c>
    </row>
    <row r="48" spans="1:13" ht="15.75" thickBot="1" x14ac:dyDescent="0.3">
      <c r="A48" s="121"/>
      <c r="B48" s="103"/>
      <c r="C48" s="103"/>
      <c r="D48" s="118"/>
      <c r="E48" s="118"/>
      <c r="F48" s="118"/>
      <c r="G48" s="118"/>
      <c r="H48" s="118"/>
      <c r="I48" s="118"/>
      <c r="J48" s="119">
        <f t="shared" si="4"/>
        <v>0</v>
      </c>
    </row>
    <row r="49" spans="1:10" ht="15.75" thickBot="1" x14ac:dyDescent="0.3">
      <c r="A49" s="199"/>
      <c r="B49" s="103"/>
      <c r="C49" s="103"/>
      <c r="D49" s="118"/>
      <c r="E49" s="118"/>
      <c r="F49" s="118"/>
      <c r="G49" s="118"/>
      <c r="H49" s="118"/>
      <c r="I49" s="118"/>
      <c r="J49" s="119">
        <f t="shared" si="4"/>
        <v>0</v>
      </c>
    </row>
    <row r="50" spans="1:10" ht="15.75" thickBot="1" x14ac:dyDescent="0.3">
      <c r="A50" s="199"/>
      <c r="B50" s="103"/>
      <c r="C50" s="103"/>
      <c r="D50" s="118"/>
      <c r="E50" s="118"/>
      <c r="F50" s="118"/>
      <c r="G50" s="118"/>
      <c r="H50" s="118"/>
      <c r="I50" s="118"/>
      <c r="J50" s="119">
        <f t="shared" si="4"/>
        <v>0</v>
      </c>
    </row>
    <row r="51" spans="1:10" ht="15.75" thickBot="1" x14ac:dyDescent="0.3">
      <c r="A51" s="199"/>
      <c r="B51" s="103"/>
      <c r="C51" s="103"/>
      <c r="D51" s="118"/>
      <c r="E51" s="118"/>
      <c r="F51" s="118"/>
      <c r="G51" s="118"/>
      <c r="H51" s="118"/>
      <c r="I51" s="118"/>
      <c r="J51" s="119">
        <f t="shared" si="4"/>
        <v>0</v>
      </c>
    </row>
    <row r="52" spans="1:10" ht="15.75" thickBot="1" x14ac:dyDescent="0.3">
      <c r="A52" s="199"/>
      <c r="B52" s="103"/>
      <c r="C52" s="103"/>
      <c r="D52" s="118"/>
      <c r="E52" s="118"/>
      <c r="F52" s="118"/>
      <c r="G52" s="118"/>
      <c r="H52" s="118"/>
      <c r="I52" s="118"/>
      <c r="J52" s="119">
        <f t="shared" si="4"/>
        <v>0</v>
      </c>
    </row>
    <row r="53" spans="1:10" ht="15.75" thickBot="1" x14ac:dyDescent="0.3">
      <c r="A53" s="199"/>
      <c r="B53" s="103"/>
      <c r="C53" s="103"/>
      <c r="D53" s="118"/>
      <c r="E53" s="118"/>
      <c r="F53" s="118"/>
      <c r="G53" s="118"/>
      <c r="H53" s="118"/>
      <c r="I53" s="118"/>
      <c r="J53" s="119">
        <f t="shared" si="4"/>
        <v>0</v>
      </c>
    </row>
    <row r="54" spans="1:10" ht="15.75" thickBot="1" x14ac:dyDescent="0.3">
      <c r="A54" s="137"/>
      <c r="B54" s="103"/>
      <c r="C54" s="103"/>
      <c r="D54" s="118"/>
      <c r="E54" s="118"/>
      <c r="F54" s="118"/>
      <c r="G54" s="118"/>
      <c r="H54" s="118"/>
      <c r="I54" s="118"/>
      <c r="J54" s="119">
        <f t="shared" si="4"/>
        <v>0</v>
      </c>
    </row>
    <row r="55" spans="1:10" ht="15.75" thickBot="1" x14ac:dyDescent="0.3">
      <c r="A55" s="121"/>
      <c r="B55" s="103"/>
      <c r="C55" s="103"/>
      <c r="D55" s="118"/>
      <c r="F55" s="118"/>
      <c r="G55" s="118"/>
      <c r="H55" s="118"/>
      <c r="I55" s="118"/>
      <c r="J55" s="119">
        <f t="shared" si="4"/>
        <v>0</v>
      </c>
    </row>
    <row r="56" spans="1:10" ht="15.75" thickBot="1" x14ac:dyDescent="0.3">
      <c r="A56" s="121"/>
      <c r="B56" s="103"/>
      <c r="C56" s="103"/>
      <c r="D56" s="118"/>
      <c r="E56" s="118"/>
      <c r="F56" s="118"/>
      <c r="G56" s="118"/>
      <c r="H56" s="118"/>
      <c r="I56" s="118"/>
      <c r="J56" s="119">
        <f t="shared" si="4"/>
        <v>0</v>
      </c>
    </row>
    <row r="57" spans="1:10" ht="15.75" thickBot="1" x14ac:dyDescent="0.3">
      <c r="A57" s="121"/>
      <c r="B57" s="103"/>
      <c r="C57" s="103"/>
      <c r="D57" s="138"/>
      <c r="E57" s="138"/>
      <c r="F57" s="138"/>
      <c r="G57" s="138"/>
      <c r="H57" s="138"/>
      <c r="I57" s="138"/>
      <c r="J57" s="119">
        <f t="shared" si="4"/>
        <v>0</v>
      </c>
    </row>
    <row r="58" spans="1:10" ht="19.5" thickBot="1" x14ac:dyDescent="0.35">
      <c r="A58" s="105" t="s">
        <v>4</v>
      </c>
      <c r="B58" s="86"/>
      <c r="C58" s="106"/>
      <c r="D58" s="107">
        <f t="shared" ref="D58:J58" si="5">SUM(D44:D57)</f>
        <v>0</v>
      </c>
      <c r="E58" s="107">
        <f t="shared" si="5"/>
        <v>0</v>
      </c>
      <c r="F58" s="107">
        <f t="shared" si="5"/>
        <v>0</v>
      </c>
      <c r="G58" s="107">
        <f t="shared" si="5"/>
        <v>0</v>
      </c>
      <c r="H58" s="107">
        <f t="shared" si="5"/>
        <v>0</v>
      </c>
      <c r="I58" s="107">
        <f t="shared" si="5"/>
        <v>0</v>
      </c>
      <c r="J58" s="107">
        <f t="shared" si="5"/>
        <v>0</v>
      </c>
    </row>
    <row r="59" spans="1:10" ht="15.75" x14ac:dyDescent="0.25">
      <c r="A59" s="139"/>
      <c r="B59" s="139"/>
      <c r="C59" s="140"/>
      <c r="D59" s="141"/>
      <c r="E59" s="141"/>
      <c r="F59" s="141"/>
      <c r="G59" s="141"/>
      <c r="H59" s="141"/>
      <c r="I59" s="141"/>
      <c r="J59" s="141"/>
    </row>
    <row r="60" spans="1:10" ht="16.5" thickBot="1" x14ac:dyDescent="0.3">
      <c r="A60" s="139"/>
      <c r="B60" s="139"/>
      <c r="C60" s="140"/>
      <c r="D60" s="141"/>
      <c r="E60" s="141"/>
      <c r="F60" s="141"/>
      <c r="G60" s="141"/>
      <c r="H60" s="141"/>
      <c r="I60" s="141"/>
      <c r="J60" s="141"/>
    </row>
    <row r="61" spans="1:10" ht="19.5" thickBot="1" x14ac:dyDescent="0.35">
      <c r="A61" s="492" t="s">
        <v>50</v>
      </c>
      <c r="B61" s="493"/>
      <c r="C61" s="142"/>
      <c r="D61" s="143"/>
      <c r="E61" s="143"/>
      <c r="F61" s="143"/>
      <c r="G61" s="143"/>
      <c r="H61" s="143"/>
      <c r="I61" s="143"/>
      <c r="J61" s="108">
        <f>+J23+J58</f>
        <v>2671.2000000000003</v>
      </c>
    </row>
    <row r="62" spans="1:10" x14ac:dyDescent="0.25">
      <c r="A62" s="84"/>
      <c r="B62" s="84"/>
      <c r="C62" s="144"/>
      <c r="D62" s="85"/>
      <c r="E62" s="85"/>
      <c r="F62" s="85"/>
      <c r="G62" s="85"/>
      <c r="H62" s="85"/>
      <c r="I62" s="85"/>
      <c r="J62" s="85"/>
    </row>
    <row r="63" spans="1:10" x14ac:dyDescent="0.25">
      <c r="A63" s="84"/>
      <c r="B63" s="84"/>
      <c r="C63" s="144"/>
      <c r="D63" s="85"/>
      <c r="E63" s="85"/>
      <c r="F63" s="85"/>
      <c r="G63" s="85"/>
      <c r="H63" s="85"/>
      <c r="I63" s="85"/>
      <c r="J63" s="85"/>
    </row>
    <row r="64" spans="1:10" ht="16.5" thickBot="1" x14ac:dyDescent="0.3">
      <c r="A64" s="145" t="s">
        <v>51</v>
      </c>
      <c r="B64" s="84"/>
      <c r="C64" s="144"/>
      <c r="D64" s="85"/>
      <c r="E64" s="85"/>
      <c r="F64" s="85"/>
      <c r="G64" s="85"/>
      <c r="H64" s="85"/>
      <c r="I64" s="85"/>
      <c r="J64" s="85"/>
    </row>
    <row r="65" spans="1:10" ht="19.5" thickBot="1" x14ac:dyDescent="0.35">
      <c r="A65" s="146" t="s">
        <v>52</v>
      </c>
      <c r="B65" s="147"/>
      <c r="C65" s="148"/>
      <c r="D65" s="149"/>
      <c r="E65" s="149"/>
      <c r="F65" s="149"/>
      <c r="G65" s="149"/>
      <c r="H65" s="149"/>
      <c r="I65" s="149"/>
      <c r="J65" s="108"/>
    </row>
    <row r="66" spans="1:10" ht="19.5" thickBot="1" x14ac:dyDescent="0.35">
      <c r="A66" s="146" t="s">
        <v>53</v>
      </c>
      <c r="B66" s="147"/>
      <c r="C66" s="150"/>
      <c r="D66" s="149"/>
      <c r="E66" s="149"/>
      <c r="F66" s="149"/>
      <c r="G66" s="149"/>
      <c r="H66" s="149"/>
      <c r="I66" s="149"/>
      <c r="J66" s="108"/>
    </row>
    <row r="67" spans="1:10" ht="18.75" x14ac:dyDescent="0.3">
      <c r="A67" s="151"/>
      <c r="B67" s="151"/>
      <c r="C67" s="152"/>
      <c r="D67" s="153"/>
      <c r="E67" s="153"/>
      <c r="F67" s="153"/>
      <c r="G67" s="153"/>
      <c r="H67" s="153"/>
      <c r="I67" s="153"/>
      <c r="J67" s="111"/>
    </row>
    <row r="68" spans="1:10" ht="18.75" x14ac:dyDescent="0.3">
      <c r="A68" s="151"/>
      <c r="B68" s="151"/>
      <c r="C68" s="152"/>
      <c r="D68" s="153"/>
      <c r="E68" s="153"/>
      <c r="F68" s="153"/>
      <c r="G68" s="153"/>
      <c r="H68" s="153"/>
      <c r="I68" s="153"/>
      <c r="J68" s="111"/>
    </row>
    <row r="69" spans="1:10" ht="16.5" thickBot="1" x14ac:dyDescent="0.3">
      <c r="A69" s="154" t="s">
        <v>54</v>
      </c>
      <c r="B69" s="155"/>
      <c r="C69" s="144"/>
      <c r="D69" s="85"/>
      <c r="E69" s="85"/>
      <c r="F69" s="85"/>
      <c r="G69" s="85"/>
      <c r="H69" s="85"/>
      <c r="I69" s="85"/>
      <c r="J69" s="85"/>
    </row>
    <row r="70" spans="1:10" ht="19.5" thickBot="1" x14ac:dyDescent="0.35">
      <c r="A70" s="156" t="s">
        <v>55</v>
      </c>
      <c r="B70" s="157"/>
      <c r="C70" s="158"/>
      <c r="D70" s="159"/>
      <c r="E70" s="159"/>
      <c r="F70" s="159"/>
      <c r="G70" s="159"/>
      <c r="H70" s="159"/>
      <c r="I70" s="159"/>
      <c r="J70" s="160">
        <v>481</v>
      </c>
    </row>
    <row r="71" spans="1:10" x14ac:dyDescent="0.25">
      <c r="A71" s="161"/>
      <c r="B71" s="84"/>
      <c r="C71" s="144"/>
      <c r="D71" s="85"/>
      <c r="E71" s="85"/>
      <c r="F71" s="85"/>
      <c r="G71" s="85"/>
      <c r="H71" s="85"/>
      <c r="I71" s="85"/>
      <c r="J71" s="85"/>
    </row>
    <row r="72" spans="1:10" ht="16.5" thickBot="1" x14ac:dyDescent="0.3">
      <c r="A72" s="154"/>
      <c r="B72" s="155"/>
      <c r="C72" s="144"/>
      <c r="D72" s="85"/>
      <c r="E72" s="85"/>
      <c r="F72" s="85"/>
      <c r="G72" s="85"/>
      <c r="H72" s="85"/>
      <c r="I72" s="85"/>
      <c r="J72" s="85"/>
    </row>
    <row r="73" spans="1:10" ht="19.5" thickBot="1" x14ac:dyDescent="0.35">
      <c r="A73" s="156" t="s">
        <v>56</v>
      </c>
      <c r="B73" s="157"/>
      <c r="C73" s="162"/>
      <c r="D73" s="159"/>
      <c r="E73" s="159"/>
      <c r="F73" s="159"/>
      <c r="G73" s="159"/>
      <c r="H73" s="159"/>
      <c r="I73" s="159"/>
      <c r="J73" s="163"/>
    </row>
    <row r="74" spans="1:10" ht="15.75" thickBot="1" x14ac:dyDescent="0.3">
      <c r="A74" s="161"/>
      <c r="B74" s="84"/>
      <c r="C74" s="144"/>
      <c r="D74" s="85"/>
      <c r="E74" s="85"/>
      <c r="F74" s="85"/>
      <c r="G74" s="85"/>
      <c r="H74" s="85"/>
      <c r="I74" s="85"/>
      <c r="J74" s="85"/>
    </row>
    <row r="75" spans="1:10" ht="21.75" thickBot="1" x14ac:dyDescent="0.4">
      <c r="A75" s="494" t="s">
        <v>57</v>
      </c>
      <c r="B75" s="495"/>
      <c r="C75" s="164"/>
      <c r="D75" s="165"/>
      <c r="E75" s="165"/>
      <c r="F75" s="165"/>
      <c r="G75" s="165"/>
      <c r="H75" s="165"/>
      <c r="I75" s="165"/>
      <c r="J75" s="166">
        <f>SUM(J61:J74)</f>
        <v>3152.2000000000003</v>
      </c>
    </row>
    <row r="76" spans="1:10" x14ac:dyDescent="0.25">
      <c r="A76" s="84"/>
      <c r="B76" s="84"/>
      <c r="C76" s="144"/>
      <c r="D76" s="85"/>
      <c r="E76" s="85"/>
      <c r="F76" s="85"/>
      <c r="G76" s="85"/>
      <c r="H76" s="85"/>
      <c r="I76" s="85"/>
      <c r="J76" s="85"/>
    </row>
    <row r="77" spans="1:10" ht="21" x14ac:dyDescent="0.35">
      <c r="A77" s="491" t="s">
        <v>156</v>
      </c>
      <c r="B77" s="491"/>
      <c r="C77" s="491"/>
      <c r="D77" s="491"/>
      <c r="E77" s="491"/>
      <c r="F77" s="491"/>
      <c r="G77" s="491"/>
      <c r="H77" s="491"/>
      <c r="I77" s="491"/>
      <c r="J77" s="491"/>
    </row>
    <row r="78" spans="1:10" ht="21.75" thickBot="1" x14ac:dyDescent="0.4">
      <c r="A78" s="200" t="s">
        <v>10</v>
      </c>
      <c r="B78" s="200"/>
      <c r="C78" s="200"/>
      <c r="D78" s="200"/>
      <c r="E78" s="200"/>
      <c r="F78" s="200"/>
      <c r="G78" s="200"/>
      <c r="H78" s="200"/>
      <c r="I78" s="200"/>
      <c r="J78" s="168"/>
    </row>
    <row r="79" spans="1:10" ht="15.75" thickBot="1" x14ac:dyDescent="0.3">
      <c r="A79" s="169" t="s">
        <v>58</v>
      </c>
      <c r="B79" s="170" t="s">
        <v>59</v>
      </c>
      <c r="C79" s="496" t="s">
        <v>33</v>
      </c>
      <c r="D79" s="497"/>
      <c r="E79" s="497"/>
      <c r="F79" s="497"/>
      <c r="G79" s="497"/>
      <c r="H79" s="497"/>
      <c r="I79" s="498"/>
      <c r="J79" s="171" t="s">
        <v>4</v>
      </c>
    </row>
    <row r="80" spans="1:10" ht="15.75" thickBot="1" x14ac:dyDescent="0.3">
      <c r="A80" s="172" t="s">
        <v>180</v>
      </c>
      <c r="B80" s="173">
        <v>14852</v>
      </c>
      <c r="C80" s="488" t="s">
        <v>181</v>
      </c>
      <c r="D80" s="489"/>
      <c r="E80" s="489"/>
      <c r="F80" s="489"/>
      <c r="G80" s="489"/>
      <c r="H80" s="489"/>
      <c r="I80" s="489"/>
      <c r="J80" s="104">
        <v>28.9</v>
      </c>
    </row>
    <row r="81" spans="1:10" ht="15.75" thickBot="1" x14ac:dyDescent="0.3">
      <c r="A81" s="121"/>
      <c r="B81" s="173"/>
      <c r="C81" s="488"/>
      <c r="D81" s="489"/>
      <c r="E81" s="489"/>
      <c r="F81" s="489"/>
      <c r="G81" s="489"/>
      <c r="H81" s="490"/>
      <c r="I81" s="490"/>
      <c r="J81" s="104"/>
    </row>
    <row r="82" spans="1:10" ht="15.75" thickBot="1" x14ac:dyDescent="0.3">
      <c r="A82" s="121"/>
      <c r="B82" s="173"/>
      <c r="C82" s="504"/>
      <c r="D82" s="505"/>
      <c r="E82" s="505"/>
      <c r="F82" s="505"/>
      <c r="G82" s="505"/>
      <c r="H82" s="505"/>
      <c r="I82" s="505"/>
      <c r="J82" s="174"/>
    </row>
    <row r="83" spans="1:10" ht="15.75" thickBot="1" x14ac:dyDescent="0.3">
      <c r="A83" s="121"/>
      <c r="B83" s="173"/>
      <c r="C83" s="488"/>
      <c r="D83" s="489"/>
      <c r="E83" s="489"/>
      <c r="F83" s="489"/>
      <c r="G83" s="489"/>
      <c r="H83" s="490"/>
      <c r="I83" s="490"/>
      <c r="J83" s="104"/>
    </row>
    <row r="84" spans="1:10" ht="15.75" thickBot="1" x14ac:dyDescent="0.3">
      <c r="A84" s="121"/>
      <c r="B84" s="173"/>
      <c r="C84" s="488"/>
      <c r="D84" s="489"/>
      <c r="E84" s="489"/>
      <c r="F84" s="489"/>
      <c r="G84" s="489"/>
      <c r="H84" s="490"/>
      <c r="I84" s="490"/>
      <c r="J84" s="104"/>
    </row>
    <row r="85" spans="1:10" ht="15.75" thickBot="1" x14ac:dyDescent="0.3">
      <c r="A85" s="121"/>
      <c r="B85" s="173"/>
      <c r="C85" s="488"/>
      <c r="D85" s="489"/>
      <c r="E85" s="489"/>
      <c r="F85" s="489"/>
      <c r="G85" s="489"/>
      <c r="H85" s="490"/>
      <c r="I85" s="490"/>
      <c r="J85" s="104"/>
    </row>
    <row r="86" spans="1:10" ht="15.75" thickBot="1" x14ac:dyDescent="0.3">
      <c r="A86" s="121"/>
      <c r="B86" s="173"/>
      <c r="C86" s="488"/>
      <c r="D86" s="489"/>
      <c r="E86" s="489"/>
      <c r="F86" s="489"/>
      <c r="G86" s="489"/>
      <c r="H86" s="490"/>
      <c r="I86" s="490"/>
      <c r="J86" s="118"/>
    </row>
    <row r="87" spans="1:10" ht="15.75" thickBot="1" x14ac:dyDescent="0.3">
      <c r="A87" s="121"/>
      <c r="B87" s="173"/>
      <c r="C87" s="488"/>
      <c r="D87" s="489"/>
      <c r="E87" s="489"/>
      <c r="F87" s="489"/>
      <c r="G87" s="489"/>
      <c r="H87" s="490"/>
      <c r="I87" s="490"/>
      <c r="J87" s="118"/>
    </row>
    <row r="88" spans="1:10" ht="15.75" thickBot="1" x14ac:dyDescent="0.3">
      <c r="A88" s="121"/>
      <c r="B88" s="173"/>
      <c r="C88" s="488"/>
      <c r="D88" s="489"/>
      <c r="E88" s="489"/>
      <c r="F88" s="489"/>
      <c r="G88" s="489"/>
      <c r="H88" s="490"/>
      <c r="I88" s="490"/>
      <c r="J88" s="118"/>
    </row>
    <row r="89" spans="1:10" ht="15.75" thickBot="1" x14ac:dyDescent="0.3">
      <c r="A89" s="121"/>
      <c r="B89" s="173"/>
      <c r="C89" s="488"/>
      <c r="D89" s="489"/>
      <c r="E89" s="489"/>
      <c r="F89" s="489"/>
      <c r="G89" s="489"/>
      <c r="H89" s="490"/>
      <c r="I89" s="490"/>
      <c r="J89" s="118"/>
    </row>
    <row r="90" spans="1:10" ht="19.5" thickBot="1" x14ac:dyDescent="0.35">
      <c r="A90" s="175" t="s">
        <v>60</v>
      </c>
      <c r="B90" s="492"/>
      <c r="C90" s="499"/>
      <c r="D90" s="499"/>
      <c r="E90" s="499"/>
      <c r="F90" s="499"/>
      <c r="G90" s="499"/>
      <c r="H90" s="499"/>
      <c r="I90" s="499"/>
      <c r="J90" s="176">
        <f>SUM(J80:J89)</f>
        <v>28.9</v>
      </c>
    </row>
    <row r="91" spans="1:10" ht="18.75" x14ac:dyDescent="0.3">
      <c r="A91" s="2"/>
      <c r="B91" s="2"/>
      <c r="C91" s="177"/>
      <c r="D91" s="177"/>
      <c r="E91" s="177"/>
      <c r="F91" s="178"/>
      <c r="G91" s="177"/>
      <c r="H91" s="177"/>
      <c r="I91" s="177"/>
      <c r="J91" s="111"/>
    </row>
    <row r="92" spans="1:10" ht="18.75" x14ac:dyDescent="0.3">
      <c r="A92" s="2"/>
      <c r="B92" s="2"/>
      <c r="C92" s="177"/>
      <c r="D92" s="177"/>
      <c r="E92" s="177"/>
      <c r="F92" s="178"/>
      <c r="G92" s="177"/>
      <c r="H92" s="177"/>
      <c r="I92" s="177"/>
      <c r="J92" s="111"/>
    </row>
    <row r="93" spans="1:10" ht="18.75" x14ac:dyDescent="0.3">
      <c r="A93" s="139" t="s">
        <v>61</v>
      </c>
      <c r="B93" s="2"/>
      <c r="C93" s="84"/>
      <c r="D93" s="85"/>
      <c r="F93" s="85"/>
      <c r="J93" s="85"/>
    </row>
    <row r="94" spans="1:10" x14ac:dyDescent="0.25">
      <c r="A94" s="84" t="s">
        <v>62</v>
      </c>
      <c r="B94" s="144">
        <f>+J75</f>
        <v>3152.2000000000003</v>
      </c>
      <c r="C94" s="179"/>
      <c r="D94" s="85"/>
      <c r="F94" s="85"/>
      <c r="J94" s="85"/>
    </row>
    <row r="95" spans="1:10" ht="15.75" thickBot="1" x14ac:dyDescent="0.3">
      <c r="A95" s="84" t="s">
        <v>60</v>
      </c>
      <c r="B95" s="180">
        <f>+J90</f>
        <v>28.9</v>
      </c>
      <c r="C95" s="181"/>
      <c r="D95" s="85"/>
      <c r="F95" s="85"/>
      <c r="G95" s="182"/>
      <c r="H95" s="182"/>
      <c r="I95" s="183"/>
      <c r="J95" s="183"/>
    </row>
    <row r="96" spans="1:10" ht="17.25" thickTop="1" thickBot="1" x14ac:dyDescent="0.3">
      <c r="A96" s="139" t="s">
        <v>8</v>
      </c>
      <c r="B96" s="184">
        <f>++B94-B95</f>
        <v>3123.3</v>
      </c>
      <c r="C96" s="185"/>
      <c r="D96" s="186"/>
      <c r="E96" s="41"/>
      <c r="F96" s="186"/>
      <c r="G96" s="187"/>
      <c r="H96" s="187"/>
      <c r="I96" s="85"/>
    </row>
    <row r="97" ht="15.75" thickTop="1" x14ac:dyDescent="0.25"/>
  </sheetData>
  <mergeCells count="19">
    <mergeCell ref="B90:I90"/>
    <mergeCell ref="B14:B17"/>
    <mergeCell ref="A14:A17"/>
    <mergeCell ref="A27:A28"/>
    <mergeCell ref="C86:I86"/>
    <mergeCell ref="C87:I87"/>
    <mergeCell ref="C88:I88"/>
    <mergeCell ref="C89:I89"/>
    <mergeCell ref="C81:I81"/>
    <mergeCell ref="C82:I82"/>
    <mergeCell ref="C83:I83"/>
    <mergeCell ref="C84:I84"/>
    <mergeCell ref="C85:I85"/>
    <mergeCell ref="C80:I80"/>
    <mergeCell ref="A1:J1"/>
    <mergeCell ref="A61:B61"/>
    <mergeCell ref="A75:B75"/>
    <mergeCell ref="A77:J77"/>
    <mergeCell ref="C79:I79"/>
  </mergeCells>
  <phoneticPr fontId="15" type="noConversion"/>
  <pageMargins left="0.17" right="0.17" top="1.64" bottom="0.17" header="0.17" footer="0.17"/>
  <pageSetup paperSize="9" scale="27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40673-B156-4432-96E3-FE3417DA4794}">
  <sheetPr>
    <pageSetUpPr fitToPage="1"/>
  </sheetPr>
  <dimension ref="A1:M139"/>
  <sheetViews>
    <sheetView topLeftCell="A115" zoomScaleNormal="100" workbookViewId="0">
      <selection activeCell="A121" sqref="A121"/>
    </sheetView>
  </sheetViews>
  <sheetFormatPr baseColWidth="10" defaultRowHeight="15" x14ac:dyDescent="0.25"/>
  <cols>
    <col min="1" max="1" width="50.42578125" bestFit="1" customWidth="1"/>
    <col min="2" max="2" width="15.42578125" bestFit="1" customWidth="1"/>
    <col min="3" max="3" width="11.85546875" customWidth="1"/>
    <col min="4" max="4" width="13.85546875" customWidth="1"/>
    <col min="5" max="5" width="12.28515625" style="229" customWidth="1"/>
    <col min="6" max="6" width="13" bestFit="1" customWidth="1"/>
    <col min="9" max="9" width="16.140625" customWidth="1"/>
    <col min="10" max="10" width="14.42578125" bestFit="1" customWidth="1"/>
    <col min="12" max="12" width="13.42578125" customWidth="1"/>
  </cols>
  <sheetData>
    <row r="1" spans="1:10" ht="21" x14ac:dyDescent="0.35">
      <c r="A1" s="491" t="s">
        <v>188</v>
      </c>
      <c r="B1" s="491"/>
      <c r="C1" s="491"/>
      <c r="D1" s="491"/>
      <c r="E1" s="491"/>
      <c r="F1" s="491"/>
      <c r="G1" s="491"/>
      <c r="H1" s="491"/>
      <c r="I1" s="491"/>
      <c r="J1" s="491"/>
    </row>
    <row r="2" spans="1:10" ht="15.75" thickBot="1" x14ac:dyDescent="0.3">
      <c r="A2" s="83"/>
      <c r="B2" s="84"/>
      <c r="C2" s="84"/>
      <c r="J2" s="85"/>
    </row>
    <row r="3" spans="1:10" ht="41.25" customHeight="1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230</v>
      </c>
      <c r="J3" s="87" t="s">
        <v>4</v>
      </c>
    </row>
    <row r="4" spans="1:10" ht="15.75" thickBot="1" x14ac:dyDescent="0.3">
      <c r="A4" s="88" t="s">
        <v>191</v>
      </c>
      <c r="B4" s="88" t="s">
        <v>192</v>
      </c>
      <c r="C4" s="89">
        <v>46054</v>
      </c>
      <c r="D4" s="90"/>
      <c r="E4" s="230"/>
      <c r="F4" s="90">
        <v>250</v>
      </c>
      <c r="G4" s="90"/>
      <c r="H4" s="90"/>
      <c r="I4" s="90"/>
      <c r="J4" s="87">
        <f>SUM(D4:I4)</f>
        <v>250</v>
      </c>
    </row>
    <row r="5" spans="1:10" ht="15.75" thickBot="1" x14ac:dyDescent="0.3">
      <c r="A5" s="88" t="s">
        <v>199</v>
      </c>
      <c r="B5" s="88" t="s">
        <v>200</v>
      </c>
      <c r="C5" s="89">
        <v>46113</v>
      </c>
      <c r="D5" s="90"/>
      <c r="E5" s="230"/>
      <c r="F5" s="90"/>
      <c r="G5" s="90">
        <v>40</v>
      </c>
      <c r="H5" s="90"/>
      <c r="I5" s="90"/>
      <c r="J5" s="87">
        <f t="shared" ref="J5:J49" si="0">SUM(D5:I5)</f>
        <v>40</v>
      </c>
    </row>
    <row r="6" spans="1:10" ht="15.75" thickBot="1" x14ac:dyDescent="0.3">
      <c r="A6" s="88"/>
      <c r="B6" s="88"/>
      <c r="C6" s="89"/>
      <c r="D6" s="90"/>
      <c r="E6" s="230"/>
      <c r="F6" s="90"/>
      <c r="G6" s="90"/>
      <c r="H6" s="90"/>
      <c r="I6" s="90"/>
      <c r="J6" s="87">
        <f t="shared" si="0"/>
        <v>0</v>
      </c>
    </row>
    <row r="7" spans="1:10" ht="15.75" thickBot="1" x14ac:dyDescent="0.3">
      <c r="A7" s="88" t="s">
        <v>72</v>
      </c>
      <c r="B7" s="88" t="s">
        <v>190</v>
      </c>
      <c r="C7" s="89">
        <v>46082</v>
      </c>
      <c r="D7" s="90"/>
      <c r="E7" s="230"/>
      <c r="F7" s="90">
        <v>100</v>
      </c>
      <c r="G7" s="90"/>
      <c r="H7" s="90"/>
      <c r="I7" s="90"/>
      <c r="J7" s="87">
        <f t="shared" si="0"/>
        <v>100</v>
      </c>
    </row>
    <row r="8" spans="1:10" ht="15.75" thickBot="1" x14ac:dyDescent="0.3">
      <c r="A8" s="88" t="s">
        <v>193</v>
      </c>
      <c r="B8" s="88" t="s">
        <v>194</v>
      </c>
      <c r="C8" s="89">
        <v>46054</v>
      </c>
      <c r="D8" s="90"/>
      <c r="E8" s="230"/>
      <c r="F8" s="90">
        <v>700</v>
      </c>
      <c r="G8" s="90"/>
      <c r="H8" s="90"/>
      <c r="I8" s="90"/>
      <c r="J8" s="87">
        <f t="shared" si="0"/>
        <v>700</v>
      </c>
    </row>
    <row r="9" spans="1:10" ht="30.75" thickBot="1" x14ac:dyDescent="0.3">
      <c r="A9" s="188" t="s">
        <v>201</v>
      </c>
      <c r="B9" s="88" t="s">
        <v>202</v>
      </c>
      <c r="C9" s="89">
        <v>46082</v>
      </c>
      <c r="D9" s="90"/>
      <c r="E9" s="230"/>
      <c r="F9" s="90">
        <v>250</v>
      </c>
      <c r="G9" s="90"/>
      <c r="H9" s="90"/>
      <c r="I9" s="90"/>
      <c r="J9" s="87">
        <f t="shared" si="0"/>
        <v>250</v>
      </c>
    </row>
    <row r="10" spans="1:10" ht="15.75" thickBot="1" x14ac:dyDescent="0.3">
      <c r="A10" s="88" t="s">
        <v>203</v>
      </c>
      <c r="B10" s="88" t="s">
        <v>204</v>
      </c>
      <c r="C10" s="103">
        <v>46023</v>
      </c>
      <c r="D10" s="90"/>
      <c r="E10" s="230"/>
      <c r="F10" s="90">
        <v>300</v>
      </c>
      <c r="G10" s="90"/>
      <c r="H10" s="90"/>
      <c r="I10" s="90"/>
      <c r="J10" s="87">
        <f t="shared" si="0"/>
        <v>300</v>
      </c>
    </row>
    <row r="11" spans="1:10" ht="15.75" thickBot="1" x14ac:dyDescent="0.3">
      <c r="A11" s="88" t="s">
        <v>206</v>
      </c>
      <c r="B11" s="88" t="s">
        <v>207</v>
      </c>
      <c r="C11" s="89">
        <v>46054</v>
      </c>
      <c r="D11" s="90"/>
      <c r="E11" s="230"/>
      <c r="F11" s="90">
        <v>150</v>
      </c>
      <c r="G11" s="90"/>
      <c r="H11" s="90"/>
      <c r="I11" s="90"/>
      <c r="J11" s="87">
        <f t="shared" si="0"/>
        <v>150</v>
      </c>
    </row>
    <row r="12" spans="1:10" ht="15.75" thickBot="1" x14ac:dyDescent="0.3">
      <c r="A12" s="207" t="s">
        <v>208</v>
      </c>
      <c r="B12" s="88" t="s">
        <v>210</v>
      </c>
      <c r="C12" s="89">
        <v>46082</v>
      </c>
      <c r="D12" s="90"/>
      <c r="E12" s="230"/>
      <c r="F12" s="90">
        <v>129.6</v>
      </c>
      <c r="G12" s="90"/>
      <c r="H12" s="90"/>
      <c r="I12" s="90"/>
      <c r="J12" s="87">
        <f t="shared" si="0"/>
        <v>129.6</v>
      </c>
    </row>
    <row r="13" spans="1:10" ht="15.75" thickBot="1" x14ac:dyDescent="0.3">
      <c r="A13" s="502" t="s">
        <v>211</v>
      </c>
      <c r="B13" s="500" t="s">
        <v>212</v>
      </c>
      <c r="C13" s="89">
        <v>46054</v>
      </c>
      <c r="D13" s="90"/>
      <c r="E13" s="230"/>
      <c r="F13" s="90">
        <v>300</v>
      </c>
      <c r="G13" s="90"/>
      <c r="H13" s="90"/>
      <c r="I13" s="90"/>
      <c r="J13" s="87">
        <f t="shared" si="0"/>
        <v>300</v>
      </c>
    </row>
    <row r="14" spans="1:10" ht="15.75" thickBot="1" x14ac:dyDescent="0.3">
      <c r="A14" s="503"/>
      <c r="B14" s="501"/>
      <c r="C14" s="89">
        <v>46082</v>
      </c>
      <c r="D14" s="90"/>
      <c r="E14" s="230"/>
      <c r="F14" s="90">
        <v>129.6</v>
      </c>
      <c r="G14" s="90"/>
      <c r="H14" s="90"/>
      <c r="I14" s="90"/>
      <c r="J14" s="87">
        <f t="shared" si="0"/>
        <v>129.6</v>
      </c>
    </row>
    <row r="15" spans="1:10" ht="15.75" thickBot="1" x14ac:dyDescent="0.3">
      <c r="A15" s="207" t="s">
        <v>215</v>
      </c>
      <c r="B15" s="205" t="s">
        <v>216</v>
      </c>
      <c r="C15" s="89">
        <v>46054</v>
      </c>
      <c r="D15" s="90"/>
      <c r="E15" s="230"/>
      <c r="F15" s="90">
        <v>19.5</v>
      </c>
      <c r="G15" s="90"/>
      <c r="H15" s="90"/>
      <c r="I15" s="90"/>
      <c r="J15" s="87">
        <f t="shared" si="0"/>
        <v>19.5</v>
      </c>
    </row>
    <row r="16" spans="1:10" ht="15.75" thickBot="1" x14ac:dyDescent="0.3">
      <c r="A16" s="212" t="s">
        <v>218</v>
      </c>
      <c r="B16" s="205" t="s">
        <v>219</v>
      </c>
      <c r="C16" s="103">
        <v>46023</v>
      </c>
      <c r="D16" s="90"/>
      <c r="E16" s="230"/>
      <c r="F16" s="90">
        <v>300</v>
      </c>
      <c r="G16" s="90"/>
      <c r="H16" s="90"/>
      <c r="I16" s="90"/>
      <c r="J16" s="87">
        <f t="shared" si="0"/>
        <v>300</v>
      </c>
    </row>
    <row r="17" spans="1:10" ht="15.75" thickBot="1" x14ac:dyDescent="0.3">
      <c r="A17" s="212" t="s">
        <v>222</v>
      </c>
      <c r="B17" s="205" t="s">
        <v>223</v>
      </c>
      <c r="C17" s="89">
        <v>46082</v>
      </c>
      <c r="D17" s="90"/>
      <c r="E17" s="230"/>
      <c r="F17" s="90">
        <v>500</v>
      </c>
      <c r="G17" s="90"/>
      <c r="H17" s="90"/>
      <c r="I17" s="90"/>
      <c r="J17" s="87">
        <f t="shared" si="0"/>
        <v>500</v>
      </c>
    </row>
    <row r="18" spans="1:10" ht="15.75" thickBot="1" x14ac:dyDescent="0.3">
      <c r="A18" s="207" t="s">
        <v>224</v>
      </c>
      <c r="B18" s="205" t="s">
        <v>225</v>
      </c>
      <c r="C18" s="89">
        <v>46082</v>
      </c>
      <c r="D18" s="90"/>
      <c r="E18" s="230"/>
      <c r="F18" s="90">
        <v>500</v>
      </c>
      <c r="G18" s="90"/>
      <c r="H18" s="90"/>
      <c r="I18" s="90"/>
      <c r="J18" s="87">
        <f t="shared" si="0"/>
        <v>500</v>
      </c>
    </row>
    <row r="19" spans="1:10" ht="15.75" thickBot="1" x14ac:dyDescent="0.3">
      <c r="A19" s="212" t="s">
        <v>250</v>
      </c>
      <c r="B19" s="205" t="s">
        <v>251</v>
      </c>
      <c r="C19" s="89">
        <v>46113</v>
      </c>
      <c r="D19" s="90"/>
      <c r="E19" s="230"/>
      <c r="F19" s="90">
        <v>1000</v>
      </c>
      <c r="G19" s="90"/>
      <c r="H19" s="90"/>
      <c r="I19" s="90"/>
      <c r="J19" s="87">
        <f t="shared" si="0"/>
        <v>1000</v>
      </c>
    </row>
    <row r="20" spans="1:10" ht="15.75" thickBot="1" x14ac:dyDescent="0.3">
      <c r="A20" s="502" t="s">
        <v>253</v>
      </c>
      <c r="B20" s="500" t="s">
        <v>254</v>
      </c>
      <c r="C20" s="89">
        <v>46054</v>
      </c>
      <c r="D20" s="90"/>
      <c r="E20" s="230"/>
      <c r="F20" s="90">
        <v>58</v>
      </c>
      <c r="G20" s="90"/>
      <c r="H20" s="90"/>
      <c r="I20" s="90"/>
      <c r="J20" s="87">
        <f t="shared" si="0"/>
        <v>58</v>
      </c>
    </row>
    <row r="21" spans="1:10" ht="15.75" thickBot="1" x14ac:dyDescent="0.3">
      <c r="A21" s="503"/>
      <c r="B21" s="501"/>
      <c r="C21" s="103">
        <v>46023</v>
      </c>
      <c r="D21" s="90"/>
      <c r="E21" s="230"/>
      <c r="F21" s="90">
        <v>242</v>
      </c>
      <c r="G21" s="90"/>
      <c r="H21" s="90"/>
      <c r="I21" s="90"/>
      <c r="J21" s="87">
        <f t="shared" si="0"/>
        <v>242</v>
      </c>
    </row>
    <row r="22" spans="1:10" ht="15.75" thickBot="1" x14ac:dyDescent="0.3">
      <c r="A22" s="211" t="s">
        <v>82</v>
      </c>
      <c r="B22" s="206" t="s">
        <v>255</v>
      </c>
      <c r="C22" s="89">
        <v>46054</v>
      </c>
      <c r="D22" s="90"/>
      <c r="E22" s="230"/>
      <c r="F22" s="90">
        <v>200</v>
      </c>
      <c r="G22" s="90"/>
      <c r="H22" s="90"/>
      <c r="I22" s="90"/>
      <c r="J22" s="87">
        <f t="shared" si="0"/>
        <v>200</v>
      </c>
    </row>
    <row r="23" spans="1:10" ht="15.75" thickBot="1" x14ac:dyDescent="0.3">
      <c r="A23" s="211" t="s">
        <v>80</v>
      </c>
      <c r="B23" s="206" t="s">
        <v>256</v>
      </c>
      <c r="C23" s="89">
        <v>46054</v>
      </c>
      <c r="D23" s="90"/>
      <c r="E23" s="230"/>
      <c r="F23" s="90">
        <v>150</v>
      </c>
      <c r="G23" s="90"/>
      <c r="H23" s="90"/>
      <c r="I23" s="90"/>
      <c r="J23" s="87">
        <f t="shared" si="0"/>
        <v>150</v>
      </c>
    </row>
    <row r="24" spans="1:10" ht="15.75" thickBot="1" x14ac:dyDescent="0.3">
      <c r="A24" s="502" t="s">
        <v>263</v>
      </c>
      <c r="B24" s="500" t="s">
        <v>264</v>
      </c>
      <c r="C24" s="103">
        <v>46023</v>
      </c>
      <c r="D24" s="90"/>
      <c r="E24" s="230"/>
      <c r="F24" s="90">
        <v>50</v>
      </c>
      <c r="G24" s="90"/>
      <c r="H24" s="90"/>
      <c r="I24" s="90"/>
      <c r="J24" s="87">
        <f t="shared" si="0"/>
        <v>50</v>
      </c>
    </row>
    <row r="25" spans="1:10" ht="15.75" thickBot="1" x14ac:dyDescent="0.3">
      <c r="A25" s="503"/>
      <c r="B25" s="501"/>
      <c r="C25" s="89">
        <v>46054</v>
      </c>
      <c r="D25" s="90"/>
      <c r="E25" s="230"/>
      <c r="F25" s="90">
        <v>150</v>
      </c>
      <c r="G25" s="90"/>
      <c r="H25" s="90"/>
      <c r="I25" s="90"/>
      <c r="J25" s="87">
        <f t="shared" si="0"/>
        <v>150</v>
      </c>
    </row>
    <row r="26" spans="1:10" ht="15.75" thickBot="1" x14ac:dyDescent="0.3">
      <c r="A26" s="206" t="s">
        <v>38</v>
      </c>
      <c r="B26" s="206" t="s">
        <v>272</v>
      </c>
      <c r="C26" s="89">
        <v>46113</v>
      </c>
      <c r="D26" s="90"/>
      <c r="E26" s="230"/>
      <c r="F26" s="90"/>
      <c r="G26" s="90"/>
      <c r="H26" s="90">
        <v>64.5</v>
      </c>
      <c r="I26" s="90"/>
      <c r="J26" s="87">
        <f t="shared" si="0"/>
        <v>64.5</v>
      </c>
    </row>
    <row r="27" spans="1:10" ht="15.75" thickBot="1" x14ac:dyDescent="0.3">
      <c r="A27" s="206"/>
      <c r="B27" s="206"/>
      <c r="C27" s="89"/>
      <c r="D27" s="90"/>
      <c r="E27" s="230"/>
      <c r="F27" s="90"/>
      <c r="G27" s="90"/>
      <c r="H27" s="90"/>
      <c r="I27" s="90"/>
      <c r="J27" s="87">
        <f t="shared" si="0"/>
        <v>0</v>
      </c>
    </row>
    <row r="28" spans="1:10" ht="15.75" thickBot="1" x14ac:dyDescent="0.3">
      <c r="A28" s="95"/>
      <c r="B28" s="206"/>
      <c r="C28" s="89"/>
      <c r="D28" s="90"/>
      <c r="E28" s="230"/>
      <c r="F28" s="90"/>
      <c r="G28" s="90"/>
      <c r="H28" s="90"/>
      <c r="I28" s="90"/>
      <c r="J28" s="87">
        <f t="shared" si="0"/>
        <v>0</v>
      </c>
    </row>
    <row r="29" spans="1:10" ht="15.75" thickBot="1" x14ac:dyDescent="0.3">
      <c r="A29" s="516" t="s">
        <v>201</v>
      </c>
      <c r="B29" s="512" t="s">
        <v>205</v>
      </c>
      <c r="C29" s="103">
        <v>45992</v>
      </c>
      <c r="D29" s="116">
        <v>10</v>
      </c>
      <c r="E29" s="118">
        <v>5</v>
      </c>
      <c r="F29" s="90"/>
      <c r="G29" s="90"/>
      <c r="H29" s="90"/>
      <c r="I29" s="90"/>
      <c r="J29" s="87">
        <f t="shared" si="0"/>
        <v>15</v>
      </c>
    </row>
    <row r="30" spans="1:10" ht="15.75" thickBot="1" x14ac:dyDescent="0.3">
      <c r="A30" s="518"/>
      <c r="B30" s="519"/>
      <c r="C30" s="103">
        <v>46023</v>
      </c>
      <c r="D30" s="116">
        <v>15</v>
      </c>
      <c r="E30" s="118">
        <v>3</v>
      </c>
      <c r="F30" s="90"/>
      <c r="G30" s="90"/>
      <c r="H30" s="90"/>
      <c r="I30" s="90"/>
      <c r="J30" s="87">
        <f t="shared" si="0"/>
        <v>18</v>
      </c>
    </row>
    <row r="31" spans="1:10" ht="15.75" thickBot="1" x14ac:dyDescent="0.3">
      <c r="A31" s="517"/>
      <c r="B31" s="513"/>
      <c r="C31" s="103">
        <v>46054</v>
      </c>
      <c r="D31" s="116">
        <v>14.4</v>
      </c>
      <c r="E31" s="118">
        <v>6</v>
      </c>
      <c r="F31" s="90"/>
      <c r="G31" s="90"/>
      <c r="H31" s="90"/>
      <c r="I31" s="90"/>
      <c r="J31" s="87">
        <f t="shared" si="0"/>
        <v>20.399999999999999</v>
      </c>
    </row>
    <row r="32" spans="1:10" ht="15.75" thickBot="1" x14ac:dyDescent="0.3">
      <c r="A32" s="500" t="s">
        <v>228</v>
      </c>
      <c r="B32" s="485" t="s">
        <v>229</v>
      </c>
      <c r="C32" s="103">
        <v>46023</v>
      </c>
      <c r="D32" s="90"/>
      <c r="E32" s="230"/>
      <c r="F32" s="90"/>
      <c r="G32" s="90"/>
      <c r="H32" s="90"/>
      <c r="I32" s="90">
        <v>28.3</v>
      </c>
      <c r="J32" s="87">
        <f t="shared" si="0"/>
        <v>28.3</v>
      </c>
    </row>
    <row r="33" spans="1:10" ht="15.75" thickBot="1" x14ac:dyDescent="0.3">
      <c r="A33" s="501"/>
      <c r="B33" s="487"/>
      <c r="C33" s="103">
        <v>46054</v>
      </c>
      <c r="D33" s="90">
        <v>9.1999999999999993</v>
      </c>
      <c r="E33" s="230">
        <v>6</v>
      </c>
      <c r="F33" s="90"/>
      <c r="G33" s="90"/>
      <c r="H33" s="90"/>
      <c r="I33" s="90"/>
      <c r="J33" s="87">
        <f t="shared" si="0"/>
        <v>15.2</v>
      </c>
    </row>
    <row r="34" spans="1:10" ht="15.75" thickBot="1" x14ac:dyDescent="0.3">
      <c r="A34" s="210" t="s">
        <v>231</v>
      </c>
      <c r="B34" s="221" t="s">
        <v>233</v>
      </c>
      <c r="C34" s="103">
        <v>46054</v>
      </c>
      <c r="D34" s="90">
        <v>4.4000000000000004</v>
      </c>
      <c r="E34" s="230">
        <v>6</v>
      </c>
      <c r="F34" s="90"/>
      <c r="G34" s="90"/>
      <c r="H34" s="90"/>
      <c r="I34" s="90"/>
      <c r="J34" s="87">
        <f t="shared" si="0"/>
        <v>10.4</v>
      </c>
    </row>
    <row r="35" spans="1:10" ht="15.75" thickBot="1" x14ac:dyDescent="0.3">
      <c r="A35" s="100" t="s">
        <v>234</v>
      </c>
      <c r="B35" s="103" t="s">
        <v>235</v>
      </c>
      <c r="C35" s="103">
        <v>46054</v>
      </c>
      <c r="D35" s="90">
        <v>14.4</v>
      </c>
      <c r="E35" s="230">
        <v>6</v>
      </c>
      <c r="F35" s="90"/>
      <c r="G35" s="90"/>
      <c r="H35" s="90"/>
      <c r="I35" s="90"/>
      <c r="J35" s="87">
        <f t="shared" si="0"/>
        <v>20.399999999999999</v>
      </c>
    </row>
    <row r="36" spans="1:10" ht="15.75" thickBot="1" x14ac:dyDescent="0.3">
      <c r="A36" s="500" t="s">
        <v>236</v>
      </c>
      <c r="B36" s="512" t="s">
        <v>237</v>
      </c>
      <c r="C36" s="103">
        <v>46023</v>
      </c>
      <c r="D36" s="90">
        <v>21.1</v>
      </c>
      <c r="E36" s="230">
        <v>3</v>
      </c>
      <c r="F36" s="90"/>
      <c r="G36" s="90"/>
      <c r="H36" s="90"/>
      <c r="I36" s="90">
        <v>28.3</v>
      </c>
      <c r="J36" s="87">
        <f t="shared" si="0"/>
        <v>52.400000000000006</v>
      </c>
    </row>
    <row r="37" spans="1:10" ht="15.75" thickBot="1" x14ac:dyDescent="0.3">
      <c r="A37" s="501"/>
      <c r="B37" s="513"/>
      <c r="C37" s="103">
        <v>46054</v>
      </c>
      <c r="D37" s="90">
        <v>22.1</v>
      </c>
      <c r="E37" s="230">
        <v>6</v>
      </c>
      <c r="F37" s="90"/>
      <c r="G37" s="90"/>
      <c r="H37" s="90"/>
      <c r="I37" s="90"/>
      <c r="J37" s="87">
        <f t="shared" si="0"/>
        <v>28.1</v>
      </c>
    </row>
    <row r="38" spans="1:10" ht="15.75" thickBot="1" x14ac:dyDescent="0.3">
      <c r="A38" s="502" t="s">
        <v>242</v>
      </c>
      <c r="B38" s="500" t="s">
        <v>243</v>
      </c>
      <c r="C38" s="103">
        <v>46023</v>
      </c>
      <c r="D38" s="90"/>
      <c r="E38" s="230"/>
      <c r="F38" s="90"/>
      <c r="G38" s="90"/>
      <c r="H38" s="90"/>
      <c r="I38" s="90">
        <v>28.3</v>
      </c>
      <c r="J38" s="87">
        <f t="shared" si="0"/>
        <v>28.3</v>
      </c>
    </row>
    <row r="39" spans="1:10" ht="15.75" thickBot="1" x14ac:dyDescent="0.3">
      <c r="A39" s="503"/>
      <c r="B39" s="501"/>
      <c r="C39" s="89">
        <v>46054</v>
      </c>
      <c r="D39" s="90">
        <v>14.4</v>
      </c>
      <c r="E39" s="230">
        <v>6</v>
      </c>
      <c r="F39" s="90"/>
      <c r="G39" s="90"/>
      <c r="H39" s="90"/>
      <c r="I39" s="90"/>
      <c r="J39" s="87">
        <f t="shared" si="0"/>
        <v>20.399999999999999</v>
      </c>
    </row>
    <row r="40" spans="1:10" ht="15.75" thickBot="1" x14ac:dyDescent="0.3">
      <c r="A40" s="502" t="s">
        <v>244</v>
      </c>
      <c r="B40" s="500" t="s">
        <v>245</v>
      </c>
      <c r="C40" s="103">
        <v>46023</v>
      </c>
      <c r="D40" s="90"/>
      <c r="E40" s="230"/>
      <c r="F40" s="90"/>
      <c r="G40" s="90"/>
      <c r="H40" s="90"/>
      <c r="I40" s="90">
        <v>28.3</v>
      </c>
      <c r="J40" s="87">
        <f t="shared" si="0"/>
        <v>28.3</v>
      </c>
    </row>
    <row r="41" spans="1:10" ht="15.75" thickBot="1" x14ac:dyDescent="0.3">
      <c r="A41" s="503"/>
      <c r="B41" s="501"/>
      <c r="C41" s="89">
        <v>46054</v>
      </c>
      <c r="D41" s="90">
        <v>14.4</v>
      </c>
      <c r="E41" s="230">
        <v>6</v>
      </c>
      <c r="F41" s="90"/>
      <c r="G41" s="90"/>
      <c r="H41" s="90"/>
      <c r="I41" s="90"/>
      <c r="J41" s="87">
        <f t="shared" si="0"/>
        <v>20.399999999999999</v>
      </c>
    </row>
    <row r="42" spans="1:10" ht="15.75" thickBot="1" x14ac:dyDescent="0.3">
      <c r="A42" s="100" t="s">
        <v>246</v>
      </c>
      <c r="B42" s="225" t="s">
        <v>247</v>
      </c>
      <c r="C42" s="89">
        <v>46054</v>
      </c>
      <c r="D42" s="90">
        <v>34</v>
      </c>
      <c r="E42" s="230">
        <v>6</v>
      </c>
      <c r="F42" s="90"/>
      <c r="G42" s="90"/>
      <c r="H42" s="90"/>
      <c r="I42" s="90"/>
      <c r="J42" s="87">
        <f t="shared" si="0"/>
        <v>40</v>
      </c>
    </row>
    <row r="43" spans="1:10" ht="15.75" thickBot="1" x14ac:dyDescent="0.3">
      <c r="A43" s="100" t="s">
        <v>248</v>
      </c>
      <c r="B43" s="225" t="s">
        <v>249</v>
      </c>
      <c r="C43" s="89">
        <v>46054</v>
      </c>
      <c r="D43" s="90">
        <v>14.4</v>
      </c>
      <c r="E43" s="230">
        <v>6</v>
      </c>
      <c r="F43" s="90"/>
      <c r="G43" s="90"/>
      <c r="H43" s="90"/>
      <c r="I43" s="90"/>
      <c r="J43" s="87">
        <f t="shared" si="0"/>
        <v>20.399999999999999</v>
      </c>
    </row>
    <row r="44" spans="1:10" ht="15.75" thickBot="1" x14ac:dyDescent="0.3">
      <c r="A44" s="188" t="s">
        <v>250</v>
      </c>
      <c r="B44" s="225" t="s">
        <v>252</v>
      </c>
      <c r="C44" s="89">
        <v>46054</v>
      </c>
      <c r="D44" s="90">
        <v>29.6</v>
      </c>
      <c r="E44" s="230">
        <v>6</v>
      </c>
      <c r="F44" s="90"/>
      <c r="G44" s="90"/>
      <c r="H44" s="90"/>
      <c r="I44" s="90"/>
      <c r="J44" s="87">
        <f t="shared" si="0"/>
        <v>35.6</v>
      </c>
    </row>
    <row r="45" spans="1:10" ht="15.75" thickBot="1" x14ac:dyDescent="0.3">
      <c r="A45" s="211" t="s">
        <v>258</v>
      </c>
      <c r="B45" s="225" t="s">
        <v>257</v>
      </c>
      <c r="C45" s="89">
        <v>46054</v>
      </c>
      <c r="D45" s="90">
        <v>14.4</v>
      </c>
      <c r="E45" s="230">
        <v>6</v>
      </c>
      <c r="F45" s="90"/>
      <c r="G45" s="90"/>
      <c r="H45" s="90"/>
      <c r="I45" s="90"/>
      <c r="J45" s="87">
        <f t="shared" si="0"/>
        <v>20.399999999999999</v>
      </c>
    </row>
    <row r="46" spans="1:10" ht="15.75" thickBot="1" x14ac:dyDescent="0.3">
      <c r="A46" s="211" t="s">
        <v>80</v>
      </c>
      <c r="B46" s="225" t="s">
        <v>259</v>
      </c>
      <c r="C46" s="89">
        <v>46054</v>
      </c>
      <c r="D46" s="90">
        <v>5</v>
      </c>
      <c r="E46" s="230">
        <v>6</v>
      </c>
      <c r="F46" s="90"/>
      <c r="G46" s="90"/>
      <c r="H46" s="90"/>
      <c r="I46" s="90"/>
      <c r="J46" s="87">
        <f t="shared" si="0"/>
        <v>11</v>
      </c>
    </row>
    <row r="47" spans="1:10" ht="15.75" thickBot="1" x14ac:dyDescent="0.3">
      <c r="A47" s="212"/>
      <c r="B47" s="226"/>
      <c r="C47" s="89"/>
      <c r="D47" s="90"/>
      <c r="E47" s="230"/>
      <c r="F47" s="90"/>
      <c r="G47" s="90"/>
      <c r="H47" s="90"/>
      <c r="I47" s="90"/>
      <c r="J47" s="87">
        <f t="shared" si="0"/>
        <v>0</v>
      </c>
    </row>
    <row r="48" spans="1:10" ht="15.75" thickBot="1" x14ac:dyDescent="0.3">
      <c r="A48" s="212"/>
      <c r="B48" s="226"/>
      <c r="C48" s="89"/>
      <c r="D48" s="90"/>
      <c r="E48" s="230"/>
      <c r="F48" s="90"/>
      <c r="G48" s="90"/>
      <c r="H48" s="90"/>
      <c r="I48" s="90"/>
      <c r="J48" s="87">
        <f t="shared" si="0"/>
        <v>0</v>
      </c>
    </row>
    <row r="49" spans="1:10" ht="15.75" thickBot="1" x14ac:dyDescent="0.3">
      <c r="A49" s="202"/>
      <c r="B49" s="102"/>
      <c r="C49" s="103"/>
      <c r="D49" s="104"/>
      <c r="E49" s="104"/>
      <c r="F49" s="104"/>
      <c r="G49" s="104"/>
      <c r="H49" s="104"/>
      <c r="I49" s="104"/>
      <c r="J49" s="87">
        <f t="shared" si="0"/>
        <v>0</v>
      </c>
    </row>
    <row r="50" spans="1:10" ht="19.5" thickBot="1" x14ac:dyDescent="0.35">
      <c r="A50" s="105" t="s">
        <v>4</v>
      </c>
      <c r="B50" s="86"/>
      <c r="C50" s="106"/>
      <c r="D50" s="107">
        <f t="shared" ref="D50:J50" si="1">SUM(D4:D49)</f>
        <v>236.8</v>
      </c>
      <c r="E50" s="231">
        <f t="shared" si="1"/>
        <v>83</v>
      </c>
      <c r="F50" s="107">
        <f t="shared" si="1"/>
        <v>5478.7</v>
      </c>
      <c r="G50" s="107">
        <f t="shared" si="1"/>
        <v>40</v>
      </c>
      <c r="H50" s="107">
        <f t="shared" si="1"/>
        <v>64.5</v>
      </c>
      <c r="I50" s="107">
        <f t="shared" si="1"/>
        <v>113.2</v>
      </c>
      <c r="J50" s="108">
        <f t="shared" si="1"/>
        <v>6016.199999999998</v>
      </c>
    </row>
    <row r="51" spans="1:10" ht="19.5" thickBot="1" x14ac:dyDescent="0.35">
      <c r="A51" s="2"/>
      <c r="B51" s="109"/>
      <c r="C51" s="110"/>
      <c r="D51" s="111"/>
      <c r="E51" s="232"/>
      <c r="F51" s="111"/>
      <c r="G51" s="111"/>
      <c r="H51" s="111"/>
      <c r="I51" s="111"/>
      <c r="J51" s="111"/>
    </row>
    <row r="52" spans="1:10" ht="24" thickBot="1" x14ac:dyDescent="0.4">
      <c r="A52" s="112" t="s">
        <v>40</v>
      </c>
      <c r="B52" s="109"/>
      <c r="C52" s="110"/>
      <c r="D52" s="111"/>
      <c r="E52" s="232"/>
      <c r="F52" s="111"/>
      <c r="G52" s="111"/>
      <c r="H52" s="111"/>
      <c r="I52" s="111"/>
      <c r="J52" s="111"/>
    </row>
    <row r="53" spans="1:10" ht="15.75" thickBot="1" x14ac:dyDescent="0.3">
      <c r="A53" s="113" t="s">
        <v>3</v>
      </c>
      <c r="B53" s="86" t="s">
        <v>32</v>
      </c>
      <c r="C53" s="114" t="s">
        <v>41</v>
      </c>
      <c r="D53" s="114" t="s">
        <v>34</v>
      </c>
      <c r="E53" s="233" t="s">
        <v>35</v>
      </c>
      <c r="F53" s="86" t="s">
        <v>36</v>
      </c>
      <c r="G53" s="86" t="s">
        <v>37</v>
      </c>
      <c r="H53" s="86" t="s">
        <v>42</v>
      </c>
      <c r="I53" s="86" t="s">
        <v>39</v>
      </c>
      <c r="J53" s="115" t="s">
        <v>4</v>
      </c>
    </row>
    <row r="54" spans="1:10" ht="15.75" thickBot="1" x14ac:dyDescent="0.3">
      <c r="A54" s="500" t="s">
        <v>193</v>
      </c>
      <c r="B54" s="512" t="s">
        <v>195</v>
      </c>
      <c r="C54" s="103">
        <v>46023</v>
      </c>
      <c r="D54" s="116">
        <v>35.5</v>
      </c>
      <c r="E54" s="104">
        <v>3</v>
      </c>
      <c r="F54" s="116"/>
      <c r="G54" s="116"/>
      <c r="H54" s="118"/>
      <c r="I54" s="118"/>
      <c r="J54" s="119">
        <f>SUM(D54:I54)</f>
        <v>38.5</v>
      </c>
    </row>
    <row r="55" spans="1:10" ht="15.75" thickBot="1" x14ac:dyDescent="0.3">
      <c r="A55" s="501"/>
      <c r="B55" s="513"/>
      <c r="C55" s="103">
        <v>46054</v>
      </c>
      <c r="D55" s="116">
        <v>35</v>
      </c>
      <c r="E55" s="118">
        <v>6</v>
      </c>
      <c r="F55" s="116"/>
      <c r="G55" s="116"/>
      <c r="H55" s="118"/>
      <c r="I55" s="118"/>
      <c r="J55" s="119">
        <f t="shared" ref="J55:J76" si="2">SUM(D55:I55)</f>
        <v>41</v>
      </c>
    </row>
    <row r="56" spans="1:10" ht="15.75" thickBot="1" x14ac:dyDescent="0.3">
      <c r="A56" s="210" t="s">
        <v>231</v>
      </c>
      <c r="B56" s="221" t="s">
        <v>232</v>
      </c>
      <c r="C56" s="103">
        <v>46054</v>
      </c>
      <c r="D56" s="116">
        <v>10</v>
      </c>
      <c r="E56" s="118"/>
      <c r="F56" s="116"/>
      <c r="G56" s="116"/>
      <c r="H56" s="118"/>
      <c r="I56" s="118"/>
      <c r="J56" s="119">
        <f t="shared" si="2"/>
        <v>10</v>
      </c>
    </row>
    <row r="57" spans="1:10" ht="15.75" thickBot="1" x14ac:dyDescent="0.3">
      <c r="A57" s="224" t="s">
        <v>238</v>
      </c>
      <c r="B57" s="103" t="s">
        <v>239</v>
      </c>
      <c r="C57" s="103">
        <v>46054</v>
      </c>
      <c r="D57" s="116">
        <v>48.5</v>
      </c>
      <c r="E57" s="118">
        <v>6</v>
      </c>
      <c r="F57" s="116"/>
      <c r="G57" s="116"/>
      <c r="H57" s="118"/>
      <c r="I57" s="118"/>
      <c r="J57" s="119">
        <f t="shared" si="2"/>
        <v>54.5</v>
      </c>
    </row>
    <row r="58" spans="1:10" ht="15.75" thickBot="1" x14ac:dyDescent="0.3">
      <c r="A58" s="514" t="s">
        <v>240</v>
      </c>
      <c r="B58" s="512" t="s">
        <v>241</v>
      </c>
      <c r="C58" s="103">
        <v>46023</v>
      </c>
      <c r="D58" s="116">
        <v>15</v>
      </c>
      <c r="E58" s="118">
        <v>3</v>
      </c>
      <c r="F58" s="116"/>
      <c r="G58" s="116"/>
      <c r="H58" s="118"/>
      <c r="I58" s="118"/>
      <c r="J58" s="119">
        <f t="shared" si="2"/>
        <v>18</v>
      </c>
    </row>
    <row r="59" spans="1:10" ht="15.75" thickBot="1" x14ac:dyDescent="0.3">
      <c r="A59" s="515"/>
      <c r="B59" s="513"/>
      <c r="C59" s="103">
        <v>46054</v>
      </c>
      <c r="D59" s="116">
        <v>14.4</v>
      </c>
      <c r="E59" s="118">
        <v>6</v>
      </c>
      <c r="F59" s="116"/>
      <c r="G59" s="116"/>
      <c r="H59" s="118"/>
      <c r="I59" s="118"/>
      <c r="J59" s="119">
        <f t="shared" si="2"/>
        <v>20.399999999999999</v>
      </c>
    </row>
    <row r="60" spans="1:10" ht="15.75" thickBot="1" x14ac:dyDescent="0.3">
      <c r="A60" s="224"/>
      <c r="B60" s="103"/>
      <c r="C60" s="103"/>
      <c r="D60" s="116"/>
      <c r="E60" s="118"/>
      <c r="F60" s="116"/>
      <c r="G60" s="116"/>
      <c r="H60" s="118"/>
      <c r="I60" s="118"/>
      <c r="J60" s="119">
        <f t="shared" si="2"/>
        <v>0</v>
      </c>
    </row>
    <row r="61" spans="1:10" ht="15.75" thickBot="1" x14ac:dyDescent="0.3">
      <c r="A61" s="116"/>
      <c r="B61" s="116"/>
      <c r="C61" s="116"/>
      <c r="D61" s="116"/>
      <c r="E61" s="118"/>
      <c r="F61" s="116"/>
      <c r="G61" s="116"/>
      <c r="H61" s="118"/>
      <c r="I61" s="118"/>
      <c r="J61" s="119">
        <f t="shared" si="2"/>
        <v>0</v>
      </c>
    </row>
    <row r="62" spans="1:10" ht="15.75" thickBot="1" x14ac:dyDescent="0.3">
      <c r="A62" s="210"/>
      <c r="B62" s="221"/>
      <c r="C62" s="103"/>
      <c r="D62" s="116"/>
      <c r="E62" s="118"/>
      <c r="F62" s="116"/>
      <c r="G62" s="116"/>
      <c r="H62" s="118"/>
      <c r="I62" s="118"/>
      <c r="J62" s="119">
        <f t="shared" si="2"/>
        <v>0</v>
      </c>
    </row>
    <row r="63" spans="1:10" ht="15.75" thickBot="1" x14ac:dyDescent="0.3">
      <c r="A63" s="220" t="s">
        <v>208</v>
      </c>
      <c r="B63" s="102" t="s">
        <v>209</v>
      </c>
      <c r="C63" s="103">
        <v>46054</v>
      </c>
      <c r="D63" s="116"/>
      <c r="E63" s="118"/>
      <c r="F63" s="116">
        <v>300</v>
      </c>
      <c r="G63" s="116"/>
      <c r="H63" s="118"/>
      <c r="I63" s="118"/>
      <c r="J63" s="119">
        <f t="shared" si="2"/>
        <v>300</v>
      </c>
    </row>
    <row r="64" spans="1:10" ht="15.75" thickBot="1" x14ac:dyDescent="0.3">
      <c r="A64" s="516" t="s">
        <v>213</v>
      </c>
      <c r="B64" s="512" t="s">
        <v>214</v>
      </c>
      <c r="C64" s="103">
        <v>46023</v>
      </c>
      <c r="D64" s="116"/>
      <c r="E64" s="118"/>
      <c r="F64" s="116">
        <v>163.80000000000001</v>
      </c>
      <c r="G64" s="116"/>
      <c r="H64" s="118"/>
      <c r="I64" s="118"/>
      <c r="J64" s="119">
        <f t="shared" si="2"/>
        <v>163.80000000000001</v>
      </c>
    </row>
    <row r="65" spans="1:13" ht="15.75" thickBot="1" x14ac:dyDescent="0.3">
      <c r="A65" s="517"/>
      <c r="B65" s="513"/>
      <c r="C65" s="103">
        <v>46054</v>
      </c>
      <c r="D65" s="116"/>
      <c r="E65" s="118"/>
      <c r="F65" s="116">
        <v>136.19999999999999</v>
      </c>
      <c r="G65" s="116"/>
      <c r="H65" s="118"/>
      <c r="I65" s="118"/>
      <c r="J65" s="119">
        <f t="shared" si="2"/>
        <v>136.19999999999999</v>
      </c>
    </row>
    <row r="66" spans="1:13" ht="15.75" thickBot="1" x14ac:dyDescent="0.3">
      <c r="A66" s="510" t="s">
        <v>215</v>
      </c>
      <c r="B66" s="512" t="s">
        <v>217</v>
      </c>
      <c r="C66" s="103">
        <v>46023</v>
      </c>
      <c r="D66" s="116"/>
      <c r="E66" s="118"/>
      <c r="F66" s="116">
        <v>69</v>
      </c>
      <c r="G66" s="116"/>
      <c r="H66" s="118"/>
      <c r="I66" s="118"/>
      <c r="J66" s="119">
        <f t="shared" si="2"/>
        <v>69</v>
      </c>
    </row>
    <row r="67" spans="1:13" ht="15.75" thickBot="1" x14ac:dyDescent="0.3">
      <c r="A67" s="511"/>
      <c r="B67" s="513"/>
      <c r="C67" s="103">
        <v>46054</v>
      </c>
      <c r="D67" s="116"/>
      <c r="E67" s="118"/>
      <c r="F67" s="227">
        <v>131</v>
      </c>
      <c r="G67" s="116"/>
      <c r="H67" s="118"/>
      <c r="I67" s="118"/>
      <c r="J67" s="119">
        <f t="shared" si="2"/>
        <v>131</v>
      </c>
    </row>
    <row r="68" spans="1:13" ht="15.75" thickBot="1" x14ac:dyDescent="0.3">
      <c r="A68" s="510" t="s">
        <v>220</v>
      </c>
      <c r="B68" s="485" t="s">
        <v>221</v>
      </c>
      <c r="C68" s="222">
        <v>46054</v>
      </c>
      <c r="D68" s="120"/>
      <c r="E68" s="230"/>
      <c r="F68" s="228">
        <v>80</v>
      </c>
      <c r="G68" s="120"/>
      <c r="H68" s="90"/>
      <c r="I68" s="90"/>
      <c r="J68" s="119">
        <f t="shared" si="2"/>
        <v>80</v>
      </c>
    </row>
    <row r="69" spans="1:13" ht="15.75" thickBot="1" x14ac:dyDescent="0.3">
      <c r="A69" s="511"/>
      <c r="B69" s="487"/>
      <c r="C69" s="222">
        <v>46082</v>
      </c>
      <c r="D69" s="120"/>
      <c r="E69" s="230"/>
      <c r="F69" s="228">
        <v>112</v>
      </c>
      <c r="G69" s="120"/>
      <c r="H69" s="90"/>
      <c r="I69" s="90"/>
      <c r="J69" s="119">
        <f t="shared" si="2"/>
        <v>112</v>
      </c>
    </row>
    <row r="70" spans="1:13" ht="30.75" customHeight="1" thickBot="1" x14ac:dyDescent="0.3">
      <c r="A70" s="510" t="s">
        <v>226</v>
      </c>
      <c r="B70" s="485" t="s">
        <v>227</v>
      </c>
      <c r="C70" s="103">
        <v>46023</v>
      </c>
      <c r="D70" s="120"/>
      <c r="E70" s="230"/>
      <c r="F70" s="228">
        <v>400</v>
      </c>
      <c r="G70" s="120"/>
      <c r="H70" s="90"/>
      <c r="I70" s="90"/>
      <c r="J70" s="119">
        <f t="shared" si="2"/>
        <v>400</v>
      </c>
    </row>
    <row r="71" spans="1:13" ht="15.75" thickBot="1" x14ac:dyDescent="0.3">
      <c r="A71" s="511"/>
      <c r="B71" s="487"/>
      <c r="C71" s="103">
        <v>46054</v>
      </c>
      <c r="D71" s="120"/>
      <c r="E71" s="230"/>
      <c r="F71" s="228">
        <v>500</v>
      </c>
      <c r="G71" s="120"/>
      <c r="H71" s="90"/>
      <c r="I71" s="90"/>
      <c r="J71" s="119">
        <f t="shared" si="2"/>
        <v>500</v>
      </c>
    </row>
    <row r="72" spans="1:13" ht="15.75" thickBot="1" x14ac:dyDescent="0.3">
      <c r="A72" s="223"/>
      <c r="B72" s="203"/>
      <c r="C72" s="103"/>
      <c r="D72" s="120"/>
      <c r="E72" s="230"/>
      <c r="F72" s="228"/>
      <c r="G72" s="120"/>
      <c r="H72" s="90"/>
      <c r="I72" s="90"/>
      <c r="J72" s="119">
        <f t="shared" si="2"/>
        <v>0</v>
      </c>
    </row>
    <row r="73" spans="1:13" ht="15.75" thickBot="1" x14ac:dyDescent="0.3">
      <c r="A73" s="223"/>
      <c r="B73" s="203"/>
      <c r="C73" s="103"/>
      <c r="D73" s="120"/>
      <c r="E73" s="230"/>
      <c r="F73" s="120"/>
      <c r="G73" s="120"/>
      <c r="H73" s="90"/>
      <c r="I73" s="90"/>
      <c r="J73" s="119">
        <f t="shared" si="2"/>
        <v>0</v>
      </c>
    </row>
    <row r="74" spans="1:13" ht="15.75" thickBot="1" x14ac:dyDescent="0.3">
      <c r="A74" s="223"/>
      <c r="B74" s="203"/>
      <c r="C74" s="103"/>
      <c r="D74" s="120"/>
      <c r="E74" s="230"/>
      <c r="F74" s="120"/>
      <c r="G74" s="120"/>
      <c r="H74" s="90"/>
      <c r="I74" s="90"/>
      <c r="J74" s="119">
        <f t="shared" si="2"/>
        <v>0</v>
      </c>
    </row>
    <row r="75" spans="1:13" ht="15.75" thickBot="1" x14ac:dyDescent="0.3">
      <c r="A75" s="223"/>
      <c r="B75" s="203"/>
      <c r="C75" s="103"/>
      <c r="D75" s="120"/>
      <c r="E75" s="230"/>
      <c r="F75" s="120"/>
      <c r="G75" s="120"/>
      <c r="H75" s="90"/>
      <c r="I75" s="90"/>
      <c r="J75" s="119">
        <f t="shared" si="2"/>
        <v>0</v>
      </c>
    </row>
    <row r="76" spans="1:13" ht="15.75" thickBot="1" x14ac:dyDescent="0.3">
      <c r="A76" s="86"/>
      <c r="B76" s="121"/>
      <c r="C76" s="89"/>
      <c r="D76" s="120"/>
      <c r="E76" s="230"/>
      <c r="F76" s="120"/>
      <c r="G76" s="120"/>
      <c r="H76" s="90"/>
      <c r="I76" s="90"/>
      <c r="J76" s="119">
        <f t="shared" si="2"/>
        <v>0</v>
      </c>
      <c r="L76" s="122" t="s">
        <v>43</v>
      </c>
      <c r="M76" s="123">
        <f>J77+J85</f>
        <v>2074.4</v>
      </c>
    </row>
    <row r="77" spans="1:13" ht="15.75" thickBot="1" x14ac:dyDescent="0.3">
      <c r="A77" s="86" t="s">
        <v>4</v>
      </c>
      <c r="B77" s="124"/>
      <c r="C77" s="125"/>
      <c r="D77" s="126"/>
      <c r="E77" s="234"/>
      <c r="F77" s="126"/>
      <c r="G77" s="126"/>
      <c r="H77" s="126"/>
      <c r="I77" s="126"/>
      <c r="J77" s="94">
        <f>SUM(J54:J76)</f>
        <v>2074.4</v>
      </c>
    </row>
    <row r="78" spans="1:13" ht="15.75" thickBot="1" x14ac:dyDescent="0.3">
      <c r="A78" s="109"/>
      <c r="B78" s="127"/>
      <c r="C78" s="128"/>
      <c r="D78" s="129"/>
      <c r="E78" s="235"/>
      <c r="F78" s="129"/>
      <c r="G78" s="129"/>
      <c r="H78" s="129"/>
      <c r="I78" s="129"/>
      <c r="J78" s="130"/>
    </row>
    <row r="79" spans="1:13" ht="24" thickBot="1" x14ac:dyDescent="0.4">
      <c r="A79" s="112" t="s">
        <v>40</v>
      </c>
      <c r="B79" s="109"/>
      <c r="C79" s="110"/>
      <c r="D79" s="111"/>
      <c r="E79" s="232"/>
      <c r="F79" s="111"/>
      <c r="G79" s="111"/>
      <c r="H79" s="111"/>
      <c r="I79" s="111"/>
      <c r="J79" s="111"/>
    </row>
    <row r="80" spans="1:13" ht="30.75" thickBot="1" x14ac:dyDescent="0.3">
      <c r="A80" s="131" t="s">
        <v>44</v>
      </c>
      <c r="B80" s="86" t="s">
        <v>45</v>
      </c>
      <c r="C80" s="114" t="s">
        <v>41</v>
      </c>
      <c r="D80" s="114" t="s">
        <v>34</v>
      </c>
      <c r="E80" s="233" t="s">
        <v>35</v>
      </c>
      <c r="F80" s="114" t="s">
        <v>46</v>
      </c>
      <c r="G80" s="114" t="s">
        <v>47</v>
      </c>
      <c r="H80" s="114" t="s">
        <v>42</v>
      </c>
      <c r="I80" s="132" t="s">
        <v>48</v>
      </c>
      <c r="J80" s="115" t="s">
        <v>4</v>
      </c>
    </row>
    <row r="81" spans="1:13" ht="15.75" thickBot="1" x14ac:dyDescent="0.3">
      <c r="A81" s="133"/>
      <c r="B81" s="99"/>
      <c r="C81" s="89"/>
      <c r="D81" s="90"/>
      <c r="E81" s="230"/>
      <c r="F81" s="90"/>
      <c r="G81" s="90"/>
      <c r="H81" s="90"/>
      <c r="I81" s="90"/>
      <c r="J81" s="87">
        <f t="shared" ref="J81:J84" si="3">SUM(D81:I81)</f>
        <v>0</v>
      </c>
    </row>
    <row r="82" spans="1:13" ht="15.75" thickBot="1" x14ac:dyDescent="0.3">
      <c r="A82" s="95"/>
      <c r="B82" s="103"/>
      <c r="C82" s="89"/>
      <c r="D82" s="116"/>
      <c r="E82" s="118"/>
      <c r="F82" s="116"/>
      <c r="G82" s="116"/>
      <c r="H82" s="118"/>
      <c r="I82" s="118"/>
      <c r="J82" s="119">
        <f t="shared" si="3"/>
        <v>0</v>
      </c>
    </row>
    <row r="83" spans="1:13" ht="15.75" thickBot="1" x14ac:dyDescent="0.3">
      <c r="A83" s="101"/>
      <c r="B83" s="202"/>
      <c r="C83" s="89"/>
      <c r="D83" s="120"/>
      <c r="E83" s="230"/>
      <c r="F83" s="120"/>
      <c r="G83" s="120"/>
      <c r="H83" s="90"/>
      <c r="I83" s="90"/>
      <c r="J83" s="119">
        <f t="shared" si="3"/>
        <v>0</v>
      </c>
    </row>
    <row r="84" spans="1:13" ht="15.75" thickBot="1" x14ac:dyDescent="0.3">
      <c r="A84" s="86"/>
      <c r="B84" s="121"/>
      <c r="C84" s="89"/>
      <c r="D84" s="120"/>
      <c r="E84" s="230"/>
      <c r="F84" s="120"/>
      <c r="G84" s="120"/>
      <c r="H84" s="90"/>
      <c r="I84" s="90"/>
      <c r="J84" s="119">
        <f t="shared" si="3"/>
        <v>0</v>
      </c>
      <c r="L84" s="134"/>
      <c r="M84" s="135"/>
    </row>
    <row r="85" spans="1:13" ht="15.75" thickBot="1" x14ac:dyDescent="0.3">
      <c r="A85" s="86" t="s">
        <v>4</v>
      </c>
      <c r="B85" s="124"/>
      <c r="C85" s="125"/>
      <c r="D85" s="126"/>
      <c r="E85" s="234"/>
      <c r="F85" s="126"/>
      <c r="G85" s="126"/>
      <c r="H85" s="126"/>
      <c r="I85" s="126"/>
      <c r="J85" s="94">
        <f>SUM(J81:J84)</f>
        <v>0</v>
      </c>
    </row>
    <row r="86" spans="1:13" x14ac:dyDescent="0.25">
      <c r="A86" s="109"/>
      <c r="B86" s="127"/>
      <c r="C86" s="128"/>
      <c r="D86" s="129"/>
      <c r="E86" s="235"/>
      <c r="F86" s="129"/>
      <c r="G86" s="129"/>
      <c r="H86" s="129"/>
      <c r="I86" s="129"/>
      <c r="J86" s="130"/>
    </row>
    <row r="87" spans="1:13" x14ac:dyDescent="0.25">
      <c r="A87" s="109"/>
      <c r="B87" s="127"/>
      <c r="C87" s="128"/>
      <c r="D87" s="129"/>
      <c r="E87" s="235"/>
      <c r="F87" s="129"/>
      <c r="G87" s="129"/>
      <c r="H87" s="129"/>
      <c r="I87" s="129"/>
      <c r="J87" s="130"/>
    </row>
    <row r="88" spans="1:13" ht="15.75" thickBot="1" x14ac:dyDescent="0.3">
      <c r="A88" s="84"/>
      <c r="B88" s="84"/>
      <c r="C88" s="84"/>
      <c r="J88" s="85"/>
    </row>
    <row r="89" spans="1:13" ht="45.75" thickBot="1" x14ac:dyDescent="0.3">
      <c r="A89" s="114" t="s">
        <v>49</v>
      </c>
      <c r="B89" s="86" t="s">
        <v>45</v>
      </c>
      <c r="C89" s="114" t="s">
        <v>41</v>
      </c>
      <c r="D89" s="114" t="s">
        <v>34</v>
      </c>
      <c r="E89" s="233" t="s">
        <v>35</v>
      </c>
      <c r="F89" s="114" t="s">
        <v>46</v>
      </c>
      <c r="G89" s="114" t="s">
        <v>47</v>
      </c>
      <c r="H89" s="86" t="s">
        <v>48</v>
      </c>
      <c r="I89" s="132" t="s">
        <v>42</v>
      </c>
      <c r="J89" s="115" t="s">
        <v>4</v>
      </c>
    </row>
    <row r="90" spans="1:13" ht="15.75" thickBot="1" x14ac:dyDescent="0.3">
      <c r="A90" s="121" t="s">
        <v>265</v>
      </c>
      <c r="B90" s="103" t="s">
        <v>268</v>
      </c>
      <c r="C90" s="103"/>
      <c r="D90" s="118"/>
      <c r="E90" s="236"/>
      <c r="F90" s="118">
        <v>60</v>
      </c>
      <c r="G90" s="118">
        <v>5</v>
      </c>
      <c r="H90" s="118"/>
      <c r="I90" s="118">
        <v>150</v>
      </c>
      <c r="J90" s="119">
        <f>SUM(D90:I90)</f>
        <v>215</v>
      </c>
    </row>
    <row r="91" spans="1:13" ht="15.75" thickBot="1" x14ac:dyDescent="0.3">
      <c r="A91" s="121" t="s">
        <v>266</v>
      </c>
      <c r="B91" s="103" t="s">
        <v>269</v>
      </c>
      <c r="C91" s="103"/>
      <c r="D91" s="118"/>
      <c r="E91" s="118"/>
      <c r="F91" s="118">
        <v>60</v>
      </c>
      <c r="G91" s="118">
        <v>5</v>
      </c>
      <c r="H91" s="118"/>
      <c r="I91" s="118"/>
      <c r="J91" s="119">
        <f t="shared" ref="J91:J96" si="4">SUM(D91:I91)</f>
        <v>65</v>
      </c>
    </row>
    <row r="92" spans="1:13" ht="15.75" thickBot="1" x14ac:dyDescent="0.3">
      <c r="A92" s="202" t="s">
        <v>267</v>
      </c>
      <c r="B92" s="103" t="s">
        <v>270</v>
      </c>
      <c r="C92" s="103"/>
      <c r="D92" s="118"/>
      <c r="E92" s="118"/>
      <c r="F92" s="118">
        <v>60</v>
      </c>
      <c r="G92" s="118">
        <v>5</v>
      </c>
      <c r="H92" s="118"/>
      <c r="I92" s="118">
        <v>200</v>
      </c>
      <c r="J92" s="119">
        <f t="shared" si="4"/>
        <v>265</v>
      </c>
    </row>
    <row r="93" spans="1:13" ht="15.75" thickBot="1" x14ac:dyDescent="0.3">
      <c r="A93" s="137"/>
      <c r="B93" s="103"/>
      <c r="C93" s="103"/>
      <c r="D93" s="118"/>
      <c r="E93" s="118"/>
      <c r="F93" s="118"/>
      <c r="G93" s="118"/>
      <c r="H93" s="118"/>
      <c r="I93" s="118"/>
      <c r="J93" s="119">
        <f t="shared" si="4"/>
        <v>0</v>
      </c>
    </row>
    <row r="94" spans="1:13" ht="15.75" thickBot="1" x14ac:dyDescent="0.3">
      <c r="A94" s="121"/>
      <c r="B94" s="103"/>
      <c r="C94" s="103"/>
      <c r="D94" s="118"/>
      <c r="F94" s="118"/>
      <c r="G94" s="118"/>
      <c r="H94" s="118"/>
      <c r="I94" s="118"/>
      <c r="J94" s="119">
        <f t="shared" si="4"/>
        <v>0</v>
      </c>
    </row>
    <row r="95" spans="1:13" ht="15.75" thickBot="1" x14ac:dyDescent="0.3">
      <c r="A95" s="121"/>
      <c r="B95" s="103"/>
      <c r="C95" s="103"/>
      <c r="D95" s="118"/>
      <c r="E95" s="118"/>
      <c r="F95" s="118"/>
      <c r="G95" s="118"/>
      <c r="H95" s="118"/>
      <c r="I95" s="118"/>
      <c r="J95" s="119">
        <f t="shared" si="4"/>
        <v>0</v>
      </c>
    </row>
    <row r="96" spans="1:13" ht="15.75" thickBot="1" x14ac:dyDescent="0.3">
      <c r="A96" s="121"/>
      <c r="B96" s="103"/>
      <c r="C96" s="103"/>
      <c r="D96" s="138"/>
      <c r="E96" s="138"/>
      <c r="F96" s="138"/>
      <c r="G96" s="138"/>
      <c r="H96" s="138"/>
      <c r="I96" s="138"/>
      <c r="J96" s="119">
        <f t="shared" si="4"/>
        <v>0</v>
      </c>
    </row>
    <row r="97" spans="1:10" ht="19.5" thickBot="1" x14ac:dyDescent="0.35">
      <c r="A97" s="105" t="s">
        <v>4</v>
      </c>
      <c r="B97" s="86"/>
      <c r="C97" s="106"/>
      <c r="D97" s="107">
        <f t="shared" ref="D97:J97" si="5">SUM(D90:D96)</f>
        <v>0</v>
      </c>
      <c r="E97" s="231">
        <f t="shared" si="5"/>
        <v>0</v>
      </c>
      <c r="F97" s="107">
        <f t="shared" si="5"/>
        <v>180</v>
      </c>
      <c r="G97" s="107">
        <f t="shared" si="5"/>
        <v>15</v>
      </c>
      <c r="H97" s="107">
        <f t="shared" si="5"/>
        <v>0</v>
      </c>
      <c r="I97" s="107">
        <f t="shared" si="5"/>
        <v>350</v>
      </c>
      <c r="J97" s="107">
        <f t="shared" si="5"/>
        <v>545</v>
      </c>
    </row>
    <row r="98" spans="1:10" ht="15.75" x14ac:dyDescent="0.25">
      <c r="A98" s="139"/>
      <c r="B98" s="139"/>
      <c r="C98" s="140"/>
      <c r="D98" s="141"/>
      <c r="E98" s="237"/>
      <c r="F98" s="141"/>
      <c r="G98" s="141"/>
      <c r="H98" s="141"/>
      <c r="I98" s="141"/>
      <c r="J98" s="141"/>
    </row>
    <row r="99" spans="1:10" ht="16.5" thickBot="1" x14ac:dyDescent="0.3">
      <c r="A99" s="139"/>
      <c r="B99" s="139"/>
      <c r="C99" s="140"/>
      <c r="D99" s="141"/>
      <c r="E99" s="237"/>
      <c r="F99" s="141"/>
      <c r="G99" s="141"/>
      <c r="H99" s="141"/>
      <c r="I99" s="141"/>
      <c r="J99" s="141"/>
    </row>
    <row r="100" spans="1:10" ht="19.5" thickBot="1" x14ac:dyDescent="0.35">
      <c r="A100" s="492" t="s">
        <v>50</v>
      </c>
      <c r="B100" s="493"/>
      <c r="C100" s="142"/>
      <c r="D100" s="143"/>
      <c r="E100" s="238"/>
      <c r="F100" s="143"/>
      <c r="G100" s="143"/>
      <c r="H100" s="143"/>
      <c r="I100" s="143"/>
      <c r="J100" s="108">
        <f>+J50+J97</f>
        <v>6561.199999999998</v>
      </c>
    </row>
    <row r="101" spans="1:10" x14ac:dyDescent="0.25">
      <c r="A101" s="84"/>
      <c r="B101" s="84"/>
      <c r="C101" s="144"/>
      <c r="D101" s="85"/>
      <c r="E101" s="239"/>
      <c r="F101" s="85"/>
      <c r="G101" s="85"/>
      <c r="H101" s="85"/>
      <c r="I101" s="85"/>
      <c r="J101" s="85"/>
    </row>
    <row r="102" spans="1:10" x14ac:dyDescent="0.25">
      <c r="A102" s="84"/>
      <c r="B102" s="84"/>
      <c r="C102" s="144"/>
      <c r="D102" s="85"/>
      <c r="E102" s="239"/>
      <c r="F102" s="85"/>
      <c r="G102" s="85"/>
      <c r="H102" s="85"/>
      <c r="I102" s="85"/>
      <c r="J102" s="85"/>
    </row>
    <row r="103" spans="1:10" ht="16.5" thickBot="1" x14ac:dyDescent="0.3">
      <c r="A103" s="145" t="s">
        <v>51</v>
      </c>
      <c r="B103" s="84"/>
      <c r="C103" s="144"/>
      <c r="D103" s="85"/>
      <c r="E103" s="239"/>
      <c r="F103" s="85"/>
      <c r="G103" s="85"/>
      <c r="H103" s="85"/>
      <c r="I103" s="85"/>
      <c r="J103" s="85"/>
    </row>
    <row r="104" spans="1:10" ht="19.5" thickBot="1" x14ac:dyDescent="0.35">
      <c r="A104" s="146" t="s">
        <v>52</v>
      </c>
      <c r="B104" s="147"/>
      <c r="C104" s="148"/>
      <c r="D104" s="149"/>
      <c r="E104" s="240"/>
      <c r="F104" s="149"/>
      <c r="G104" s="149"/>
      <c r="H104" s="149"/>
      <c r="I104" s="149"/>
      <c r="J104" s="108"/>
    </row>
    <row r="105" spans="1:10" ht="19.5" thickBot="1" x14ac:dyDescent="0.35">
      <c r="A105" s="146" t="s">
        <v>53</v>
      </c>
      <c r="B105" s="147"/>
      <c r="C105" s="150"/>
      <c r="D105" s="149"/>
      <c r="E105" s="240"/>
      <c r="F105" s="149"/>
      <c r="G105" s="149"/>
      <c r="H105" s="149"/>
      <c r="I105" s="149"/>
      <c r="J105" s="108"/>
    </row>
    <row r="106" spans="1:10" ht="18.75" x14ac:dyDescent="0.3">
      <c r="A106" s="151"/>
      <c r="B106" s="151"/>
      <c r="C106" s="152"/>
      <c r="D106" s="153"/>
      <c r="E106" s="241"/>
      <c r="F106" s="153"/>
      <c r="G106" s="153"/>
      <c r="H106" s="153"/>
      <c r="I106" s="153"/>
      <c r="J106" s="111"/>
    </row>
    <row r="107" spans="1:10" ht="18.75" x14ac:dyDescent="0.3">
      <c r="A107" s="151"/>
      <c r="B107" s="151"/>
      <c r="C107" s="152"/>
      <c r="D107" s="153"/>
      <c r="E107" s="241"/>
      <c r="F107" s="153"/>
      <c r="G107" s="153"/>
      <c r="H107" s="153"/>
      <c r="I107" s="153"/>
      <c r="J107" s="111"/>
    </row>
    <row r="108" spans="1:10" ht="16.5" thickBot="1" x14ac:dyDescent="0.3">
      <c r="A108" s="154" t="s">
        <v>54</v>
      </c>
      <c r="B108" s="155"/>
      <c r="C108" s="144"/>
      <c r="D108" s="85"/>
      <c r="E108" s="239"/>
      <c r="F108" s="85"/>
      <c r="G108" s="85"/>
      <c r="H108" s="85"/>
      <c r="I108" s="85"/>
      <c r="J108" s="85"/>
    </row>
    <row r="109" spans="1:10" ht="19.5" thickBot="1" x14ac:dyDescent="0.35">
      <c r="A109" s="156" t="s">
        <v>55</v>
      </c>
      <c r="B109" s="157"/>
      <c r="C109" s="158"/>
      <c r="D109" s="159"/>
      <c r="E109" s="242"/>
      <c r="F109" s="159"/>
      <c r="G109" s="159"/>
      <c r="H109" s="159"/>
      <c r="I109" s="159"/>
      <c r="J109" s="160">
        <v>496</v>
      </c>
    </row>
    <row r="110" spans="1:10" x14ac:dyDescent="0.25">
      <c r="A110" s="161"/>
      <c r="B110" s="84"/>
      <c r="C110" s="144"/>
      <c r="D110" s="85"/>
      <c r="E110" s="239"/>
      <c r="F110" s="85"/>
      <c r="G110" s="85"/>
      <c r="H110" s="85"/>
      <c r="I110" s="85"/>
      <c r="J110" s="85"/>
    </row>
    <row r="111" spans="1:10" ht="16.5" thickBot="1" x14ac:dyDescent="0.3">
      <c r="A111" s="154"/>
      <c r="B111" s="155"/>
      <c r="C111" s="144"/>
      <c r="D111" s="85"/>
      <c r="E111" s="239"/>
      <c r="F111" s="85"/>
      <c r="G111" s="85"/>
      <c r="H111" s="85"/>
      <c r="I111" s="85"/>
      <c r="J111" s="85"/>
    </row>
    <row r="112" spans="1:10" ht="19.5" thickBot="1" x14ac:dyDescent="0.35">
      <c r="A112" s="156" t="s">
        <v>56</v>
      </c>
      <c r="B112" s="157"/>
      <c r="C112" s="162"/>
      <c r="D112" s="159"/>
      <c r="E112" s="242"/>
      <c r="F112" s="159"/>
      <c r="G112" s="159"/>
      <c r="H112" s="159"/>
      <c r="I112" s="159"/>
      <c r="J112" s="163"/>
    </row>
    <row r="113" spans="1:10" ht="15.75" thickBot="1" x14ac:dyDescent="0.3">
      <c r="A113" s="161"/>
      <c r="B113" s="84"/>
      <c r="C113" s="144"/>
      <c r="D113" s="85"/>
      <c r="E113" s="239"/>
      <c r="F113" s="85"/>
      <c r="G113" s="85"/>
      <c r="H113" s="85"/>
      <c r="I113" s="85"/>
      <c r="J113" s="85"/>
    </row>
    <row r="114" spans="1:10" ht="21.75" thickBot="1" x14ac:dyDescent="0.4">
      <c r="A114" s="494" t="s">
        <v>57</v>
      </c>
      <c r="B114" s="495"/>
      <c r="C114" s="164"/>
      <c r="D114" s="165"/>
      <c r="E114" s="243"/>
      <c r="F114" s="165"/>
      <c r="G114" s="165"/>
      <c r="H114" s="165"/>
      <c r="I114" s="165"/>
      <c r="J114" s="166">
        <f>SUM(J100:J113)</f>
        <v>7057.199999999998</v>
      </c>
    </row>
    <row r="115" spans="1:10" x14ac:dyDescent="0.25">
      <c r="A115" s="84"/>
      <c r="B115" s="84"/>
      <c r="C115" s="144"/>
      <c r="D115" s="85"/>
      <c r="E115" s="239"/>
      <c r="F115" s="85"/>
      <c r="G115" s="85"/>
      <c r="H115" s="85"/>
      <c r="I115" s="85"/>
      <c r="J115" s="85"/>
    </row>
    <row r="116" spans="1:10" ht="21" x14ac:dyDescent="0.35">
      <c r="A116" s="491" t="s">
        <v>189</v>
      </c>
      <c r="B116" s="491"/>
      <c r="C116" s="491"/>
      <c r="D116" s="491"/>
      <c r="E116" s="491"/>
      <c r="F116" s="491"/>
      <c r="G116" s="491"/>
      <c r="H116" s="491"/>
      <c r="I116" s="491"/>
      <c r="J116" s="491"/>
    </row>
    <row r="117" spans="1:10" ht="21.75" thickBot="1" x14ac:dyDescent="0.4">
      <c r="A117" s="204" t="s">
        <v>10</v>
      </c>
      <c r="B117" s="204"/>
      <c r="C117" s="204"/>
      <c r="D117" s="204"/>
      <c r="E117" s="244"/>
      <c r="F117" s="204"/>
      <c r="G117" s="204"/>
      <c r="H117" s="204"/>
      <c r="I117" s="204"/>
      <c r="J117" s="168"/>
    </row>
    <row r="118" spans="1:10" ht="15.75" thickBot="1" x14ac:dyDescent="0.3">
      <c r="A118" s="169" t="s">
        <v>58</v>
      </c>
      <c r="B118" s="170" t="s">
        <v>59</v>
      </c>
      <c r="C118" s="496" t="s">
        <v>33</v>
      </c>
      <c r="D118" s="497"/>
      <c r="E118" s="497"/>
      <c r="F118" s="497"/>
      <c r="G118" s="497"/>
      <c r="H118" s="497"/>
      <c r="I118" s="498"/>
      <c r="J118" s="171" t="s">
        <v>4</v>
      </c>
    </row>
    <row r="119" spans="1:10" ht="15.75" thickBot="1" x14ac:dyDescent="0.3">
      <c r="A119" s="172" t="s">
        <v>196</v>
      </c>
      <c r="B119" s="173" t="s">
        <v>197</v>
      </c>
      <c r="C119" s="488" t="s">
        <v>198</v>
      </c>
      <c r="D119" s="489"/>
      <c r="E119" s="489"/>
      <c r="F119" s="489"/>
      <c r="G119" s="489"/>
      <c r="H119" s="489"/>
      <c r="I119" s="489"/>
      <c r="J119" s="104">
        <v>400</v>
      </c>
    </row>
    <row r="120" spans="1:10" ht="15.75" thickBot="1" x14ac:dyDescent="0.3">
      <c r="A120" s="121" t="s">
        <v>262</v>
      </c>
      <c r="B120" s="173" t="s">
        <v>260</v>
      </c>
      <c r="C120" s="488" t="s">
        <v>261</v>
      </c>
      <c r="D120" s="489"/>
      <c r="E120" s="489"/>
      <c r="F120" s="489"/>
      <c r="G120" s="489"/>
      <c r="H120" s="490"/>
      <c r="I120" s="490"/>
      <c r="J120" s="104">
        <v>200</v>
      </c>
    </row>
    <row r="121" spans="1:10" ht="15.75" thickBot="1" x14ac:dyDescent="0.3">
      <c r="A121" s="121" t="s">
        <v>271</v>
      </c>
      <c r="B121" s="173">
        <v>44590</v>
      </c>
      <c r="C121" s="504" t="s">
        <v>320</v>
      </c>
      <c r="D121" s="505"/>
      <c r="E121" s="505"/>
      <c r="F121" s="505"/>
      <c r="G121" s="505"/>
      <c r="H121" s="505"/>
      <c r="I121" s="505"/>
      <c r="J121" s="174">
        <v>55</v>
      </c>
    </row>
    <row r="122" spans="1:10" ht="15.75" thickBot="1" x14ac:dyDescent="0.3">
      <c r="A122" s="121" t="s">
        <v>271</v>
      </c>
      <c r="B122" s="173">
        <v>44594</v>
      </c>
      <c r="C122" s="488" t="s">
        <v>321</v>
      </c>
      <c r="D122" s="489"/>
      <c r="E122" s="489"/>
      <c r="F122" s="489"/>
      <c r="G122" s="489"/>
      <c r="H122" s="490"/>
      <c r="I122" s="490"/>
      <c r="J122" s="104">
        <v>17.100000000000001</v>
      </c>
    </row>
    <row r="123" spans="1:10" ht="15.75" thickBot="1" x14ac:dyDescent="0.3">
      <c r="A123" s="121" t="s">
        <v>273</v>
      </c>
      <c r="B123" s="173" t="s">
        <v>274</v>
      </c>
      <c r="C123" s="488" t="s">
        <v>275</v>
      </c>
      <c r="D123" s="489"/>
      <c r="E123" s="489"/>
      <c r="F123" s="489"/>
      <c r="G123" s="489"/>
      <c r="H123" s="490"/>
      <c r="I123" s="490"/>
      <c r="J123" s="104">
        <v>820.4</v>
      </c>
    </row>
    <row r="124" spans="1:10" ht="15.75" thickBot="1" x14ac:dyDescent="0.3">
      <c r="A124" s="121"/>
      <c r="B124" s="173"/>
      <c r="C124" s="488"/>
      <c r="D124" s="489"/>
      <c r="E124" s="489"/>
      <c r="F124" s="489"/>
      <c r="G124" s="489"/>
      <c r="H124" s="490"/>
      <c r="I124" s="490"/>
      <c r="J124" s="104"/>
    </row>
    <row r="125" spans="1:10" ht="15.75" thickBot="1" x14ac:dyDescent="0.3">
      <c r="A125" s="121"/>
      <c r="B125" s="173"/>
      <c r="C125" s="488"/>
      <c r="D125" s="489"/>
      <c r="E125" s="489"/>
      <c r="F125" s="489"/>
      <c r="G125" s="489"/>
      <c r="H125" s="490"/>
      <c r="I125" s="490"/>
      <c r="J125" s="104"/>
    </row>
    <row r="126" spans="1:10" ht="15.75" thickBot="1" x14ac:dyDescent="0.3">
      <c r="A126" s="121"/>
      <c r="B126" s="173"/>
      <c r="C126" s="488"/>
      <c r="D126" s="489"/>
      <c r="E126" s="489"/>
      <c r="F126" s="489"/>
      <c r="G126" s="489"/>
      <c r="H126" s="490"/>
      <c r="I126" s="490"/>
      <c r="J126" s="104"/>
    </row>
    <row r="127" spans="1:10" ht="15.75" thickBot="1" x14ac:dyDescent="0.3">
      <c r="A127" s="121"/>
      <c r="B127" s="173"/>
      <c r="C127" s="488"/>
      <c r="D127" s="489"/>
      <c r="E127" s="489"/>
      <c r="F127" s="489"/>
      <c r="G127" s="489"/>
      <c r="H127" s="490"/>
      <c r="I127" s="490"/>
      <c r="J127" s="118"/>
    </row>
    <row r="128" spans="1:10" ht="15.75" thickBot="1" x14ac:dyDescent="0.3">
      <c r="A128" s="121"/>
      <c r="B128" s="173"/>
      <c r="C128" s="488"/>
      <c r="D128" s="489"/>
      <c r="E128" s="489"/>
      <c r="F128" s="489"/>
      <c r="G128" s="489"/>
      <c r="H128" s="490"/>
      <c r="I128" s="490"/>
      <c r="J128" s="118"/>
    </row>
    <row r="129" spans="1:10" ht="15.75" thickBot="1" x14ac:dyDescent="0.3">
      <c r="A129" s="121"/>
      <c r="B129" s="173"/>
      <c r="C129" s="488"/>
      <c r="D129" s="489"/>
      <c r="E129" s="489"/>
      <c r="F129" s="489"/>
      <c r="G129" s="489"/>
      <c r="H129" s="490"/>
      <c r="I129" s="490"/>
      <c r="J129" s="118"/>
    </row>
    <row r="130" spans="1:10" ht="15.75" thickBot="1" x14ac:dyDescent="0.3">
      <c r="A130" s="121"/>
      <c r="B130" s="173"/>
      <c r="C130" s="488"/>
      <c r="D130" s="489"/>
      <c r="E130" s="489"/>
      <c r="F130" s="489"/>
      <c r="G130" s="489"/>
      <c r="H130" s="490"/>
      <c r="I130" s="490"/>
      <c r="J130" s="118"/>
    </row>
    <row r="131" spans="1:10" ht="15.75" thickBot="1" x14ac:dyDescent="0.3">
      <c r="A131" s="121"/>
      <c r="B131" s="173"/>
      <c r="C131" s="488"/>
      <c r="D131" s="489"/>
      <c r="E131" s="489"/>
      <c r="F131" s="489"/>
      <c r="G131" s="489"/>
      <c r="H131" s="490"/>
      <c r="I131" s="490"/>
      <c r="J131" s="118"/>
    </row>
    <row r="132" spans="1:10" ht="19.5" thickBot="1" x14ac:dyDescent="0.35">
      <c r="A132" s="175" t="s">
        <v>60</v>
      </c>
      <c r="B132" s="492"/>
      <c r="C132" s="499"/>
      <c r="D132" s="499"/>
      <c r="E132" s="499"/>
      <c r="F132" s="499"/>
      <c r="G132" s="499"/>
      <c r="H132" s="499"/>
      <c r="I132" s="499"/>
      <c r="J132" s="176">
        <f>SUM(J119:J131)</f>
        <v>1492.5</v>
      </c>
    </row>
    <row r="133" spans="1:10" ht="18.75" x14ac:dyDescent="0.3">
      <c r="A133" s="2"/>
      <c r="B133" s="2"/>
      <c r="C133" s="177"/>
      <c r="D133" s="177"/>
      <c r="E133" s="245"/>
      <c r="F133" s="178"/>
      <c r="G133" s="177"/>
      <c r="H133" s="177"/>
      <c r="I133" s="177"/>
      <c r="J133" s="111"/>
    </row>
    <row r="134" spans="1:10" ht="18.75" x14ac:dyDescent="0.3">
      <c r="A134" s="2"/>
      <c r="B134" s="2"/>
      <c r="C134" s="177"/>
      <c r="D134" s="177"/>
      <c r="E134" s="245"/>
      <c r="F134" s="178"/>
      <c r="G134" s="177"/>
      <c r="H134" s="177"/>
      <c r="I134" s="177"/>
      <c r="J134" s="111"/>
    </row>
    <row r="135" spans="1:10" ht="18.75" x14ac:dyDescent="0.3">
      <c r="A135" s="139" t="s">
        <v>61</v>
      </c>
      <c r="B135" s="2"/>
      <c r="C135" s="84"/>
      <c r="D135" s="85"/>
      <c r="F135" s="85"/>
      <c r="J135" s="85"/>
    </row>
    <row r="136" spans="1:10" x14ac:dyDescent="0.25">
      <c r="A136" s="84" t="s">
        <v>62</v>
      </c>
      <c r="B136" s="144">
        <f>+J114</f>
        <v>7057.199999999998</v>
      </c>
      <c r="C136" s="179"/>
      <c r="D136" s="85"/>
      <c r="F136" s="85"/>
      <c r="J136" s="85"/>
    </row>
    <row r="137" spans="1:10" ht="15.75" thickBot="1" x14ac:dyDescent="0.3">
      <c r="A137" s="84" t="s">
        <v>60</v>
      </c>
      <c r="B137" s="180">
        <f>+J132</f>
        <v>1492.5</v>
      </c>
      <c r="C137" s="181"/>
      <c r="D137" s="85"/>
      <c r="F137" s="85"/>
      <c r="G137" s="182"/>
      <c r="H137" s="182"/>
      <c r="I137" s="183"/>
      <c r="J137" s="183"/>
    </row>
    <row r="138" spans="1:10" ht="17.25" thickTop="1" thickBot="1" x14ac:dyDescent="0.3">
      <c r="A138" s="139" t="s">
        <v>8</v>
      </c>
      <c r="B138" s="184">
        <f>++B136-B137</f>
        <v>5564.699999999998</v>
      </c>
      <c r="C138" s="185"/>
      <c r="D138" s="186"/>
      <c r="E138" s="246"/>
      <c r="F138" s="186"/>
      <c r="G138" s="187"/>
      <c r="H138" s="187"/>
      <c r="I138" s="85"/>
    </row>
    <row r="139" spans="1:10" ht="15.75" thickTop="1" x14ac:dyDescent="0.25"/>
  </sheetData>
  <mergeCells count="47">
    <mergeCell ref="C123:I123"/>
    <mergeCell ref="C124:I124"/>
    <mergeCell ref="C125:I125"/>
    <mergeCell ref="A1:J1"/>
    <mergeCell ref="A100:B100"/>
    <mergeCell ref="A114:B114"/>
    <mergeCell ref="A116:J116"/>
    <mergeCell ref="C118:I118"/>
    <mergeCell ref="C119:I119"/>
    <mergeCell ref="A29:A31"/>
    <mergeCell ref="B29:B31"/>
    <mergeCell ref="B13:B14"/>
    <mergeCell ref="A13:A14"/>
    <mergeCell ref="B68:B69"/>
    <mergeCell ref="A68:A69"/>
    <mergeCell ref="B70:B71"/>
    <mergeCell ref="B132:I132"/>
    <mergeCell ref="B54:B55"/>
    <mergeCell ref="A54:A55"/>
    <mergeCell ref="B64:B65"/>
    <mergeCell ref="A64:A65"/>
    <mergeCell ref="B66:B67"/>
    <mergeCell ref="A66:A67"/>
    <mergeCell ref="C126:I126"/>
    <mergeCell ref="C127:I127"/>
    <mergeCell ref="C128:I128"/>
    <mergeCell ref="C129:I129"/>
    <mergeCell ref="C130:I130"/>
    <mergeCell ref="C131:I131"/>
    <mergeCell ref="C120:I120"/>
    <mergeCell ref="C121:I121"/>
    <mergeCell ref="C122:I122"/>
    <mergeCell ref="B20:B21"/>
    <mergeCell ref="A20:A21"/>
    <mergeCell ref="B24:B25"/>
    <mergeCell ref="A24:A25"/>
    <mergeCell ref="A70:A71"/>
    <mergeCell ref="B32:B33"/>
    <mergeCell ref="A32:A33"/>
    <mergeCell ref="B36:B37"/>
    <mergeCell ref="A36:A37"/>
    <mergeCell ref="B58:B59"/>
    <mergeCell ref="A58:A59"/>
    <mergeCell ref="B38:B39"/>
    <mergeCell ref="A38:A39"/>
    <mergeCell ref="B40:B41"/>
    <mergeCell ref="A40:A41"/>
  </mergeCells>
  <phoneticPr fontId="15" type="noConversion"/>
  <pageMargins left="0.17" right="0.17" top="1.42" bottom="0.17" header="0.17" footer="0.17"/>
  <pageSetup paperSize="9" scale="69" fitToHeight="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D8134-3749-4B6D-83E0-DD6ED604B9C2}">
  <sheetPr>
    <pageSetUpPr fitToPage="1"/>
  </sheetPr>
  <dimension ref="A1:M106"/>
  <sheetViews>
    <sheetView topLeftCell="A25" workbookViewId="0">
      <selection activeCell="B41" sqref="B41:B44"/>
    </sheetView>
  </sheetViews>
  <sheetFormatPr baseColWidth="10" defaultRowHeight="15" x14ac:dyDescent="0.25"/>
  <cols>
    <col min="1" max="1" width="34.140625" customWidth="1"/>
    <col min="2" max="2" width="15.42578125" bestFit="1" customWidth="1"/>
    <col min="9" max="9" width="15.42578125" customWidth="1"/>
    <col min="10" max="10" width="14" bestFit="1" customWidth="1"/>
  </cols>
  <sheetData>
    <row r="1" spans="1:10" ht="21" x14ac:dyDescent="0.35">
      <c r="A1" s="491" t="s">
        <v>277</v>
      </c>
      <c r="B1" s="491"/>
      <c r="C1" s="491"/>
      <c r="D1" s="491"/>
      <c r="E1" s="491"/>
      <c r="F1" s="491"/>
      <c r="G1" s="491"/>
      <c r="H1" s="491"/>
      <c r="I1" s="491"/>
      <c r="J1" s="491"/>
    </row>
    <row r="2" spans="1:10" ht="15.75" thickBot="1" x14ac:dyDescent="0.3">
      <c r="A2" s="83"/>
      <c r="B2" s="84"/>
      <c r="C2" s="84"/>
      <c r="J2" s="85"/>
    </row>
    <row r="3" spans="1:10" ht="30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281</v>
      </c>
      <c r="J3" s="87" t="s">
        <v>4</v>
      </c>
    </row>
    <row r="4" spans="1:10" ht="30.75" thickBot="1" x14ac:dyDescent="0.3">
      <c r="A4" s="258" t="s">
        <v>286</v>
      </c>
      <c r="B4" s="258" t="s">
        <v>287</v>
      </c>
      <c r="C4" s="222">
        <v>46113</v>
      </c>
      <c r="D4" s="86"/>
      <c r="E4" s="86"/>
      <c r="F4" s="86"/>
      <c r="G4" s="90">
        <v>30</v>
      </c>
      <c r="H4" s="86"/>
      <c r="I4" s="86"/>
      <c r="J4" s="87">
        <f t="shared" ref="J4:J26" si="0">SUM(D4:I4)</f>
        <v>30</v>
      </c>
    </row>
    <row r="5" spans="1:10" ht="15.75" thickBot="1" x14ac:dyDescent="0.3">
      <c r="A5" s="86"/>
      <c r="B5" s="86"/>
      <c r="C5" s="86"/>
      <c r="D5" s="86"/>
      <c r="E5" s="86"/>
      <c r="F5" s="86"/>
      <c r="G5" s="86"/>
      <c r="H5" s="86"/>
      <c r="I5" s="86"/>
      <c r="J5" s="87">
        <f t="shared" si="0"/>
        <v>0</v>
      </c>
    </row>
    <row r="6" spans="1:10" ht="15.75" thickBot="1" x14ac:dyDescent="0.3">
      <c r="A6" s="188" t="s">
        <v>278</v>
      </c>
      <c r="B6" s="88" t="s">
        <v>279</v>
      </c>
      <c r="C6" s="89">
        <v>46082</v>
      </c>
      <c r="D6" s="90"/>
      <c r="E6" s="90"/>
      <c r="F6" s="90">
        <v>500</v>
      </c>
      <c r="G6" s="90"/>
      <c r="H6" s="90"/>
      <c r="I6" s="90"/>
      <c r="J6" s="87">
        <f t="shared" si="0"/>
        <v>500</v>
      </c>
    </row>
    <row r="7" spans="1:10" ht="15.75" thickBot="1" x14ac:dyDescent="0.3">
      <c r="A7" s="88" t="s">
        <v>294</v>
      </c>
      <c r="B7" s="88" t="s">
        <v>295</v>
      </c>
      <c r="C7" s="89">
        <v>46082</v>
      </c>
      <c r="D7" s="90"/>
      <c r="E7" s="90"/>
      <c r="F7" s="90">
        <v>230</v>
      </c>
      <c r="G7" s="90"/>
      <c r="H7" s="90"/>
      <c r="I7" s="90"/>
      <c r="J7" s="87">
        <f t="shared" si="0"/>
        <v>230</v>
      </c>
    </row>
    <row r="8" spans="1:10" ht="15.75" thickBot="1" x14ac:dyDescent="0.3">
      <c r="A8" s="500" t="s">
        <v>292</v>
      </c>
      <c r="B8" s="500" t="s">
        <v>293</v>
      </c>
      <c r="C8" s="89">
        <v>46054</v>
      </c>
      <c r="D8" s="90"/>
      <c r="E8" s="90"/>
      <c r="F8" s="90">
        <v>50</v>
      </c>
      <c r="G8" s="90"/>
      <c r="H8" s="90"/>
      <c r="I8" s="90"/>
      <c r="J8" s="87">
        <f t="shared" si="0"/>
        <v>50</v>
      </c>
    </row>
    <row r="9" spans="1:10" ht="15.75" thickBot="1" x14ac:dyDescent="0.3">
      <c r="A9" s="501"/>
      <c r="B9" s="501"/>
      <c r="C9" s="89">
        <v>46082</v>
      </c>
      <c r="D9" s="90"/>
      <c r="E9" s="90"/>
      <c r="F9" s="90">
        <v>200</v>
      </c>
      <c r="G9" s="90"/>
      <c r="H9" s="90"/>
      <c r="I9" s="90"/>
      <c r="J9" s="87">
        <f t="shared" si="0"/>
        <v>200</v>
      </c>
    </row>
    <row r="10" spans="1:10" ht="15.75" thickBot="1" x14ac:dyDescent="0.3">
      <c r="A10" s="88" t="s">
        <v>38</v>
      </c>
      <c r="B10" s="88" t="s">
        <v>314</v>
      </c>
      <c r="C10" s="222">
        <v>46113</v>
      </c>
      <c r="D10" s="90"/>
      <c r="E10" s="90"/>
      <c r="F10" s="90"/>
      <c r="G10" s="90"/>
      <c r="H10" s="90">
        <v>44.9</v>
      </c>
      <c r="I10" s="90"/>
      <c r="J10" s="87">
        <f t="shared" si="0"/>
        <v>44.9</v>
      </c>
    </row>
    <row r="11" spans="1:10" ht="15.75" thickBot="1" x14ac:dyDescent="0.3">
      <c r="A11" s="88"/>
      <c r="B11" s="88"/>
      <c r="C11" s="89"/>
      <c r="D11" s="90"/>
      <c r="E11" s="90"/>
      <c r="F11" s="90"/>
      <c r="G11" s="90"/>
      <c r="H11" s="90"/>
      <c r="I11" s="90"/>
      <c r="J11" s="87">
        <f t="shared" si="0"/>
        <v>0</v>
      </c>
    </row>
    <row r="12" spans="1:10" ht="15.75" thickBot="1" x14ac:dyDescent="0.3">
      <c r="A12" s="88"/>
      <c r="B12" s="88"/>
      <c r="C12" s="89"/>
      <c r="D12" s="90"/>
      <c r="E12" s="90"/>
      <c r="F12" s="90"/>
      <c r="G12" s="90"/>
      <c r="H12" s="90"/>
      <c r="I12" s="90"/>
      <c r="J12" s="87">
        <f t="shared" si="0"/>
        <v>0</v>
      </c>
    </row>
    <row r="13" spans="1:10" ht="15.75" thickBot="1" x14ac:dyDescent="0.3">
      <c r="A13" s="216"/>
      <c r="B13" s="88"/>
      <c r="C13" s="89"/>
      <c r="D13" s="90"/>
      <c r="E13" s="90"/>
      <c r="F13" s="90"/>
      <c r="G13" s="90"/>
      <c r="H13" s="90"/>
      <c r="I13" s="90"/>
      <c r="J13" s="87">
        <f t="shared" si="0"/>
        <v>0</v>
      </c>
    </row>
    <row r="14" spans="1:10" ht="15.75" thickBot="1" x14ac:dyDescent="0.3">
      <c r="A14" s="216"/>
      <c r="B14" s="214"/>
      <c r="C14" s="89"/>
      <c r="D14" s="90"/>
      <c r="E14" s="90"/>
      <c r="F14" s="90"/>
      <c r="G14" s="90"/>
      <c r="H14" s="90"/>
      <c r="I14" s="93"/>
      <c r="J14" s="87">
        <f t="shared" si="0"/>
        <v>0</v>
      </c>
    </row>
    <row r="15" spans="1:10" ht="15.75" thickBot="1" x14ac:dyDescent="0.3">
      <c r="A15" s="88"/>
      <c r="B15" s="88"/>
      <c r="C15" s="89"/>
      <c r="D15" s="90"/>
      <c r="E15" s="90"/>
      <c r="F15" s="90"/>
      <c r="G15" s="90"/>
      <c r="H15" s="90"/>
      <c r="I15" s="90"/>
      <c r="J15" s="87">
        <f t="shared" si="0"/>
        <v>0</v>
      </c>
    </row>
    <row r="16" spans="1:10" ht="15.75" thickBot="1" x14ac:dyDescent="0.3">
      <c r="A16" s="95"/>
      <c r="B16" s="215"/>
      <c r="C16" s="89"/>
      <c r="D16" s="90"/>
      <c r="E16" s="90"/>
      <c r="F16" s="90"/>
      <c r="G16" s="90"/>
      <c r="H16" s="90"/>
      <c r="I16" s="90"/>
      <c r="J16" s="87">
        <f t="shared" si="0"/>
        <v>0</v>
      </c>
    </row>
    <row r="17" spans="1:10" ht="15.75" thickBot="1" x14ac:dyDescent="0.3">
      <c r="A17" s="516" t="s">
        <v>278</v>
      </c>
      <c r="B17" s="500" t="s">
        <v>280</v>
      </c>
      <c r="C17" s="89">
        <v>46023</v>
      </c>
      <c r="D17" s="90"/>
      <c r="E17" s="90"/>
      <c r="F17" s="90"/>
      <c r="G17" s="90"/>
      <c r="H17" s="90"/>
      <c r="I17" s="90">
        <v>28.3</v>
      </c>
      <c r="J17" s="87">
        <f t="shared" si="0"/>
        <v>28.3</v>
      </c>
    </row>
    <row r="18" spans="1:10" ht="15.75" thickBot="1" x14ac:dyDescent="0.3">
      <c r="A18" s="517"/>
      <c r="B18" s="501"/>
      <c r="C18" s="89">
        <v>46054</v>
      </c>
      <c r="D18" s="90">
        <v>14.4</v>
      </c>
      <c r="E18" s="90">
        <v>6</v>
      </c>
      <c r="F18" s="90"/>
      <c r="G18" s="90"/>
      <c r="H18" s="90"/>
      <c r="I18" s="90"/>
      <c r="J18" s="87">
        <f t="shared" si="0"/>
        <v>20.399999999999999</v>
      </c>
    </row>
    <row r="19" spans="1:10" ht="15.75" thickBot="1" x14ac:dyDescent="0.3">
      <c r="A19" s="500" t="s">
        <v>290</v>
      </c>
      <c r="B19" s="485" t="s">
        <v>291</v>
      </c>
      <c r="C19" s="103">
        <v>46023</v>
      </c>
      <c r="D19" s="90">
        <v>9.9</v>
      </c>
      <c r="E19" s="90">
        <v>3</v>
      </c>
      <c r="F19" s="90"/>
      <c r="G19" s="90"/>
      <c r="H19" s="90"/>
      <c r="I19" s="90"/>
      <c r="J19" s="87">
        <f t="shared" si="0"/>
        <v>12.9</v>
      </c>
    </row>
    <row r="20" spans="1:10" ht="15.75" thickBot="1" x14ac:dyDescent="0.3">
      <c r="A20" s="501"/>
      <c r="B20" s="487"/>
      <c r="C20" s="89">
        <v>46054</v>
      </c>
      <c r="D20" s="90">
        <v>9</v>
      </c>
      <c r="E20" s="90">
        <v>6</v>
      </c>
      <c r="F20" s="90"/>
      <c r="G20" s="90"/>
      <c r="H20" s="90"/>
      <c r="I20" s="90"/>
      <c r="J20" s="87">
        <f t="shared" si="0"/>
        <v>15</v>
      </c>
    </row>
    <row r="21" spans="1:10" ht="15.75" thickBot="1" x14ac:dyDescent="0.3">
      <c r="A21" s="250"/>
      <c r="B21" s="248"/>
      <c r="C21" s="89"/>
      <c r="D21" s="90"/>
      <c r="E21" s="90"/>
      <c r="F21" s="90"/>
      <c r="G21" s="90"/>
      <c r="H21" s="90"/>
      <c r="I21" s="90"/>
      <c r="J21" s="87">
        <f t="shared" si="0"/>
        <v>0</v>
      </c>
    </row>
    <row r="22" spans="1:10" ht="15.75" thickBot="1" x14ac:dyDescent="0.3">
      <c r="A22" s="100"/>
      <c r="B22" s="247"/>
      <c r="C22" s="89"/>
      <c r="D22" s="90"/>
      <c r="E22" s="90"/>
      <c r="F22" s="90"/>
      <c r="G22" s="90"/>
      <c r="H22" s="90"/>
      <c r="I22" s="90"/>
      <c r="J22" s="87">
        <f t="shared" si="0"/>
        <v>0</v>
      </c>
    </row>
    <row r="23" spans="1:10" ht="15.75" thickBot="1" x14ac:dyDescent="0.3">
      <c r="A23" s="100"/>
      <c r="B23" s="247"/>
      <c r="C23" s="89"/>
      <c r="D23" s="90"/>
      <c r="E23" s="90"/>
      <c r="F23" s="90"/>
      <c r="G23" s="90"/>
      <c r="H23" s="90"/>
      <c r="I23" s="90"/>
      <c r="J23" s="87">
        <f t="shared" si="0"/>
        <v>0</v>
      </c>
    </row>
    <row r="24" spans="1:10" ht="15.75" thickBot="1" x14ac:dyDescent="0.3">
      <c r="A24" s="100"/>
      <c r="B24" s="217"/>
      <c r="C24" s="89"/>
      <c r="D24" s="90"/>
      <c r="E24" s="90"/>
      <c r="F24" s="90"/>
      <c r="G24" s="90"/>
      <c r="H24" s="90"/>
      <c r="I24" s="90"/>
      <c r="J24" s="87">
        <f t="shared" si="0"/>
        <v>0</v>
      </c>
    </row>
    <row r="25" spans="1:10" ht="15.75" thickBot="1" x14ac:dyDescent="0.3">
      <c r="A25" s="101"/>
      <c r="B25" s="101"/>
      <c r="C25" s="89"/>
      <c r="D25" s="90"/>
      <c r="E25" s="90"/>
      <c r="F25" s="90"/>
      <c r="G25" s="90"/>
      <c r="H25" s="90"/>
      <c r="I25" s="90"/>
      <c r="J25" s="87">
        <f t="shared" si="0"/>
        <v>0</v>
      </c>
    </row>
    <row r="26" spans="1:10" ht="15.75" thickBot="1" x14ac:dyDescent="0.3">
      <c r="A26" s="217"/>
      <c r="B26" s="219"/>
      <c r="C26" s="103"/>
      <c r="D26" s="104"/>
      <c r="E26" s="104"/>
      <c r="F26" s="104"/>
      <c r="G26" s="104"/>
      <c r="H26" s="104"/>
      <c r="I26" s="104"/>
      <c r="J26" s="87">
        <f t="shared" si="0"/>
        <v>0</v>
      </c>
    </row>
    <row r="27" spans="1:10" ht="19.5" thickBot="1" x14ac:dyDescent="0.35">
      <c r="A27" s="105" t="s">
        <v>4</v>
      </c>
      <c r="B27" s="86"/>
      <c r="C27" s="106"/>
      <c r="D27" s="107">
        <f t="shared" ref="D27:F27" si="1">SUM(D4:D26)</f>
        <v>33.299999999999997</v>
      </c>
      <c r="E27" s="107">
        <f t="shared" si="1"/>
        <v>15</v>
      </c>
      <c r="F27" s="107">
        <f t="shared" si="1"/>
        <v>980</v>
      </c>
      <c r="G27" s="107">
        <f>SUM(G4:G26)</f>
        <v>30</v>
      </c>
      <c r="H27" s="107">
        <f t="shared" ref="H27:I27" si="2">SUM(H4:H26)</f>
        <v>44.9</v>
      </c>
      <c r="I27" s="107">
        <f t="shared" si="2"/>
        <v>28.3</v>
      </c>
      <c r="J27" s="108">
        <f>SUM(J4:J26)</f>
        <v>1131.5000000000002</v>
      </c>
    </row>
    <row r="28" spans="1:10" ht="19.5" thickBot="1" x14ac:dyDescent="0.35">
      <c r="A28" s="2"/>
      <c r="B28" s="109"/>
      <c r="C28" s="110"/>
      <c r="D28" s="111"/>
      <c r="E28" s="111"/>
      <c r="F28" s="111"/>
      <c r="G28" s="111"/>
      <c r="H28" s="111"/>
      <c r="I28" s="111"/>
      <c r="J28" s="111"/>
    </row>
    <row r="29" spans="1:10" ht="24" thickBot="1" x14ac:dyDescent="0.4">
      <c r="A29" s="112" t="s">
        <v>40</v>
      </c>
      <c r="B29" s="109"/>
      <c r="C29" s="110"/>
      <c r="D29" s="111"/>
      <c r="E29" s="111"/>
      <c r="F29" s="111"/>
      <c r="G29" s="111"/>
      <c r="H29" s="111"/>
      <c r="I29" s="111"/>
      <c r="J29" s="111"/>
    </row>
    <row r="30" spans="1:10" ht="15.75" thickBot="1" x14ac:dyDescent="0.3">
      <c r="A30" s="113" t="s">
        <v>3</v>
      </c>
      <c r="B30" s="86" t="s">
        <v>32</v>
      </c>
      <c r="C30" s="114" t="s">
        <v>41</v>
      </c>
      <c r="D30" s="114" t="s">
        <v>34</v>
      </c>
      <c r="E30" s="114" t="s">
        <v>35</v>
      </c>
      <c r="F30" s="86" t="s">
        <v>36</v>
      </c>
      <c r="G30" s="86" t="s">
        <v>37</v>
      </c>
      <c r="H30" s="86" t="s">
        <v>42</v>
      </c>
      <c r="I30" s="86" t="s">
        <v>39</v>
      </c>
      <c r="J30" s="115" t="s">
        <v>4</v>
      </c>
    </row>
    <row r="31" spans="1:10" ht="15.75" thickBot="1" x14ac:dyDescent="0.3">
      <c r="A31" s="101" t="s">
        <v>282</v>
      </c>
      <c r="B31" s="103" t="s">
        <v>283</v>
      </c>
      <c r="C31" s="103">
        <v>46113</v>
      </c>
      <c r="D31" s="116"/>
      <c r="E31" s="117"/>
      <c r="F31" s="116"/>
      <c r="G31" s="116">
        <v>60</v>
      </c>
      <c r="H31" s="118"/>
      <c r="I31" s="118"/>
      <c r="J31" s="119">
        <f>SUM(D31:I31)</f>
        <v>60</v>
      </c>
    </row>
    <row r="32" spans="1:10" ht="15.75" thickBot="1" x14ac:dyDescent="0.3">
      <c r="A32" s="520" t="s">
        <v>288</v>
      </c>
      <c r="B32" s="512" t="s">
        <v>289</v>
      </c>
      <c r="C32" s="103">
        <v>46023</v>
      </c>
      <c r="D32" s="116">
        <v>89.9</v>
      </c>
      <c r="E32" s="116">
        <v>6.4</v>
      </c>
      <c r="F32" s="116"/>
      <c r="G32" s="116"/>
      <c r="H32" s="118"/>
      <c r="I32" s="118"/>
      <c r="J32" s="119">
        <f t="shared" ref="J32:J36" si="3">SUM(D32:I32)</f>
        <v>96.300000000000011</v>
      </c>
    </row>
    <row r="33" spans="1:13" ht="15.75" thickBot="1" x14ac:dyDescent="0.3">
      <c r="A33" s="521"/>
      <c r="B33" s="513"/>
      <c r="C33" s="89">
        <v>46054</v>
      </c>
      <c r="D33" s="120">
        <v>88.6</v>
      </c>
      <c r="E33" s="120">
        <v>15</v>
      </c>
      <c r="F33" s="120"/>
      <c r="G33" s="120"/>
      <c r="H33" s="90"/>
      <c r="I33" s="90"/>
      <c r="J33" s="119">
        <f t="shared" si="3"/>
        <v>103.6</v>
      </c>
    </row>
    <row r="34" spans="1:13" ht="15.75" thickBot="1" x14ac:dyDescent="0.3">
      <c r="A34" s="101"/>
      <c r="B34" s="247"/>
      <c r="C34" s="89"/>
      <c r="D34" s="120"/>
      <c r="E34" s="120"/>
      <c r="F34" s="120"/>
      <c r="G34" s="120"/>
      <c r="H34" s="90"/>
      <c r="I34" s="90"/>
      <c r="J34" s="119"/>
    </row>
    <row r="35" spans="1:13" ht="15.75" thickBot="1" x14ac:dyDescent="0.3">
      <c r="A35" s="101"/>
      <c r="B35" s="247"/>
      <c r="C35" s="89"/>
      <c r="D35" s="120"/>
      <c r="E35" s="120"/>
      <c r="F35" s="120"/>
      <c r="G35" s="120"/>
      <c r="H35" s="90"/>
      <c r="I35" s="90"/>
      <c r="J35" s="119"/>
    </row>
    <row r="36" spans="1:13" ht="15.75" thickBot="1" x14ac:dyDescent="0.3">
      <c r="A36" s="86"/>
      <c r="B36" s="121"/>
      <c r="C36" s="89"/>
      <c r="D36" s="120"/>
      <c r="E36" s="120"/>
      <c r="F36" s="120"/>
      <c r="G36" s="120"/>
      <c r="H36" s="90"/>
      <c r="I36" s="90"/>
      <c r="J36" s="119">
        <f t="shared" si="3"/>
        <v>0</v>
      </c>
      <c r="L36" s="122" t="s">
        <v>43</v>
      </c>
      <c r="M36" s="123">
        <f>J37+J47</f>
        <v>642.79999999999995</v>
      </c>
    </row>
    <row r="37" spans="1:13" ht="15.75" thickBot="1" x14ac:dyDescent="0.3">
      <c r="A37" s="86" t="s">
        <v>4</v>
      </c>
      <c r="B37" s="124"/>
      <c r="C37" s="125"/>
      <c r="D37" s="126"/>
      <c r="E37" s="126"/>
      <c r="F37" s="126"/>
      <c r="G37" s="126"/>
      <c r="H37" s="126"/>
      <c r="I37" s="126"/>
      <c r="J37" s="94">
        <f>SUM(J31:J36)</f>
        <v>259.89999999999998</v>
      </c>
    </row>
    <row r="38" spans="1:13" ht="15.75" thickBot="1" x14ac:dyDescent="0.3">
      <c r="A38" s="109"/>
      <c r="B38" s="127"/>
      <c r="C38" s="128"/>
      <c r="D38" s="129"/>
      <c r="E38" s="129"/>
      <c r="F38" s="129"/>
      <c r="G38" s="129"/>
      <c r="H38" s="129"/>
      <c r="I38" s="129"/>
      <c r="J38" s="130"/>
    </row>
    <row r="39" spans="1:13" ht="24" thickBot="1" x14ac:dyDescent="0.4">
      <c r="A39" s="112" t="s">
        <v>40</v>
      </c>
      <c r="B39" s="109"/>
      <c r="C39" s="110"/>
      <c r="D39" s="111"/>
      <c r="E39" s="111"/>
      <c r="F39" s="111"/>
      <c r="G39" s="111"/>
      <c r="H39" s="111"/>
      <c r="I39" s="111"/>
      <c r="J39" s="111"/>
    </row>
    <row r="40" spans="1:13" ht="30.75" thickBot="1" x14ac:dyDescent="0.3">
      <c r="A40" s="131" t="s">
        <v>44</v>
      </c>
      <c r="B40" s="86" t="s">
        <v>45</v>
      </c>
      <c r="C40" s="114" t="s">
        <v>41</v>
      </c>
      <c r="D40" s="114" t="s">
        <v>34</v>
      </c>
      <c r="E40" s="114" t="s">
        <v>35</v>
      </c>
      <c r="F40" s="114" t="s">
        <v>46</v>
      </c>
      <c r="G40" s="114" t="s">
        <v>47</v>
      </c>
      <c r="H40" s="114" t="s">
        <v>42</v>
      </c>
      <c r="I40" s="132" t="s">
        <v>48</v>
      </c>
      <c r="J40" s="115" t="s">
        <v>4</v>
      </c>
    </row>
    <row r="41" spans="1:13" ht="15.75" thickBot="1" x14ac:dyDescent="0.3">
      <c r="A41" s="88" t="s">
        <v>296</v>
      </c>
      <c r="B41" s="99" t="s">
        <v>297</v>
      </c>
      <c r="C41" s="89">
        <v>46082</v>
      </c>
      <c r="D41" s="90"/>
      <c r="E41" s="90"/>
      <c r="F41" s="90">
        <v>60</v>
      </c>
      <c r="G41" s="90">
        <v>5</v>
      </c>
      <c r="H41" s="90"/>
      <c r="I41" s="90"/>
      <c r="J41" s="87">
        <f t="shared" ref="J41:J46" si="4">SUM(D41:I41)</f>
        <v>65</v>
      </c>
    </row>
    <row r="42" spans="1:13" ht="15.75" thickBot="1" x14ac:dyDescent="0.3">
      <c r="A42" s="249" t="s">
        <v>298</v>
      </c>
      <c r="B42" s="99" t="s">
        <v>299</v>
      </c>
      <c r="C42" s="89">
        <v>46054</v>
      </c>
      <c r="D42" s="90">
        <v>96.5</v>
      </c>
      <c r="E42" s="90">
        <v>21.4</v>
      </c>
      <c r="F42" s="90"/>
      <c r="G42" s="90"/>
      <c r="H42" s="90"/>
      <c r="I42" s="90"/>
      <c r="J42" s="87">
        <f t="shared" si="4"/>
        <v>117.9</v>
      </c>
    </row>
    <row r="43" spans="1:13" ht="15.75" thickBot="1" x14ac:dyDescent="0.3">
      <c r="A43" s="249" t="s">
        <v>300</v>
      </c>
      <c r="B43" s="99" t="s">
        <v>301</v>
      </c>
      <c r="C43" s="89">
        <v>46082</v>
      </c>
      <c r="D43" s="90"/>
      <c r="E43" s="90"/>
      <c r="F43" s="90"/>
      <c r="G43" s="90"/>
      <c r="H43" s="90">
        <v>200</v>
      </c>
      <c r="I43" s="90"/>
      <c r="J43" s="87">
        <f t="shared" si="4"/>
        <v>200</v>
      </c>
    </row>
    <row r="44" spans="1:13" ht="15.75" thickBot="1" x14ac:dyDescent="0.3">
      <c r="A44" s="95"/>
      <c r="B44" s="103"/>
      <c r="C44" s="89"/>
      <c r="D44" s="116"/>
      <c r="E44" s="116"/>
      <c r="F44" s="116"/>
      <c r="G44" s="116"/>
      <c r="H44" s="118"/>
      <c r="I44" s="118"/>
      <c r="J44" s="87">
        <f t="shared" si="4"/>
        <v>0</v>
      </c>
    </row>
    <row r="45" spans="1:13" ht="15.75" thickBot="1" x14ac:dyDescent="0.3">
      <c r="A45" s="101"/>
      <c r="B45" s="217"/>
      <c r="C45" s="89"/>
      <c r="D45" s="120"/>
      <c r="E45" s="120"/>
      <c r="F45" s="120"/>
      <c r="G45" s="120"/>
      <c r="H45" s="90"/>
      <c r="I45" s="90"/>
      <c r="J45" s="87">
        <f t="shared" si="4"/>
        <v>0</v>
      </c>
    </row>
    <row r="46" spans="1:13" ht="15.75" thickBot="1" x14ac:dyDescent="0.3">
      <c r="A46" s="86"/>
      <c r="B46" s="121"/>
      <c r="C46" s="89"/>
      <c r="D46" s="120"/>
      <c r="E46" s="120"/>
      <c r="F46" s="120"/>
      <c r="G46" s="120"/>
      <c r="H46" s="90"/>
      <c r="I46" s="90"/>
      <c r="J46" s="87">
        <f t="shared" si="4"/>
        <v>0</v>
      </c>
      <c r="L46" s="134"/>
      <c r="M46" s="135"/>
    </row>
    <row r="47" spans="1:13" ht="15.75" thickBot="1" x14ac:dyDescent="0.3">
      <c r="A47" s="86" t="s">
        <v>4</v>
      </c>
      <c r="B47" s="124"/>
      <c r="C47" s="125"/>
      <c r="D47" s="126"/>
      <c r="E47" s="126"/>
      <c r="F47" s="126"/>
      <c r="G47" s="126"/>
      <c r="H47" s="126"/>
      <c r="I47" s="126"/>
      <c r="J47" s="94">
        <f>SUM(J41:J46)</f>
        <v>382.9</v>
      </c>
    </row>
    <row r="48" spans="1:13" x14ac:dyDescent="0.25">
      <c r="A48" s="109"/>
      <c r="B48" s="127"/>
      <c r="C48" s="128"/>
      <c r="D48" s="129"/>
      <c r="E48" s="129"/>
      <c r="F48" s="129"/>
      <c r="G48" s="129"/>
      <c r="H48" s="129"/>
      <c r="I48" s="129"/>
      <c r="J48" s="130"/>
    </row>
    <row r="49" spans="1:10" x14ac:dyDescent="0.25">
      <c r="A49" s="109"/>
      <c r="B49" s="127"/>
      <c r="C49" s="128"/>
      <c r="D49" s="129"/>
      <c r="E49" s="129"/>
      <c r="F49" s="129"/>
      <c r="G49" s="129"/>
      <c r="H49" s="129"/>
      <c r="I49" s="129"/>
      <c r="J49" s="130"/>
    </row>
    <row r="50" spans="1:10" ht="15.75" thickBot="1" x14ac:dyDescent="0.3">
      <c r="A50" s="84"/>
      <c r="B50" s="84"/>
      <c r="C50" s="84"/>
      <c r="J50" s="85"/>
    </row>
    <row r="51" spans="1:10" ht="45.75" thickBot="1" x14ac:dyDescent="0.3">
      <c r="A51" s="114" t="s">
        <v>49</v>
      </c>
      <c r="B51" s="86" t="s">
        <v>45</v>
      </c>
      <c r="C51" s="114" t="s">
        <v>41</v>
      </c>
      <c r="D51" s="114" t="s">
        <v>34</v>
      </c>
      <c r="E51" s="114" t="s">
        <v>35</v>
      </c>
      <c r="F51" s="114" t="s">
        <v>46</v>
      </c>
      <c r="G51" s="114" t="s">
        <v>47</v>
      </c>
      <c r="H51" s="86" t="s">
        <v>48</v>
      </c>
      <c r="I51" s="132" t="s">
        <v>42</v>
      </c>
      <c r="J51" s="115" t="s">
        <v>4</v>
      </c>
    </row>
    <row r="52" spans="1:10" ht="15.75" thickBot="1" x14ac:dyDescent="0.3">
      <c r="A52" s="121"/>
      <c r="B52" s="103"/>
      <c r="C52" s="103"/>
      <c r="D52" s="118"/>
      <c r="E52" s="136"/>
      <c r="F52" s="118"/>
      <c r="G52" s="118"/>
      <c r="H52" s="118"/>
      <c r="I52" s="118"/>
      <c r="J52" s="119">
        <f>SUM(D52:I52)</f>
        <v>0</v>
      </c>
    </row>
    <row r="53" spans="1:10" ht="15.75" thickBot="1" x14ac:dyDescent="0.3">
      <c r="A53" s="121"/>
      <c r="B53" s="103"/>
      <c r="C53" s="103"/>
      <c r="D53" s="118"/>
      <c r="E53" s="118"/>
      <c r="F53" s="118"/>
      <c r="G53" s="118"/>
      <c r="H53" s="118"/>
      <c r="I53" s="118"/>
      <c r="J53" s="119">
        <f t="shared" ref="J53:J65" si="5">SUM(D53:I53)</f>
        <v>0</v>
      </c>
    </row>
    <row r="54" spans="1:10" ht="15.75" thickBot="1" x14ac:dyDescent="0.3">
      <c r="A54" s="217"/>
      <c r="B54" s="103"/>
      <c r="C54" s="103"/>
      <c r="D54" s="118"/>
      <c r="E54" s="118"/>
      <c r="F54" s="118"/>
      <c r="G54" s="118"/>
      <c r="H54" s="118"/>
      <c r="I54" s="118"/>
      <c r="J54" s="119">
        <f t="shared" si="5"/>
        <v>0</v>
      </c>
    </row>
    <row r="55" spans="1:10" ht="15.75" thickBot="1" x14ac:dyDescent="0.3">
      <c r="A55" s="121"/>
      <c r="B55" s="103"/>
      <c r="C55" s="103"/>
      <c r="D55" s="118"/>
      <c r="E55" s="118"/>
      <c r="F55" s="118"/>
      <c r="G55" s="118"/>
      <c r="H55" s="118"/>
      <c r="I55" s="118"/>
      <c r="J55" s="119">
        <f t="shared" si="5"/>
        <v>0</v>
      </c>
    </row>
    <row r="56" spans="1:10" ht="15.75" thickBot="1" x14ac:dyDescent="0.3">
      <c r="A56" s="121"/>
      <c r="B56" s="103"/>
      <c r="C56" s="103"/>
      <c r="D56" s="118"/>
      <c r="E56" s="118"/>
      <c r="F56" s="118"/>
      <c r="G56" s="118"/>
      <c r="H56" s="118"/>
      <c r="I56" s="118"/>
      <c r="J56" s="119">
        <f t="shared" si="5"/>
        <v>0</v>
      </c>
    </row>
    <row r="57" spans="1:10" ht="15.75" thickBot="1" x14ac:dyDescent="0.3">
      <c r="A57" s="217"/>
      <c r="B57" s="103"/>
      <c r="C57" s="103"/>
      <c r="D57" s="118"/>
      <c r="E57" s="118"/>
      <c r="F57" s="118"/>
      <c r="G57" s="118"/>
      <c r="H57" s="118"/>
      <c r="I57" s="118"/>
      <c r="J57" s="119">
        <f t="shared" si="5"/>
        <v>0</v>
      </c>
    </row>
    <row r="58" spans="1:10" ht="15.75" thickBot="1" x14ac:dyDescent="0.3">
      <c r="A58" s="217"/>
      <c r="B58" s="103"/>
      <c r="C58" s="103"/>
      <c r="D58" s="118"/>
      <c r="E58" s="118"/>
      <c r="F58" s="118"/>
      <c r="G58" s="118"/>
      <c r="H58" s="118"/>
      <c r="I58" s="118"/>
      <c r="J58" s="119">
        <f t="shared" si="5"/>
        <v>0</v>
      </c>
    </row>
    <row r="59" spans="1:10" ht="15.75" thickBot="1" x14ac:dyDescent="0.3">
      <c r="A59" s="217"/>
      <c r="B59" s="103"/>
      <c r="C59" s="103"/>
      <c r="D59" s="118"/>
      <c r="E59" s="118"/>
      <c r="F59" s="118"/>
      <c r="G59" s="118"/>
      <c r="H59" s="118"/>
      <c r="I59" s="118"/>
      <c r="J59" s="119">
        <f t="shared" si="5"/>
        <v>0</v>
      </c>
    </row>
    <row r="60" spans="1:10" ht="15.75" thickBot="1" x14ac:dyDescent="0.3">
      <c r="A60" s="217"/>
      <c r="B60" s="103"/>
      <c r="C60" s="103"/>
      <c r="D60" s="118"/>
      <c r="E60" s="118"/>
      <c r="F60" s="118"/>
      <c r="G60" s="118"/>
      <c r="H60" s="118"/>
      <c r="I60" s="118"/>
      <c r="J60" s="119">
        <f t="shared" si="5"/>
        <v>0</v>
      </c>
    </row>
    <row r="61" spans="1:10" ht="15.75" thickBot="1" x14ac:dyDescent="0.3">
      <c r="A61" s="217"/>
      <c r="B61" s="103"/>
      <c r="C61" s="103"/>
      <c r="D61" s="118"/>
      <c r="E61" s="118"/>
      <c r="F61" s="118"/>
      <c r="G61" s="118"/>
      <c r="H61" s="118"/>
      <c r="I61" s="118"/>
      <c r="J61" s="119">
        <f t="shared" si="5"/>
        <v>0</v>
      </c>
    </row>
    <row r="62" spans="1:10" ht="15.75" thickBot="1" x14ac:dyDescent="0.3">
      <c r="A62" s="137"/>
      <c r="B62" s="103"/>
      <c r="C62" s="103"/>
      <c r="D62" s="118"/>
      <c r="E62" s="118"/>
      <c r="F62" s="118"/>
      <c r="G62" s="118"/>
      <c r="H62" s="118"/>
      <c r="I62" s="118"/>
      <c r="J62" s="119">
        <f t="shared" si="5"/>
        <v>0</v>
      </c>
    </row>
    <row r="63" spans="1:10" ht="15.75" thickBot="1" x14ac:dyDescent="0.3">
      <c r="A63" s="121"/>
      <c r="B63" s="103"/>
      <c r="C63" s="103"/>
      <c r="D63" s="118"/>
      <c r="F63" s="118"/>
      <c r="G63" s="118"/>
      <c r="H63" s="118"/>
      <c r="I63" s="118"/>
      <c r="J63" s="119">
        <f t="shared" si="5"/>
        <v>0</v>
      </c>
    </row>
    <row r="64" spans="1:10" ht="15.75" thickBot="1" x14ac:dyDescent="0.3">
      <c r="A64" s="121"/>
      <c r="B64" s="103"/>
      <c r="C64" s="103"/>
      <c r="D64" s="118"/>
      <c r="E64" s="118"/>
      <c r="F64" s="118"/>
      <c r="G64" s="118"/>
      <c r="H64" s="118"/>
      <c r="I64" s="118"/>
      <c r="J64" s="119">
        <f t="shared" si="5"/>
        <v>0</v>
      </c>
    </row>
    <row r="65" spans="1:10" ht="15.75" thickBot="1" x14ac:dyDescent="0.3">
      <c r="A65" s="121"/>
      <c r="B65" s="103"/>
      <c r="C65" s="103"/>
      <c r="D65" s="138"/>
      <c r="E65" s="138"/>
      <c r="F65" s="138"/>
      <c r="G65" s="138"/>
      <c r="H65" s="138"/>
      <c r="I65" s="138"/>
      <c r="J65" s="119">
        <f t="shared" si="5"/>
        <v>0</v>
      </c>
    </row>
    <row r="66" spans="1:10" ht="19.5" thickBot="1" x14ac:dyDescent="0.35">
      <c r="A66" s="105" t="s">
        <v>4</v>
      </c>
      <c r="B66" s="86"/>
      <c r="C66" s="106"/>
      <c r="D66" s="107">
        <f t="shared" ref="D66:J66" si="6">SUM(D52:D65)</f>
        <v>0</v>
      </c>
      <c r="E66" s="107">
        <f t="shared" si="6"/>
        <v>0</v>
      </c>
      <c r="F66" s="107">
        <f t="shared" si="6"/>
        <v>0</v>
      </c>
      <c r="G66" s="107">
        <f t="shared" si="6"/>
        <v>0</v>
      </c>
      <c r="H66" s="107">
        <f t="shared" si="6"/>
        <v>0</v>
      </c>
      <c r="I66" s="107">
        <f t="shared" si="6"/>
        <v>0</v>
      </c>
      <c r="J66" s="107">
        <f t="shared" si="6"/>
        <v>0</v>
      </c>
    </row>
    <row r="67" spans="1:10" ht="15.75" x14ac:dyDescent="0.25">
      <c r="A67" s="139"/>
      <c r="B67" s="139"/>
      <c r="C67" s="140"/>
      <c r="D67" s="141"/>
      <c r="E67" s="141"/>
      <c r="F67" s="141"/>
      <c r="G67" s="141"/>
      <c r="H67" s="141"/>
      <c r="I67" s="141"/>
      <c r="J67" s="141"/>
    </row>
    <row r="68" spans="1:10" ht="16.5" thickBot="1" x14ac:dyDescent="0.3">
      <c r="A68" s="139"/>
      <c r="B68" s="139"/>
      <c r="C68" s="140"/>
      <c r="D68" s="141"/>
      <c r="E68" s="141"/>
      <c r="F68" s="141"/>
      <c r="G68" s="141"/>
      <c r="H68" s="141"/>
      <c r="I68" s="141"/>
      <c r="J68" s="141"/>
    </row>
    <row r="69" spans="1:10" ht="19.5" thickBot="1" x14ac:dyDescent="0.35">
      <c r="A69" s="492" t="s">
        <v>50</v>
      </c>
      <c r="B69" s="493"/>
      <c r="C69" s="142"/>
      <c r="D69" s="143"/>
      <c r="E69" s="143"/>
      <c r="F69" s="143"/>
      <c r="G69" s="143"/>
      <c r="H69" s="143"/>
      <c r="I69" s="143"/>
      <c r="J69" s="108">
        <f>+J27+J66</f>
        <v>1131.5000000000002</v>
      </c>
    </row>
    <row r="70" spans="1:10" x14ac:dyDescent="0.25">
      <c r="A70" s="84"/>
      <c r="B70" s="84"/>
      <c r="C70" s="144"/>
      <c r="D70" s="85"/>
      <c r="E70" s="85"/>
      <c r="F70" s="85"/>
      <c r="G70" s="85"/>
      <c r="H70" s="85"/>
      <c r="I70" s="85"/>
      <c r="J70" s="85"/>
    </row>
    <row r="71" spans="1:10" x14ac:dyDescent="0.25">
      <c r="A71" s="84"/>
      <c r="B71" s="84"/>
      <c r="C71" s="144"/>
      <c r="D71" s="85"/>
      <c r="E71" s="85"/>
      <c r="F71" s="85"/>
      <c r="G71" s="85"/>
      <c r="H71" s="85"/>
      <c r="I71" s="85"/>
      <c r="J71" s="85"/>
    </row>
    <row r="72" spans="1:10" ht="16.5" thickBot="1" x14ac:dyDescent="0.3">
      <c r="A72" s="145" t="s">
        <v>51</v>
      </c>
      <c r="B72" s="84"/>
      <c r="C72" s="144"/>
      <c r="D72" s="85"/>
      <c r="E72" s="85"/>
      <c r="F72" s="85"/>
      <c r="G72" s="85"/>
      <c r="H72" s="85"/>
      <c r="I72" s="85"/>
      <c r="J72" s="85"/>
    </row>
    <row r="73" spans="1:10" ht="19.5" thickBot="1" x14ac:dyDescent="0.35">
      <c r="A73" s="146" t="s">
        <v>52</v>
      </c>
      <c r="B73" s="147"/>
      <c r="C73" s="148"/>
      <c r="D73" s="149"/>
      <c r="E73" s="149"/>
      <c r="F73" s="149"/>
      <c r="G73" s="149"/>
      <c r="H73" s="149"/>
      <c r="I73" s="149"/>
      <c r="J73" s="108"/>
    </row>
    <row r="74" spans="1:10" ht="19.5" thickBot="1" x14ac:dyDescent="0.35">
      <c r="A74" s="146" t="s">
        <v>53</v>
      </c>
      <c r="B74" s="147"/>
      <c r="C74" s="150"/>
      <c r="D74" s="149"/>
      <c r="E74" s="149"/>
      <c r="F74" s="149"/>
      <c r="G74" s="149"/>
      <c r="H74" s="149"/>
      <c r="I74" s="149"/>
      <c r="J74" s="108"/>
    </row>
    <row r="75" spans="1:10" ht="18.75" x14ac:dyDescent="0.3">
      <c r="A75" s="151"/>
      <c r="B75" s="151"/>
      <c r="C75" s="152"/>
      <c r="D75" s="153"/>
      <c r="E75" s="153"/>
      <c r="F75" s="153"/>
      <c r="G75" s="153"/>
      <c r="H75" s="153"/>
      <c r="I75" s="153"/>
      <c r="J75" s="111"/>
    </row>
    <row r="76" spans="1:10" ht="18.75" x14ac:dyDescent="0.3">
      <c r="A76" s="151"/>
      <c r="B76" s="151"/>
      <c r="C76" s="152"/>
      <c r="D76" s="153"/>
      <c r="E76" s="153"/>
      <c r="F76" s="153"/>
      <c r="G76" s="153"/>
      <c r="H76" s="153"/>
      <c r="I76" s="153"/>
      <c r="J76" s="111"/>
    </row>
    <row r="77" spans="1:10" ht="16.5" thickBot="1" x14ac:dyDescent="0.3">
      <c r="A77" s="154" t="s">
        <v>54</v>
      </c>
      <c r="B77" s="155"/>
      <c r="C77" s="144"/>
      <c r="D77" s="85"/>
      <c r="E77" s="85"/>
      <c r="F77" s="85"/>
      <c r="G77" s="85"/>
      <c r="H77" s="85"/>
      <c r="I77" s="85"/>
      <c r="J77" s="85"/>
    </row>
    <row r="78" spans="1:10" ht="19.5" thickBot="1" x14ac:dyDescent="0.35">
      <c r="A78" s="156" t="s">
        <v>55</v>
      </c>
      <c r="B78" s="157"/>
      <c r="C78" s="158"/>
      <c r="D78" s="159"/>
      <c r="E78" s="159"/>
      <c r="F78" s="159"/>
      <c r="G78" s="159"/>
      <c r="H78" s="159"/>
      <c r="I78" s="159"/>
      <c r="J78" s="160">
        <v>495</v>
      </c>
    </row>
    <row r="79" spans="1:10" x14ac:dyDescent="0.25">
      <c r="A79" s="161"/>
      <c r="B79" s="84"/>
      <c r="C79" s="144"/>
      <c r="D79" s="85"/>
      <c r="E79" s="85"/>
      <c r="F79" s="85"/>
      <c r="G79" s="85"/>
      <c r="H79" s="85"/>
      <c r="I79" s="85"/>
      <c r="J79" s="85"/>
    </row>
    <row r="80" spans="1:10" ht="16.5" thickBot="1" x14ac:dyDescent="0.3">
      <c r="A80" s="154"/>
      <c r="B80" s="155"/>
      <c r="C80" s="144"/>
      <c r="D80" s="85"/>
      <c r="E80" s="85"/>
      <c r="F80" s="85"/>
      <c r="G80" s="85"/>
      <c r="H80" s="85"/>
      <c r="I80" s="85"/>
      <c r="J80" s="85"/>
    </row>
    <row r="81" spans="1:10" ht="19.5" thickBot="1" x14ac:dyDescent="0.35">
      <c r="A81" s="156" t="s">
        <v>56</v>
      </c>
      <c r="B81" s="157"/>
      <c r="C81" s="162"/>
      <c r="D81" s="159"/>
      <c r="E81" s="159"/>
      <c r="F81" s="159"/>
      <c r="G81" s="159"/>
      <c r="H81" s="159"/>
      <c r="I81" s="159"/>
      <c r="J81" s="163"/>
    </row>
    <row r="82" spans="1:10" ht="15.75" thickBot="1" x14ac:dyDescent="0.3">
      <c r="A82" s="161"/>
      <c r="B82" s="84"/>
      <c r="C82" s="144"/>
      <c r="D82" s="85"/>
      <c r="E82" s="85"/>
      <c r="F82" s="85"/>
      <c r="G82" s="85"/>
      <c r="H82" s="85"/>
      <c r="I82" s="85"/>
      <c r="J82" s="85"/>
    </row>
    <row r="83" spans="1:10" ht="21.75" thickBot="1" x14ac:dyDescent="0.4">
      <c r="A83" s="494" t="s">
        <v>57</v>
      </c>
      <c r="B83" s="495"/>
      <c r="C83" s="164"/>
      <c r="D83" s="165"/>
      <c r="E83" s="165"/>
      <c r="F83" s="165"/>
      <c r="G83" s="165"/>
      <c r="H83" s="165"/>
      <c r="I83" s="165"/>
      <c r="J83" s="166">
        <f>SUM(J69:J82)</f>
        <v>1626.5000000000002</v>
      </c>
    </row>
    <row r="84" spans="1:10" x14ac:dyDescent="0.25">
      <c r="A84" s="84"/>
      <c r="B84" s="84"/>
      <c r="C84" s="144"/>
      <c r="D84" s="85"/>
      <c r="E84" s="85"/>
      <c r="F84" s="85"/>
      <c r="G84" s="85"/>
      <c r="H84" s="85"/>
      <c r="I84" s="85"/>
      <c r="J84" s="85"/>
    </row>
    <row r="85" spans="1:10" ht="21" x14ac:dyDescent="0.35">
      <c r="A85" s="491" t="s">
        <v>276</v>
      </c>
      <c r="B85" s="491"/>
      <c r="C85" s="491"/>
      <c r="D85" s="491"/>
      <c r="E85" s="491"/>
      <c r="F85" s="491"/>
      <c r="G85" s="491"/>
      <c r="H85" s="491"/>
      <c r="I85" s="491"/>
      <c r="J85" s="491"/>
    </row>
    <row r="86" spans="1:10" ht="21.75" thickBot="1" x14ac:dyDescent="0.4">
      <c r="A86" s="218" t="s">
        <v>10</v>
      </c>
      <c r="B86" s="218"/>
      <c r="C86" s="218"/>
      <c r="D86" s="218"/>
      <c r="E86" s="218"/>
      <c r="F86" s="218"/>
      <c r="G86" s="218"/>
      <c r="H86" s="218"/>
      <c r="I86" s="218"/>
      <c r="J86" s="168"/>
    </row>
    <row r="87" spans="1:10" ht="15.75" thickBot="1" x14ac:dyDescent="0.3">
      <c r="A87" s="169" t="s">
        <v>58</v>
      </c>
      <c r="B87" s="170" t="s">
        <v>59</v>
      </c>
      <c r="C87" s="496" t="s">
        <v>33</v>
      </c>
      <c r="D87" s="497"/>
      <c r="E87" s="497"/>
      <c r="F87" s="497"/>
      <c r="G87" s="497"/>
      <c r="H87" s="497"/>
      <c r="I87" s="498"/>
      <c r="J87" s="171" t="s">
        <v>4</v>
      </c>
    </row>
    <row r="88" spans="1:10" ht="15.75" thickBot="1" x14ac:dyDescent="0.3">
      <c r="A88" s="172" t="s">
        <v>97</v>
      </c>
      <c r="B88" s="173" t="s">
        <v>284</v>
      </c>
      <c r="C88" s="488" t="s">
        <v>285</v>
      </c>
      <c r="D88" s="489"/>
      <c r="E88" s="489"/>
      <c r="F88" s="489"/>
      <c r="G88" s="489"/>
      <c r="H88" s="489"/>
      <c r="I88" s="489"/>
      <c r="J88" s="104">
        <v>100</v>
      </c>
    </row>
    <row r="89" spans="1:10" ht="15.75" thickBot="1" x14ac:dyDescent="0.3">
      <c r="A89" s="121" t="s">
        <v>315</v>
      </c>
      <c r="B89" s="173" t="s">
        <v>316</v>
      </c>
      <c r="C89" s="488" t="s">
        <v>317</v>
      </c>
      <c r="D89" s="489"/>
      <c r="E89" s="489"/>
      <c r="F89" s="489"/>
      <c r="G89" s="489"/>
      <c r="H89" s="490"/>
      <c r="I89" s="490"/>
      <c r="J89" s="104">
        <v>18</v>
      </c>
    </row>
    <row r="90" spans="1:10" ht="15.75" thickBot="1" x14ac:dyDescent="0.3">
      <c r="A90" s="121" t="s">
        <v>302</v>
      </c>
      <c r="B90" s="173" t="s">
        <v>303</v>
      </c>
      <c r="C90" s="488" t="s">
        <v>304</v>
      </c>
      <c r="D90" s="489"/>
      <c r="E90" s="489"/>
      <c r="F90" s="489"/>
      <c r="G90" s="489"/>
      <c r="H90" s="490"/>
      <c r="I90" s="490"/>
      <c r="J90" s="104">
        <v>5.5</v>
      </c>
    </row>
    <row r="91" spans="1:10" ht="30.75" thickBot="1" x14ac:dyDescent="0.3">
      <c r="A91" s="121" t="s">
        <v>305</v>
      </c>
      <c r="B91" s="173" t="s">
        <v>306</v>
      </c>
      <c r="C91" s="504" t="s">
        <v>307</v>
      </c>
      <c r="D91" s="505"/>
      <c r="E91" s="505"/>
      <c r="F91" s="505"/>
      <c r="G91" s="505"/>
      <c r="H91" s="505"/>
      <c r="I91" s="505"/>
      <c r="J91" s="174">
        <v>53</v>
      </c>
    </row>
    <row r="92" spans="1:10" ht="15.75" thickBot="1" x14ac:dyDescent="0.3">
      <c r="A92" s="121" t="s">
        <v>308</v>
      </c>
      <c r="B92" s="173">
        <v>2526428901</v>
      </c>
      <c r="C92" s="488" t="s">
        <v>311</v>
      </c>
      <c r="D92" s="489"/>
      <c r="E92" s="489"/>
      <c r="F92" s="489"/>
      <c r="G92" s="489"/>
      <c r="H92" s="490"/>
      <c r="I92" s="490"/>
      <c r="J92" s="104">
        <v>411.5</v>
      </c>
    </row>
    <row r="93" spans="1:10" ht="15.75" thickBot="1" x14ac:dyDescent="0.3">
      <c r="A93" s="121" t="s">
        <v>309</v>
      </c>
      <c r="B93" s="173">
        <v>5526430417</v>
      </c>
      <c r="C93" s="488" t="s">
        <v>312</v>
      </c>
      <c r="D93" s="489"/>
      <c r="E93" s="489"/>
      <c r="F93" s="489"/>
      <c r="G93" s="489"/>
      <c r="H93" s="490"/>
      <c r="I93" s="490"/>
      <c r="J93" s="104">
        <v>196</v>
      </c>
    </row>
    <row r="94" spans="1:10" ht="15.75" thickBot="1" x14ac:dyDescent="0.3">
      <c r="A94" s="121" t="s">
        <v>310</v>
      </c>
      <c r="B94" s="173">
        <v>3526430697</v>
      </c>
      <c r="C94" s="488" t="s">
        <v>313</v>
      </c>
      <c r="D94" s="489"/>
      <c r="E94" s="489"/>
      <c r="F94" s="489"/>
      <c r="G94" s="489"/>
      <c r="H94" s="490"/>
      <c r="I94" s="490"/>
      <c r="J94" s="104">
        <v>569.1</v>
      </c>
    </row>
    <row r="95" spans="1:10" ht="15.75" thickBot="1" x14ac:dyDescent="0.3">
      <c r="A95" s="121"/>
      <c r="B95" s="173"/>
      <c r="C95" s="488"/>
      <c r="D95" s="489"/>
      <c r="E95" s="489"/>
      <c r="F95" s="489"/>
      <c r="G95" s="489"/>
      <c r="H95" s="490"/>
      <c r="I95" s="490"/>
      <c r="J95" s="104"/>
    </row>
    <row r="96" spans="1:10" ht="15.75" thickBot="1" x14ac:dyDescent="0.3">
      <c r="A96" s="121"/>
      <c r="B96" s="173"/>
      <c r="C96" s="488"/>
      <c r="D96" s="489"/>
      <c r="E96" s="489"/>
      <c r="F96" s="489"/>
      <c r="G96" s="489"/>
      <c r="H96" s="490"/>
      <c r="I96" s="490"/>
      <c r="J96" s="118"/>
    </row>
    <row r="97" spans="1:10" ht="15.75" thickBot="1" x14ac:dyDescent="0.3">
      <c r="A97" s="121"/>
      <c r="B97" s="173"/>
      <c r="C97" s="488"/>
      <c r="D97" s="489"/>
      <c r="E97" s="489"/>
      <c r="F97" s="489"/>
      <c r="G97" s="489"/>
      <c r="H97" s="490"/>
      <c r="I97" s="490"/>
      <c r="J97" s="118"/>
    </row>
    <row r="98" spans="1:10" ht="15.75" thickBot="1" x14ac:dyDescent="0.3">
      <c r="A98" s="121"/>
      <c r="B98" s="173"/>
      <c r="C98" s="488"/>
      <c r="D98" s="489"/>
      <c r="E98" s="489"/>
      <c r="F98" s="489"/>
      <c r="G98" s="489"/>
      <c r="H98" s="490"/>
      <c r="I98" s="490"/>
      <c r="J98" s="118"/>
    </row>
    <row r="99" spans="1:10" ht="19.5" thickBot="1" x14ac:dyDescent="0.35">
      <c r="A99" s="175" t="s">
        <v>60</v>
      </c>
      <c r="B99" s="492"/>
      <c r="C99" s="499"/>
      <c r="D99" s="499"/>
      <c r="E99" s="499"/>
      <c r="F99" s="499"/>
      <c r="G99" s="499"/>
      <c r="H99" s="499"/>
      <c r="I99" s="499"/>
      <c r="J99" s="176">
        <f>SUM(J88:J98)</f>
        <v>1353.1</v>
      </c>
    </row>
    <row r="100" spans="1:10" ht="18.75" x14ac:dyDescent="0.3">
      <c r="A100" s="2"/>
      <c r="B100" s="2"/>
      <c r="C100" s="177"/>
      <c r="D100" s="177"/>
      <c r="E100" s="177"/>
      <c r="F100" s="178"/>
      <c r="G100" s="177"/>
      <c r="H100" s="177"/>
      <c r="I100" s="177"/>
      <c r="J100" s="111"/>
    </row>
    <row r="101" spans="1:10" ht="18.75" x14ac:dyDescent="0.3">
      <c r="A101" s="2"/>
      <c r="B101" s="2"/>
      <c r="C101" s="177"/>
      <c r="D101" s="177"/>
      <c r="E101" s="177"/>
      <c r="F101" s="178"/>
      <c r="G101" s="177"/>
      <c r="H101" s="177"/>
      <c r="I101" s="177"/>
      <c r="J101" s="111"/>
    </row>
    <row r="102" spans="1:10" ht="18.75" x14ac:dyDescent="0.3">
      <c r="A102" s="139" t="s">
        <v>61</v>
      </c>
      <c r="B102" s="2"/>
      <c r="C102" s="84"/>
      <c r="D102" s="85"/>
      <c r="F102" s="85"/>
      <c r="J102" s="85"/>
    </row>
    <row r="103" spans="1:10" x14ac:dyDescent="0.25">
      <c r="A103" s="84" t="s">
        <v>62</v>
      </c>
      <c r="B103" s="144">
        <f>+J83</f>
        <v>1626.5000000000002</v>
      </c>
      <c r="C103" s="179"/>
      <c r="D103" s="85"/>
      <c r="F103" s="85"/>
      <c r="J103" s="85"/>
    </row>
    <row r="104" spans="1:10" ht="15.75" thickBot="1" x14ac:dyDescent="0.3">
      <c r="A104" s="84" t="s">
        <v>60</v>
      </c>
      <c r="B104" s="180">
        <f>+J99</f>
        <v>1353.1</v>
      </c>
      <c r="C104" s="181"/>
      <c r="D104" s="85"/>
      <c r="F104" s="85"/>
      <c r="G104" s="182"/>
      <c r="H104" s="182"/>
      <c r="I104" s="183"/>
      <c r="J104" s="183"/>
    </row>
    <row r="105" spans="1:10" ht="16.5" thickBot="1" x14ac:dyDescent="0.3">
      <c r="A105" s="139" t="s">
        <v>8</v>
      </c>
      <c r="B105" s="184">
        <f>++B103-B104</f>
        <v>273.40000000000032</v>
      </c>
      <c r="C105" s="185"/>
      <c r="D105" s="186"/>
      <c r="E105" s="41"/>
      <c r="F105" s="186"/>
      <c r="G105" s="187"/>
      <c r="H105" s="187"/>
      <c r="I105" s="85"/>
    </row>
    <row r="106" spans="1:10" ht="15.75" thickTop="1" x14ac:dyDescent="0.25"/>
  </sheetData>
  <mergeCells count="25">
    <mergeCell ref="B99:I99"/>
    <mergeCell ref="B17:B18"/>
    <mergeCell ref="A17:A18"/>
    <mergeCell ref="C96:I96"/>
    <mergeCell ref="C97:I97"/>
    <mergeCell ref="C98:I98"/>
    <mergeCell ref="C90:I90"/>
    <mergeCell ref="C91:I91"/>
    <mergeCell ref="C92:I92"/>
    <mergeCell ref="C93:I93"/>
    <mergeCell ref="C94:I94"/>
    <mergeCell ref="C95:I95"/>
    <mergeCell ref="C88:I88"/>
    <mergeCell ref="C89:I89"/>
    <mergeCell ref="A1:J1"/>
    <mergeCell ref="A69:B69"/>
    <mergeCell ref="A83:B83"/>
    <mergeCell ref="A85:J85"/>
    <mergeCell ref="C87:I87"/>
    <mergeCell ref="B32:B33"/>
    <mergeCell ref="A32:A33"/>
    <mergeCell ref="B19:B20"/>
    <mergeCell ref="A19:A20"/>
    <mergeCell ref="B8:B9"/>
    <mergeCell ref="A8:A9"/>
  </mergeCells>
  <phoneticPr fontId="15" type="noConversion"/>
  <pageMargins left="0.17" right="0.17" top="0.17" bottom="0.17" header="0.17" footer="0.17"/>
  <pageSetup paperSize="9" scale="46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8A37-AD3A-4639-A778-B9AE4A52E50E}">
  <sheetPr>
    <pageSetUpPr fitToPage="1"/>
  </sheetPr>
  <dimension ref="A1:N97"/>
  <sheetViews>
    <sheetView topLeftCell="A66" workbookViewId="0">
      <selection activeCell="C84" sqref="C84:I84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10" max="10" width="14" bestFit="1" customWidth="1"/>
    <col min="13" max="13" width="15.85546875" customWidth="1"/>
  </cols>
  <sheetData>
    <row r="1" spans="1:14" ht="21" x14ac:dyDescent="0.35">
      <c r="A1" s="491" t="s">
        <v>318</v>
      </c>
      <c r="B1" s="491"/>
      <c r="C1" s="491"/>
      <c r="D1" s="491"/>
      <c r="E1" s="491"/>
      <c r="F1" s="491"/>
      <c r="G1" s="491"/>
      <c r="H1" s="491"/>
      <c r="I1" s="491"/>
      <c r="J1" s="491"/>
    </row>
    <row r="2" spans="1:14" ht="15.75" thickBot="1" x14ac:dyDescent="0.3">
      <c r="A2" s="83"/>
      <c r="B2" s="84"/>
      <c r="C2" s="84"/>
      <c r="J2" s="85"/>
    </row>
    <row r="3" spans="1:14" ht="1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87" t="s">
        <v>4</v>
      </c>
    </row>
    <row r="4" spans="1:14" ht="15.75" thickBot="1" x14ac:dyDescent="0.3">
      <c r="A4" s="88" t="s">
        <v>78</v>
      </c>
      <c r="B4" s="88" t="s">
        <v>345</v>
      </c>
      <c r="C4" s="89">
        <v>46113</v>
      </c>
      <c r="D4" s="90"/>
      <c r="E4" s="90"/>
      <c r="F4" s="90"/>
      <c r="G4" s="90"/>
      <c r="H4" s="90"/>
      <c r="I4" s="90">
        <v>10</v>
      </c>
      <c r="J4" s="87">
        <f>SUM(D4:I4)</f>
        <v>10</v>
      </c>
    </row>
    <row r="5" spans="1:14" ht="15.75" thickBot="1" x14ac:dyDescent="0.3">
      <c r="A5" s="88"/>
      <c r="B5" s="88"/>
      <c r="C5" s="89"/>
      <c r="D5" s="90"/>
      <c r="E5" s="90"/>
      <c r="F5" s="90"/>
      <c r="G5" s="90"/>
      <c r="H5" s="90"/>
      <c r="I5" s="90"/>
      <c r="J5" s="87">
        <f t="shared" ref="J5:J21" si="0">SUM(D5:I5)</f>
        <v>0</v>
      </c>
    </row>
    <row r="6" spans="1:14" ht="15.75" thickBot="1" x14ac:dyDescent="0.3">
      <c r="A6" s="88" t="s">
        <v>74</v>
      </c>
      <c r="B6" s="88" t="s">
        <v>324</v>
      </c>
      <c r="C6" s="89">
        <v>46082</v>
      </c>
      <c r="D6" s="90"/>
      <c r="E6" s="90"/>
      <c r="F6" s="90"/>
      <c r="G6" s="90">
        <v>100</v>
      </c>
      <c r="H6" s="90"/>
      <c r="I6" s="90"/>
      <c r="J6" s="87">
        <f t="shared" si="0"/>
        <v>100</v>
      </c>
    </row>
    <row r="7" spans="1:14" ht="15.75" thickBot="1" x14ac:dyDescent="0.3">
      <c r="A7" s="88" t="s">
        <v>331</v>
      </c>
      <c r="B7" s="88" t="s">
        <v>333</v>
      </c>
      <c r="C7" s="89">
        <v>46082</v>
      </c>
      <c r="D7" s="90"/>
      <c r="E7" s="90"/>
      <c r="F7" s="90">
        <v>200</v>
      </c>
      <c r="G7" s="90"/>
      <c r="H7" s="90"/>
      <c r="I7" s="90"/>
      <c r="J7" s="87">
        <f t="shared" si="0"/>
        <v>200</v>
      </c>
    </row>
    <row r="8" spans="1:14" ht="15.75" thickBot="1" x14ac:dyDescent="0.3">
      <c r="A8" s="88" t="s">
        <v>38</v>
      </c>
      <c r="B8" s="88" t="s">
        <v>348</v>
      </c>
      <c r="C8" s="89">
        <v>46113</v>
      </c>
      <c r="D8" s="90"/>
      <c r="E8" s="90"/>
      <c r="F8" s="90"/>
      <c r="G8" s="90"/>
      <c r="H8" s="90">
        <v>72</v>
      </c>
      <c r="I8" s="90"/>
      <c r="J8" s="87">
        <f t="shared" si="0"/>
        <v>72</v>
      </c>
    </row>
    <row r="9" spans="1:14" ht="15.75" thickBot="1" x14ac:dyDescent="0.3">
      <c r="A9" s="88"/>
      <c r="B9" s="88"/>
      <c r="C9" s="89"/>
      <c r="D9" s="90"/>
      <c r="E9" s="90"/>
      <c r="F9" s="90"/>
      <c r="G9" s="90"/>
      <c r="H9" s="90"/>
      <c r="I9" s="90"/>
      <c r="J9" s="87">
        <f t="shared" si="0"/>
        <v>0</v>
      </c>
    </row>
    <row r="10" spans="1:14" ht="15.75" thickBot="1" x14ac:dyDescent="0.3">
      <c r="A10" s="88"/>
      <c r="B10" s="88"/>
      <c r="C10" s="89"/>
      <c r="D10" s="90"/>
      <c r="E10" s="90"/>
      <c r="F10" s="90"/>
      <c r="G10" s="90"/>
      <c r="H10" s="90"/>
      <c r="I10" s="90"/>
      <c r="J10" s="87">
        <f t="shared" si="0"/>
        <v>0</v>
      </c>
    </row>
    <row r="11" spans="1:14" ht="15.75" thickBot="1" x14ac:dyDescent="0.3">
      <c r="A11" s="253"/>
      <c r="B11" s="88"/>
      <c r="C11" s="89"/>
      <c r="D11" s="90"/>
      <c r="E11" s="90"/>
      <c r="F11" s="90"/>
      <c r="G11" s="90"/>
      <c r="H11" s="90"/>
      <c r="I11" s="90"/>
      <c r="J11" s="87">
        <f t="shared" si="0"/>
        <v>0</v>
      </c>
    </row>
    <row r="12" spans="1:14" ht="15.75" thickBot="1" x14ac:dyDescent="0.3">
      <c r="A12" s="253"/>
      <c r="B12" s="251"/>
      <c r="C12" s="89"/>
      <c r="D12" s="90"/>
      <c r="E12" s="90"/>
      <c r="F12" s="90"/>
      <c r="G12" s="90"/>
      <c r="H12" s="90"/>
      <c r="I12" s="93"/>
      <c r="J12" s="94">
        <f t="shared" si="0"/>
        <v>0</v>
      </c>
    </row>
    <row r="13" spans="1:14" ht="15.75" thickBot="1" x14ac:dyDescent="0.3">
      <c r="A13" s="88"/>
      <c r="B13" s="88"/>
      <c r="C13" s="89"/>
      <c r="D13" s="90"/>
      <c r="E13" s="90"/>
      <c r="F13" s="90"/>
      <c r="G13" s="90"/>
      <c r="H13" s="90"/>
      <c r="I13" s="90"/>
      <c r="J13" s="87">
        <f t="shared" si="0"/>
        <v>0</v>
      </c>
    </row>
    <row r="14" spans="1:14" ht="15.75" thickBot="1" x14ac:dyDescent="0.3">
      <c r="A14" s="95"/>
      <c r="B14" s="252"/>
      <c r="C14" s="89"/>
      <c r="D14" s="90"/>
      <c r="E14" s="90"/>
      <c r="F14" s="90"/>
      <c r="G14" s="90"/>
      <c r="H14" s="90"/>
      <c r="I14" s="90"/>
      <c r="J14" s="87">
        <f t="shared" si="0"/>
        <v>0</v>
      </c>
    </row>
    <row r="15" spans="1:14" ht="15.75" thickBot="1" x14ac:dyDescent="0.3">
      <c r="A15" s="97"/>
      <c r="B15" s="95"/>
      <c r="C15" s="89"/>
      <c r="D15" s="90"/>
      <c r="E15" s="90"/>
      <c r="F15" s="90"/>
      <c r="G15" s="90"/>
      <c r="H15" s="90"/>
      <c r="I15" s="90"/>
      <c r="J15" s="87">
        <f t="shared" si="0"/>
        <v>0</v>
      </c>
      <c r="N15">
        <v>0</v>
      </c>
    </row>
    <row r="16" spans="1:14" ht="15.75" thickBot="1" x14ac:dyDescent="0.3">
      <c r="A16" s="254"/>
      <c r="B16" s="254"/>
      <c r="C16" s="89"/>
      <c r="D16" s="90"/>
      <c r="E16" s="90"/>
      <c r="F16" s="90"/>
      <c r="G16" s="90"/>
      <c r="H16" s="90"/>
      <c r="I16" s="90"/>
      <c r="J16" s="87">
        <f t="shared" si="0"/>
        <v>0</v>
      </c>
    </row>
    <row r="17" spans="1:13" ht="15.75" thickBot="1" x14ac:dyDescent="0.3">
      <c r="A17" s="99"/>
      <c r="B17" s="254"/>
      <c r="C17" s="89"/>
      <c r="D17" s="90"/>
      <c r="E17" s="90"/>
      <c r="F17" s="90"/>
      <c r="G17" s="90"/>
      <c r="H17" s="90"/>
      <c r="I17" s="90"/>
      <c r="J17" s="87">
        <f t="shared" si="0"/>
        <v>0</v>
      </c>
    </row>
    <row r="18" spans="1:13" ht="15.75" thickBot="1" x14ac:dyDescent="0.3">
      <c r="A18" s="99"/>
      <c r="B18" s="254"/>
      <c r="C18" s="89"/>
      <c r="D18" s="90"/>
      <c r="E18" s="90"/>
      <c r="F18" s="90"/>
      <c r="G18" s="90"/>
      <c r="H18" s="90"/>
      <c r="I18" s="90"/>
      <c r="J18" s="87">
        <f t="shared" si="0"/>
        <v>0</v>
      </c>
    </row>
    <row r="19" spans="1:13" ht="15.75" thickBot="1" x14ac:dyDescent="0.3">
      <c r="A19" s="100"/>
      <c r="B19" s="254"/>
      <c r="C19" s="89"/>
      <c r="D19" s="90"/>
      <c r="E19" s="90"/>
      <c r="F19" s="90"/>
      <c r="G19" s="90"/>
      <c r="H19" s="90"/>
      <c r="I19" s="90"/>
      <c r="J19" s="87">
        <f t="shared" si="0"/>
        <v>0</v>
      </c>
    </row>
    <row r="20" spans="1:13" ht="15.75" thickBot="1" x14ac:dyDescent="0.3">
      <c r="A20" s="257"/>
      <c r="B20" s="257"/>
      <c r="C20" s="89"/>
      <c r="D20" s="90"/>
      <c r="E20" s="90"/>
      <c r="F20" s="90"/>
      <c r="G20" s="90"/>
      <c r="H20" s="90"/>
      <c r="I20" s="90"/>
      <c r="J20" s="87">
        <f t="shared" si="0"/>
        <v>0</v>
      </c>
    </row>
    <row r="21" spans="1:13" ht="15.75" thickBot="1" x14ac:dyDescent="0.3">
      <c r="A21" s="254"/>
      <c r="B21" s="256"/>
      <c r="C21" s="103"/>
      <c r="D21" s="104"/>
      <c r="E21" s="104"/>
      <c r="F21" s="104"/>
      <c r="G21" s="104"/>
      <c r="H21" s="104"/>
      <c r="I21" s="104"/>
      <c r="J21" s="87">
        <f t="shared" si="0"/>
        <v>0</v>
      </c>
    </row>
    <row r="22" spans="1:13" ht="19.5" thickBot="1" x14ac:dyDescent="0.35">
      <c r="A22" s="105" t="s">
        <v>4</v>
      </c>
      <c r="B22" s="86"/>
      <c r="C22" s="106"/>
      <c r="D22" s="107">
        <f t="shared" ref="D22:I22" si="1">SUM(D4:D21)</f>
        <v>0</v>
      </c>
      <c r="E22" s="107">
        <f t="shared" si="1"/>
        <v>0</v>
      </c>
      <c r="F22" s="107">
        <f t="shared" si="1"/>
        <v>200</v>
      </c>
      <c r="G22" s="107">
        <f t="shared" si="1"/>
        <v>100</v>
      </c>
      <c r="H22" s="107">
        <f t="shared" si="1"/>
        <v>72</v>
      </c>
      <c r="I22" s="107">
        <f t="shared" si="1"/>
        <v>10</v>
      </c>
      <c r="J22" s="108">
        <f>SUM(J4:J21)</f>
        <v>382</v>
      </c>
    </row>
    <row r="23" spans="1:13" ht="19.5" thickBot="1" x14ac:dyDescent="0.35">
      <c r="A23" s="2"/>
      <c r="B23" s="109"/>
      <c r="C23" s="110"/>
      <c r="D23" s="111"/>
      <c r="E23" s="111"/>
      <c r="F23" s="111"/>
      <c r="G23" s="111"/>
      <c r="H23" s="111"/>
      <c r="I23" s="111"/>
      <c r="J23" s="111"/>
    </row>
    <row r="24" spans="1:13" ht="24" thickBot="1" x14ac:dyDescent="0.4">
      <c r="A24" s="112" t="s">
        <v>40</v>
      </c>
      <c r="B24" s="109"/>
      <c r="C24" s="110"/>
      <c r="D24" s="111"/>
      <c r="E24" s="111"/>
      <c r="F24" s="111"/>
      <c r="G24" s="111"/>
      <c r="H24" s="111"/>
      <c r="I24" s="111"/>
      <c r="J24" s="111"/>
    </row>
    <row r="25" spans="1:13" ht="15.75" thickBot="1" x14ac:dyDescent="0.3">
      <c r="A25" s="113" t="s">
        <v>3</v>
      </c>
      <c r="B25" s="86" t="s">
        <v>32</v>
      </c>
      <c r="C25" s="114" t="s">
        <v>41</v>
      </c>
      <c r="D25" s="114" t="s">
        <v>34</v>
      </c>
      <c r="E25" s="114" t="s">
        <v>35</v>
      </c>
      <c r="F25" s="86" t="s">
        <v>36</v>
      </c>
      <c r="G25" s="86" t="s">
        <v>37</v>
      </c>
      <c r="H25" s="86" t="s">
        <v>42</v>
      </c>
      <c r="I25" s="86" t="s">
        <v>39</v>
      </c>
      <c r="J25" s="115" t="s">
        <v>4</v>
      </c>
    </row>
    <row r="26" spans="1:13" ht="15.75" thickBot="1" x14ac:dyDescent="0.3">
      <c r="A26" s="257" t="s">
        <v>325</v>
      </c>
      <c r="B26" s="103" t="s">
        <v>326</v>
      </c>
      <c r="C26" s="103">
        <v>46113</v>
      </c>
      <c r="D26" s="116"/>
      <c r="E26" s="117"/>
      <c r="F26" s="116"/>
      <c r="G26" s="116">
        <v>200</v>
      </c>
      <c r="H26" s="118"/>
      <c r="I26" s="118"/>
      <c r="J26" s="119">
        <f>SUM(D26:I26)</f>
        <v>200</v>
      </c>
    </row>
    <row r="27" spans="1:13" ht="15.75" thickBot="1" x14ac:dyDescent="0.3">
      <c r="A27" s="88" t="s">
        <v>331</v>
      </c>
      <c r="B27" s="88" t="s">
        <v>332</v>
      </c>
      <c r="C27" s="89">
        <v>46082</v>
      </c>
      <c r="D27" s="116"/>
      <c r="E27" s="116"/>
      <c r="F27" s="116">
        <v>400</v>
      </c>
      <c r="G27" s="116"/>
      <c r="H27" s="118"/>
      <c r="I27" s="118"/>
      <c r="J27" s="119">
        <f t="shared" ref="J27:J29" si="2">SUM(D27:I27)</f>
        <v>400</v>
      </c>
    </row>
    <row r="28" spans="1:13" ht="30.75" thickBot="1" x14ac:dyDescent="0.3">
      <c r="A28" s="257" t="s">
        <v>346</v>
      </c>
      <c r="B28" s="254" t="s">
        <v>347</v>
      </c>
      <c r="C28" s="103">
        <v>46113</v>
      </c>
      <c r="D28" s="120"/>
      <c r="E28" s="120"/>
      <c r="F28" s="120"/>
      <c r="G28" s="120">
        <v>30</v>
      </c>
      <c r="H28" s="90"/>
      <c r="I28" s="90"/>
      <c r="J28" s="119">
        <f t="shared" si="2"/>
        <v>30</v>
      </c>
    </row>
    <row r="29" spans="1:13" ht="15.75" thickBot="1" x14ac:dyDescent="0.3">
      <c r="A29" s="86"/>
      <c r="B29" s="121"/>
      <c r="C29" s="89"/>
      <c r="D29" s="120"/>
      <c r="E29" s="120"/>
      <c r="F29" s="120"/>
      <c r="G29" s="120"/>
      <c r="H29" s="90"/>
      <c r="I29" s="90"/>
      <c r="J29" s="119">
        <f t="shared" si="2"/>
        <v>0</v>
      </c>
      <c r="L29" s="122" t="s">
        <v>43</v>
      </c>
      <c r="M29" s="123">
        <f>J30+J38</f>
        <v>756</v>
      </c>
    </row>
    <row r="30" spans="1:13" ht="15.75" thickBot="1" x14ac:dyDescent="0.3">
      <c r="A30" s="86" t="s">
        <v>4</v>
      </c>
      <c r="B30" s="124"/>
      <c r="C30" s="125"/>
      <c r="D30" s="126"/>
      <c r="E30" s="126"/>
      <c r="F30" s="126"/>
      <c r="G30" s="126"/>
      <c r="H30" s="126"/>
      <c r="I30" s="126"/>
      <c r="J30" s="94">
        <f>SUM(J26:J29)</f>
        <v>630</v>
      </c>
    </row>
    <row r="31" spans="1:13" ht="15.75" thickBot="1" x14ac:dyDescent="0.3">
      <c r="A31" s="109"/>
      <c r="B31" s="127"/>
      <c r="C31" s="128"/>
      <c r="D31" s="129"/>
      <c r="E31" s="129"/>
      <c r="F31" s="129"/>
      <c r="G31" s="129"/>
      <c r="H31" s="129"/>
      <c r="I31" s="129"/>
      <c r="J31" s="130"/>
    </row>
    <row r="32" spans="1:13" ht="24" thickBot="1" x14ac:dyDescent="0.4">
      <c r="A32" s="112" t="s">
        <v>40</v>
      </c>
      <c r="B32" s="109"/>
      <c r="C32" s="110"/>
      <c r="D32" s="111"/>
      <c r="E32" s="111"/>
      <c r="F32" s="111"/>
      <c r="G32" s="111"/>
      <c r="H32" s="111"/>
      <c r="I32" s="111"/>
      <c r="J32" s="111"/>
    </row>
    <row r="33" spans="1:13" ht="45.75" thickBot="1" x14ac:dyDescent="0.3">
      <c r="A33" s="131" t="s">
        <v>44</v>
      </c>
      <c r="B33" s="86" t="s">
        <v>45</v>
      </c>
      <c r="C33" s="114" t="s">
        <v>41</v>
      </c>
      <c r="D33" s="114" t="s">
        <v>34</v>
      </c>
      <c r="E33" s="114" t="s">
        <v>35</v>
      </c>
      <c r="F33" s="114" t="s">
        <v>46</v>
      </c>
      <c r="G33" s="114" t="s">
        <v>47</v>
      </c>
      <c r="H33" s="114" t="s">
        <v>42</v>
      </c>
      <c r="I33" s="132" t="s">
        <v>48</v>
      </c>
      <c r="J33" s="115" t="s">
        <v>4</v>
      </c>
    </row>
    <row r="34" spans="1:13" ht="15.75" thickBot="1" x14ac:dyDescent="0.3">
      <c r="A34" s="500" t="s">
        <v>322</v>
      </c>
      <c r="B34" s="500" t="s">
        <v>323</v>
      </c>
      <c r="C34" s="89">
        <v>46054</v>
      </c>
      <c r="D34" s="90"/>
      <c r="E34" s="90"/>
      <c r="F34" s="120">
        <v>56</v>
      </c>
      <c r="G34" s="120">
        <v>5</v>
      </c>
      <c r="H34" s="90"/>
      <c r="I34" s="90"/>
      <c r="J34" s="87">
        <f t="shared" ref="J34:J37" si="3">SUM(D34:I34)</f>
        <v>61</v>
      </c>
    </row>
    <row r="35" spans="1:13" ht="15.75" thickBot="1" x14ac:dyDescent="0.3">
      <c r="A35" s="501"/>
      <c r="B35" s="501"/>
      <c r="C35" s="89">
        <v>46082</v>
      </c>
      <c r="D35" s="116"/>
      <c r="E35" s="116"/>
      <c r="F35" s="116">
        <v>60</v>
      </c>
      <c r="G35" s="116">
        <v>5</v>
      </c>
      <c r="H35" s="118"/>
      <c r="I35" s="118"/>
      <c r="J35" s="119">
        <f t="shared" si="3"/>
        <v>65</v>
      </c>
    </row>
    <row r="36" spans="1:13" ht="15.75" thickBot="1" x14ac:dyDescent="0.3">
      <c r="A36" s="257"/>
      <c r="B36" s="254"/>
      <c r="C36" s="89"/>
      <c r="D36" s="120"/>
      <c r="E36" s="120"/>
      <c r="F36" s="120"/>
      <c r="G36" s="120"/>
      <c r="H36" s="90"/>
      <c r="I36" s="90"/>
      <c r="J36" s="119">
        <f t="shared" si="3"/>
        <v>0</v>
      </c>
    </row>
    <row r="37" spans="1:13" ht="15.75" thickBot="1" x14ac:dyDescent="0.3">
      <c r="A37" s="86"/>
      <c r="B37" s="121"/>
      <c r="C37" s="89"/>
      <c r="D37" s="120"/>
      <c r="E37" s="120"/>
      <c r="F37" s="120"/>
      <c r="G37" s="120"/>
      <c r="H37" s="90"/>
      <c r="I37" s="90"/>
      <c r="J37" s="119">
        <f t="shared" si="3"/>
        <v>0</v>
      </c>
      <c r="L37" s="134"/>
      <c r="M37" s="135"/>
    </row>
    <row r="38" spans="1:13" ht="15.75" thickBot="1" x14ac:dyDescent="0.3">
      <c r="A38" s="86" t="s">
        <v>4</v>
      </c>
      <c r="B38" s="124"/>
      <c r="C38" s="125"/>
      <c r="D38" s="126"/>
      <c r="E38" s="126"/>
      <c r="F38" s="126"/>
      <c r="G38" s="126"/>
      <c r="H38" s="126"/>
      <c r="I38" s="126"/>
      <c r="J38" s="94">
        <f>SUM(J34:J37)</f>
        <v>126</v>
      </c>
    </row>
    <row r="39" spans="1:13" x14ac:dyDescent="0.25">
      <c r="A39" s="109"/>
      <c r="B39" s="127"/>
      <c r="C39" s="128"/>
      <c r="D39" s="129"/>
      <c r="E39" s="129"/>
      <c r="F39" s="129"/>
      <c r="G39" s="129"/>
      <c r="H39" s="129"/>
      <c r="I39" s="129"/>
      <c r="J39" s="130"/>
    </row>
    <row r="40" spans="1:13" x14ac:dyDescent="0.25">
      <c r="A40" s="109"/>
      <c r="B40" s="127"/>
      <c r="C40" s="128"/>
      <c r="D40" s="129"/>
      <c r="E40" s="129"/>
      <c r="F40" s="129"/>
      <c r="G40" s="129"/>
      <c r="H40" s="129"/>
      <c r="I40" s="129"/>
      <c r="J40" s="130"/>
    </row>
    <row r="41" spans="1:13" ht="15.75" thickBot="1" x14ac:dyDescent="0.3">
      <c r="A41" s="84"/>
      <c r="B41" s="84"/>
      <c r="C41" s="84"/>
      <c r="J41" s="85"/>
    </row>
    <row r="42" spans="1:13" ht="45.75" thickBot="1" x14ac:dyDescent="0.3">
      <c r="A42" s="114" t="s">
        <v>49</v>
      </c>
      <c r="B42" s="86" t="s">
        <v>45</v>
      </c>
      <c r="C42" s="114" t="s">
        <v>41</v>
      </c>
      <c r="D42" s="114" t="s">
        <v>34</v>
      </c>
      <c r="E42" s="114" t="s">
        <v>35</v>
      </c>
      <c r="F42" s="114" t="s">
        <v>46</v>
      </c>
      <c r="G42" s="114" t="s">
        <v>47</v>
      </c>
      <c r="H42" s="86" t="s">
        <v>48</v>
      </c>
      <c r="I42" s="132" t="s">
        <v>338</v>
      </c>
      <c r="J42" s="115" t="s">
        <v>4</v>
      </c>
    </row>
    <row r="43" spans="1:13" ht="15.75" thickBot="1" x14ac:dyDescent="0.3">
      <c r="A43" s="121" t="s">
        <v>334</v>
      </c>
      <c r="B43" s="103" t="s">
        <v>335</v>
      </c>
      <c r="C43" s="103"/>
      <c r="D43" s="118"/>
      <c r="E43" s="136"/>
      <c r="F43" s="118"/>
      <c r="G43" s="118"/>
      <c r="H43" s="118"/>
      <c r="I43" s="118"/>
      <c r="J43" s="119">
        <f>SUM(D43:I43)</f>
        <v>0</v>
      </c>
    </row>
    <row r="44" spans="1:13" ht="15.75" thickBot="1" x14ac:dyDescent="0.3">
      <c r="A44" s="485" t="s">
        <v>336</v>
      </c>
      <c r="B44" s="512" t="s">
        <v>337</v>
      </c>
      <c r="C44" s="103">
        <v>45870</v>
      </c>
      <c r="D44" s="118"/>
      <c r="E44" s="118"/>
      <c r="F44" s="118"/>
      <c r="G44" s="118"/>
      <c r="H44" s="118"/>
      <c r="I44" s="118">
        <v>15</v>
      </c>
      <c r="J44" s="119">
        <f t="shared" ref="J44:J59" si="4">SUM(D44:I44)</f>
        <v>15</v>
      </c>
    </row>
    <row r="45" spans="1:13" ht="15.75" thickBot="1" x14ac:dyDescent="0.3">
      <c r="A45" s="486"/>
      <c r="B45" s="519"/>
      <c r="C45" s="103">
        <v>46023</v>
      </c>
      <c r="D45" s="118"/>
      <c r="E45" s="118"/>
      <c r="F45" s="118">
        <v>60</v>
      </c>
      <c r="G45" s="118">
        <v>5</v>
      </c>
      <c r="H45" s="118">
        <v>10</v>
      </c>
      <c r="I45" s="118"/>
      <c r="J45" s="119">
        <f t="shared" si="4"/>
        <v>75</v>
      </c>
    </row>
    <row r="46" spans="1:13" ht="15.75" thickBot="1" x14ac:dyDescent="0.3">
      <c r="A46" s="486"/>
      <c r="B46" s="519"/>
      <c r="C46" s="103">
        <v>46054</v>
      </c>
      <c r="D46" s="118"/>
      <c r="E46" s="118"/>
      <c r="F46" s="118">
        <v>56</v>
      </c>
      <c r="G46" s="118">
        <v>5</v>
      </c>
      <c r="H46" s="118"/>
      <c r="I46" s="118"/>
      <c r="J46" s="119">
        <f t="shared" si="4"/>
        <v>61</v>
      </c>
    </row>
    <row r="47" spans="1:13" ht="15.75" thickBot="1" x14ac:dyDescent="0.3">
      <c r="A47" s="486"/>
      <c r="B47" s="519"/>
      <c r="C47" s="103">
        <v>46082</v>
      </c>
      <c r="D47" s="118"/>
      <c r="E47" s="118"/>
      <c r="F47" s="118">
        <v>60</v>
      </c>
      <c r="G47" s="118">
        <v>5</v>
      </c>
      <c r="H47" s="118"/>
      <c r="I47" s="118"/>
      <c r="J47" s="119">
        <f t="shared" si="4"/>
        <v>65</v>
      </c>
    </row>
    <row r="48" spans="1:13" ht="15.75" thickBot="1" x14ac:dyDescent="0.3">
      <c r="A48" s="486"/>
      <c r="B48" s="513"/>
      <c r="C48" s="103">
        <v>46113</v>
      </c>
      <c r="D48" s="118"/>
      <c r="E48" s="118"/>
      <c r="F48" s="118">
        <v>60</v>
      </c>
      <c r="G48" s="118">
        <v>5</v>
      </c>
      <c r="H48" s="118"/>
      <c r="I48" s="118"/>
      <c r="J48" s="119">
        <f t="shared" si="4"/>
        <v>65</v>
      </c>
    </row>
    <row r="49" spans="1:10" ht="15.75" thickBot="1" x14ac:dyDescent="0.3">
      <c r="A49" s="486"/>
      <c r="B49" s="512" t="s">
        <v>339</v>
      </c>
      <c r="C49" s="103">
        <v>46143</v>
      </c>
      <c r="D49" s="118"/>
      <c r="E49" s="118"/>
      <c r="F49" s="118">
        <v>60</v>
      </c>
      <c r="G49" s="118">
        <v>5</v>
      </c>
      <c r="H49" s="118"/>
      <c r="I49" s="118"/>
      <c r="J49" s="119">
        <f t="shared" si="4"/>
        <v>65</v>
      </c>
    </row>
    <row r="50" spans="1:10" ht="15.75" thickBot="1" x14ac:dyDescent="0.3">
      <c r="A50" s="487"/>
      <c r="B50" s="513"/>
      <c r="C50" s="103">
        <v>46174</v>
      </c>
      <c r="D50" s="118"/>
      <c r="E50" s="118"/>
      <c r="F50" s="118">
        <v>60</v>
      </c>
      <c r="G50" s="118">
        <v>5</v>
      </c>
      <c r="H50" s="118"/>
      <c r="I50" s="118"/>
      <c r="J50" s="119">
        <f t="shared" si="4"/>
        <v>65</v>
      </c>
    </row>
    <row r="51" spans="1:10" ht="15.75" thickBot="1" x14ac:dyDescent="0.3">
      <c r="A51" s="485" t="s">
        <v>340</v>
      </c>
      <c r="B51" s="512" t="s">
        <v>341</v>
      </c>
      <c r="C51" s="103">
        <v>46023</v>
      </c>
      <c r="D51" s="118"/>
      <c r="E51" s="118"/>
      <c r="F51" s="118">
        <v>60</v>
      </c>
      <c r="G51" s="118">
        <v>5</v>
      </c>
      <c r="H51" s="118">
        <v>10</v>
      </c>
      <c r="I51" s="118"/>
      <c r="J51" s="119">
        <f t="shared" si="4"/>
        <v>75</v>
      </c>
    </row>
    <row r="52" spans="1:10" ht="15.75" thickBot="1" x14ac:dyDescent="0.3">
      <c r="A52" s="486"/>
      <c r="B52" s="519"/>
      <c r="C52" s="103">
        <v>46054</v>
      </c>
      <c r="D52" s="118"/>
      <c r="E52" s="118"/>
      <c r="F52" s="118">
        <v>56</v>
      </c>
      <c r="G52" s="118">
        <v>5</v>
      </c>
      <c r="H52" s="118"/>
      <c r="I52" s="118"/>
      <c r="J52" s="119">
        <f t="shared" si="4"/>
        <v>61</v>
      </c>
    </row>
    <row r="53" spans="1:10" ht="15.75" thickBot="1" x14ac:dyDescent="0.3">
      <c r="A53" s="486"/>
      <c r="B53" s="519"/>
      <c r="C53" s="103">
        <v>46082</v>
      </c>
      <c r="D53" s="118"/>
      <c r="E53" s="118"/>
      <c r="F53" s="118">
        <v>60</v>
      </c>
      <c r="G53" s="118">
        <v>5</v>
      </c>
      <c r="H53" s="118"/>
      <c r="I53" s="118"/>
      <c r="J53" s="119">
        <f t="shared" si="4"/>
        <v>65</v>
      </c>
    </row>
    <row r="54" spans="1:10" ht="15.75" thickBot="1" x14ac:dyDescent="0.3">
      <c r="A54" s="486"/>
      <c r="B54" s="513"/>
      <c r="C54" s="103">
        <v>46113</v>
      </c>
      <c r="D54" s="118"/>
      <c r="F54" s="118">
        <v>60</v>
      </c>
      <c r="G54" s="118">
        <v>5</v>
      </c>
      <c r="H54" s="118"/>
      <c r="I54" s="118"/>
      <c r="J54" s="119">
        <f t="shared" si="4"/>
        <v>65</v>
      </c>
    </row>
    <row r="55" spans="1:10" ht="15.75" thickBot="1" x14ac:dyDescent="0.3">
      <c r="A55" s="486"/>
      <c r="B55" s="512" t="s">
        <v>342</v>
      </c>
      <c r="C55" s="103">
        <v>46143</v>
      </c>
      <c r="D55" s="118"/>
      <c r="E55" s="118"/>
      <c r="F55" s="118">
        <v>60</v>
      </c>
      <c r="G55" s="118">
        <v>5</v>
      </c>
      <c r="H55" s="118"/>
      <c r="I55" s="118"/>
      <c r="J55" s="119">
        <f t="shared" si="4"/>
        <v>65</v>
      </c>
    </row>
    <row r="56" spans="1:10" ht="15.75" thickBot="1" x14ac:dyDescent="0.3">
      <c r="A56" s="487"/>
      <c r="B56" s="513"/>
      <c r="C56" s="103">
        <v>46174</v>
      </c>
      <c r="D56" s="138"/>
      <c r="E56" s="138"/>
      <c r="F56" s="118">
        <v>60</v>
      </c>
      <c r="G56" s="118">
        <v>5</v>
      </c>
      <c r="H56" s="138"/>
      <c r="I56" s="138"/>
      <c r="J56" s="119">
        <f t="shared" si="4"/>
        <v>65</v>
      </c>
    </row>
    <row r="57" spans="1:10" ht="15.75" thickBot="1" x14ac:dyDescent="0.3">
      <c r="A57" s="121"/>
      <c r="B57" s="103"/>
      <c r="C57" s="103"/>
      <c r="D57" s="138"/>
      <c r="E57" s="138"/>
      <c r="F57" s="138"/>
      <c r="G57" s="138"/>
      <c r="H57" s="138"/>
      <c r="I57" s="138"/>
      <c r="J57" s="119">
        <f t="shared" si="4"/>
        <v>0</v>
      </c>
    </row>
    <row r="58" spans="1:10" ht="15.75" thickBot="1" x14ac:dyDescent="0.3">
      <c r="A58" s="121"/>
      <c r="B58" s="103"/>
      <c r="C58" s="103"/>
      <c r="D58" s="138"/>
      <c r="E58" s="138"/>
      <c r="F58" s="138"/>
      <c r="G58" s="138"/>
      <c r="H58" s="138"/>
      <c r="I58" s="138"/>
      <c r="J58" s="119">
        <f t="shared" si="4"/>
        <v>0</v>
      </c>
    </row>
    <row r="59" spans="1:10" ht="15.75" thickBot="1" x14ac:dyDescent="0.3">
      <c r="A59" s="121"/>
      <c r="B59" s="103"/>
      <c r="C59" s="103"/>
      <c r="D59" s="138"/>
      <c r="E59" s="138"/>
      <c r="F59" s="138"/>
      <c r="G59" s="138"/>
      <c r="H59" s="138"/>
      <c r="I59" s="138"/>
      <c r="J59" s="119">
        <f t="shared" si="4"/>
        <v>0</v>
      </c>
    </row>
    <row r="60" spans="1:10" ht="19.5" thickBot="1" x14ac:dyDescent="0.35">
      <c r="A60" s="105" t="s">
        <v>4</v>
      </c>
      <c r="B60" s="86"/>
      <c r="C60" s="106"/>
      <c r="D60" s="107">
        <f t="shared" ref="D60:J60" si="5">SUM(D43:D59)</f>
        <v>0</v>
      </c>
      <c r="E60" s="107">
        <f t="shared" si="5"/>
        <v>0</v>
      </c>
      <c r="F60" s="107">
        <f t="shared" si="5"/>
        <v>712</v>
      </c>
      <c r="G60" s="107">
        <f t="shared" si="5"/>
        <v>60</v>
      </c>
      <c r="H60" s="107">
        <f t="shared" si="5"/>
        <v>20</v>
      </c>
      <c r="I60" s="107">
        <f t="shared" si="5"/>
        <v>15</v>
      </c>
      <c r="J60" s="107">
        <f t="shared" si="5"/>
        <v>807</v>
      </c>
    </row>
    <row r="61" spans="1:10" ht="15.75" x14ac:dyDescent="0.25">
      <c r="A61" s="139"/>
      <c r="B61" s="139"/>
      <c r="C61" s="140"/>
      <c r="D61" s="141"/>
      <c r="E61" s="141"/>
      <c r="F61" s="141"/>
      <c r="G61" s="141"/>
      <c r="H61" s="141"/>
      <c r="I61" s="141"/>
      <c r="J61" s="141"/>
    </row>
    <row r="62" spans="1:10" ht="16.5" thickBot="1" x14ac:dyDescent="0.3">
      <c r="A62" s="139"/>
      <c r="B62" s="139"/>
      <c r="C62" s="140"/>
      <c r="D62" s="141"/>
      <c r="E62" s="141"/>
      <c r="F62" s="141"/>
      <c r="G62" s="141"/>
      <c r="H62" s="141"/>
      <c r="I62" s="141"/>
      <c r="J62" s="141"/>
    </row>
    <row r="63" spans="1:10" ht="19.5" thickBot="1" x14ac:dyDescent="0.35">
      <c r="A63" s="492" t="s">
        <v>50</v>
      </c>
      <c r="B63" s="493"/>
      <c r="C63" s="142"/>
      <c r="D63" s="143"/>
      <c r="E63" s="143"/>
      <c r="F63" s="143"/>
      <c r="G63" s="143"/>
      <c r="H63" s="143"/>
      <c r="I63" s="143"/>
      <c r="J63" s="108">
        <f>+J22+J60</f>
        <v>1189</v>
      </c>
    </row>
    <row r="64" spans="1:10" x14ac:dyDescent="0.25">
      <c r="A64" s="84"/>
      <c r="B64" s="84"/>
      <c r="C64" s="144"/>
      <c r="D64" s="85"/>
      <c r="E64" s="85"/>
      <c r="F64" s="85"/>
      <c r="G64" s="85"/>
      <c r="H64" s="85"/>
      <c r="I64" s="85"/>
      <c r="J64" s="85"/>
    </row>
    <row r="65" spans="1:14" x14ac:dyDescent="0.25">
      <c r="A65" s="84"/>
      <c r="B65" s="84"/>
      <c r="C65" s="144"/>
      <c r="D65" s="85"/>
      <c r="E65" s="85"/>
      <c r="F65" s="85"/>
      <c r="G65" s="85"/>
      <c r="H65" s="85"/>
      <c r="I65" s="85"/>
      <c r="J65" s="85"/>
    </row>
    <row r="66" spans="1:14" ht="16.5" thickBot="1" x14ac:dyDescent="0.3">
      <c r="A66" s="145" t="s">
        <v>51</v>
      </c>
      <c r="B66" s="84"/>
      <c r="C66" s="144"/>
      <c r="D66" s="85"/>
      <c r="E66" s="85"/>
      <c r="F66" s="85"/>
      <c r="G66" s="85"/>
      <c r="H66" s="85"/>
      <c r="I66" s="85"/>
      <c r="J66" s="85"/>
    </row>
    <row r="67" spans="1:14" ht="19.5" thickBot="1" x14ac:dyDescent="0.35">
      <c r="A67" s="146" t="s">
        <v>52</v>
      </c>
      <c r="B67" s="147"/>
      <c r="C67" s="148"/>
      <c r="D67" s="149"/>
      <c r="E67" s="149"/>
      <c r="F67" s="149"/>
      <c r="G67" s="149"/>
      <c r="H67" s="149"/>
      <c r="I67" s="149"/>
      <c r="J67" s="108">
        <v>1916</v>
      </c>
    </row>
    <row r="68" spans="1:14" ht="19.5" thickBot="1" x14ac:dyDescent="0.35">
      <c r="A68" s="146" t="s">
        <v>53</v>
      </c>
      <c r="B68" s="147"/>
      <c r="C68" s="150"/>
      <c r="D68" s="149"/>
      <c r="E68" s="149"/>
      <c r="F68" s="149"/>
      <c r="G68" s="149"/>
      <c r="H68" s="149"/>
      <c r="I68" s="149"/>
      <c r="J68" s="108">
        <v>2645</v>
      </c>
      <c r="K68" s="41">
        <f>J67+J68</f>
        <v>4561</v>
      </c>
    </row>
    <row r="69" spans="1:14" ht="18.75" x14ac:dyDescent="0.3">
      <c r="A69" s="151"/>
      <c r="B69" s="151"/>
      <c r="C69" s="152"/>
      <c r="D69" s="153"/>
      <c r="E69" s="153"/>
      <c r="F69" s="153"/>
      <c r="G69" s="153"/>
      <c r="H69" s="153"/>
      <c r="I69" s="153"/>
      <c r="J69" s="111"/>
      <c r="K69">
        <v>100</v>
      </c>
    </row>
    <row r="70" spans="1:14" ht="18.75" x14ac:dyDescent="0.3">
      <c r="A70" s="151"/>
      <c r="B70" s="151"/>
      <c r="C70" s="152"/>
      <c r="D70" s="153"/>
      <c r="E70" s="153"/>
      <c r="F70" s="153"/>
      <c r="G70" s="153"/>
      <c r="H70" s="153"/>
      <c r="I70" s="153"/>
      <c r="J70" s="111"/>
      <c r="K70" s="41">
        <f>K68+K69</f>
        <v>4661</v>
      </c>
    </row>
    <row r="71" spans="1:14" ht="16.5" thickBot="1" x14ac:dyDescent="0.3">
      <c r="A71" s="154" t="s">
        <v>54</v>
      </c>
      <c r="B71" s="155"/>
      <c r="C71" s="144"/>
      <c r="D71" s="85"/>
      <c r="E71" s="85"/>
      <c r="F71" s="85"/>
      <c r="G71" s="85"/>
      <c r="H71" s="85"/>
      <c r="I71" s="85"/>
      <c r="J71" s="85"/>
      <c r="L71">
        <v>100</v>
      </c>
      <c r="M71">
        <v>20</v>
      </c>
      <c r="N71">
        <f>L71*M71</f>
        <v>2000</v>
      </c>
    </row>
    <row r="72" spans="1:14" ht="19.5" thickBot="1" x14ac:dyDescent="0.35">
      <c r="A72" s="156" t="s">
        <v>55</v>
      </c>
      <c r="B72" s="157"/>
      <c r="C72" s="158"/>
      <c r="D72" s="159"/>
      <c r="E72" s="159"/>
      <c r="F72" s="159"/>
      <c r="G72" s="159"/>
      <c r="H72" s="159"/>
      <c r="I72" s="159"/>
      <c r="J72" s="160">
        <v>502</v>
      </c>
      <c r="L72">
        <v>50</v>
      </c>
      <c r="M72">
        <v>26</v>
      </c>
      <c r="N72">
        <f t="shared" ref="N72:N77" si="6">L72*M72</f>
        <v>1300</v>
      </c>
    </row>
    <row r="73" spans="1:14" x14ac:dyDescent="0.25">
      <c r="A73" s="161"/>
      <c r="B73" s="84"/>
      <c r="C73" s="144"/>
      <c r="D73" s="85"/>
      <c r="E73" s="85"/>
      <c r="F73" s="85"/>
      <c r="G73" s="85"/>
      <c r="H73" s="85"/>
      <c r="I73" s="85"/>
      <c r="J73" s="85"/>
      <c r="L73">
        <v>20</v>
      </c>
      <c r="M73">
        <v>62</v>
      </c>
      <c r="N73">
        <f t="shared" si="6"/>
        <v>1240</v>
      </c>
    </row>
    <row r="74" spans="1:14" ht="16.5" thickBot="1" x14ac:dyDescent="0.3">
      <c r="A74" s="154"/>
      <c r="B74" s="155"/>
      <c r="C74" s="144"/>
      <c r="D74" s="85"/>
      <c r="E74" s="85"/>
      <c r="F74" s="85"/>
      <c r="G74" s="85"/>
      <c r="H74" s="85"/>
      <c r="I74" s="85"/>
      <c r="J74" s="85"/>
      <c r="L74">
        <v>10</v>
      </c>
      <c r="M74">
        <v>9</v>
      </c>
      <c r="N74">
        <f t="shared" si="6"/>
        <v>90</v>
      </c>
    </row>
    <row r="75" spans="1:14" ht="19.5" thickBot="1" x14ac:dyDescent="0.35">
      <c r="A75" s="156" t="s">
        <v>56</v>
      </c>
      <c r="B75" s="157"/>
      <c r="C75" s="162"/>
      <c r="D75" s="159"/>
      <c r="E75" s="159"/>
      <c r="F75" s="159"/>
      <c r="G75" s="159"/>
      <c r="H75" s="159"/>
      <c r="I75" s="159"/>
      <c r="J75" s="163"/>
      <c r="L75">
        <v>5</v>
      </c>
      <c r="M75">
        <v>3</v>
      </c>
      <c r="N75">
        <f t="shared" si="6"/>
        <v>15</v>
      </c>
    </row>
    <row r="76" spans="1:14" ht="15.75" thickBot="1" x14ac:dyDescent="0.3">
      <c r="A76" s="161"/>
      <c r="B76" s="84"/>
      <c r="C76" s="144"/>
      <c r="D76" s="85"/>
      <c r="E76" s="85"/>
      <c r="F76" s="85"/>
      <c r="G76" s="85"/>
      <c r="H76" s="85"/>
      <c r="I76" s="85"/>
      <c r="J76" s="85"/>
      <c r="L76">
        <v>2</v>
      </c>
      <c r="M76">
        <v>2</v>
      </c>
      <c r="N76">
        <f t="shared" si="6"/>
        <v>4</v>
      </c>
    </row>
    <row r="77" spans="1:14" ht="21.75" thickBot="1" x14ac:dyDescent="0.4">
      <c r="A77" s="494" t="s">
        <v>57</v>
      </c>
      <c r="B77" s="495"/>
      <c r="C77" s="164"/>
      <c r="D77" s="165"/>
      <c r="E77" s="165"/>
      <c r="F77" s="165"/>
      <c r="G77" s="165"/>
      <c r="H77" s="165"/>
      <c r="I77" s="165"/>
      <c r="J77" s="166">
        <f>SUM(J63:J76)</f>
        <v>6252</v>
      </c>
      <c r="L77">
        <v>1</v>
      </c>
      <c r="M77">
        <v>12</v>
      </c>
      <c r="N77">
        <f t="shared" si="6"/>
        <v>12</v>
      </c>
    </row>
    <row r="78" spans="1:14" x14ac:dyDescent="0.25">
      <c r="A78" s="84"/>
      <c r="B78" s="84"/>
      <c r="C78" s="144"/>
      <c r="D78" s="85"/>
      <c r="E78" s="85"/>
      <c r="F78" s="85"/>
      <c r="G78" s="85"/>
      <c r="H78" s="85"/>
      <c r="I78" s="85"/>
      <c r="J78" s="85"/>
      <c r="N78">
        <f>SUM(N71:N77)</f>
        <v>4661</v>
      </c>
    </row>
    <row r="79" spans="1:14" ht="21" x14ac:dyDescent="0.35">
      <c r="A79" s="491" t="s">
        <v>319</v>
      </c>
      <c r="B79" s="491"/>
      <c r="C79" s="491"/>
      <c r="D79" s="491"/>
      <c r="E79" s="491"/>
      <c r="F79" s="491"/>
      <c r="G79" s="491"/>
      <c r="H79" s="491"/>
      <c r="I79" s="491"/>
      <c r="J79" s="491"/>
    </row>
    <row r="80" spans="1:14" ht="21.75" thickBot="1" x14ac:dyDescent="0.4">
      <c r="A80" s="255" t="s">
        <v>10</v>
      </c>
      <c r="B80" s="255"/>
      <c r="C80" s="255"/>
      <c r="D80" s="255"/>
      <c r="E80" s="255"/>
      <c r="F80" s="255"/>
      <c r="G80" s="255"/>
      <c r="H80" s="255"/>
      <c r="I80" s="255"/>
      <c r="J80" s="168"/>
    </row>
    <row r="81" spans="1:10" ht="15.75" thickBot="1" x14ac:dyDescent="0.3">
      <c r="A81" s="169" t="s">
        <v>58</v>
      </c>
      <c r="B81" s="170" t="s">
        <v>59</v>
      </c>
      <c r="C81" s="496" t="s">
        <v>33</v>
      </c>
      <c r="D81" s="497"/>
      <c r="E81" s="497"/>
      <c r="F81" s="497"/>
      <c r="G81" s="497"/>
      <c r="H81" s="497"/>
      <c r="I81" s="498"/>
      <c r="J81" s="171" t="s">
        <v>4</v>
      </c>
    </row>
    <row r="82" spans="1:10" ht="15.75" thickBot="1" x14ac:dyDescent="0.3">
      <c r="A82" s="172" t="s">
        <v>89</v>
      </c>
      <c r="B82" s="173">
        <v>14639</v>
      </c>
      <c r="C82" s="488" t="s">
        <v>327</v>
      </c>
      <c r="D82" s="489"/>
      <c r="E82" s="489"/>
      <c r="F82" s="489"/>
      <c r="G82" s="489"/>
      <c r="H82" s="489"/>
      <c r="I82" s="489"/>
      <c r="J82" s="104">
        <v>5</v>
      </c>
    </row>
    <row r="83" spans="1:10" ht="15.75" thickBot="1" x14ac:dyDescent="0.3">
      <c r="A83" s="121" t="s">
        <v>329</v>
      </c>
      <c r="B83" s="173" t="s">
        <v>328</v>
      </c>
      <c r="C83" s="488" t="s">
        <v>330</v>
      </c>
      <c r="D83" s="489"/>
      <c r="E83" s="489"/>
      <c r="F83" s="489"/>
      <c r="G83" s="489"/>
      <c r="H83" s="490"/>
      <c r="I83" s="490"/>
      <c r="J83" s="104">
        <v>6.5</v>
      </c>
    </row>
    <row r="84" spans="1:10" ht="15.75" thickBot="1" x14ac:dyDescent="0.3">
      <c r="A84" s="121" t="s">
        <v>343</v>
      </c>
      <c r="B84" s="173">
        <v>4859</v>
      </c>
      <c r="C84" s="504" t="s">
        <v>344</v>
      </c>
      <c r="D84" s="505"/>
      <c r="E84" s="505"/>
      <c r="F84" s="505"/>
      <c r="G84" s="505"/>
      <c r="H84" s="505"/>
      <c r="I84" s="505"/>
      <c r="J84" s="174">
        <v>100</v>
      </c>
    </row>
    <row r="85" spans="1:10" ht="15.75" thickBot="1" x14ac:dyDescent="0.3">
      <c r="A85" s="121"/>
      <c r="B85" s="173"/>
      <c r="C85" s="488"/>
      <c r="D85" s="489"/>
      <c r="E85" s="489"/>
      <c r="F85" s="489"/>
      <c r="G85" s="489"/>
      <c r="H85" s="490"/>
      <c r="I85" s="490"/>
      <c r="J85" s="104"/>
    </row>
    <row r="86" spans="1:10" ht="15.75" thickBot="1" x14ac:dyDescent="0.3">
      <c r="A86" s="121"/>
      <c r="B86" s="173"/>
      <c r="C86" s="488"/>
      <c r="D86" s="489"/>
      <c r="E86" s="489"/>
      <c r="F86" s="489"/>
      <c r="G86" s="489"/>
      <c r="H86" s="490"/>
      <c r="I86" s="490"/>
      <c r="J86" s="104"/>
    </row>
    <row r="87" spans="1:10" ht="15.75" thickBot="1" x14ac:dyDescent="0.3">
      <c r="A87" s="121"/>
      <c r="B87" s="173"/>
      <c r="C87" s="488"/>
      <c r="D87" s="489"/>
      <c r="E87" s="489"/>
      <c r="F87" s="489"/>
      <c r="G87" s="489"/>
      <c r="H87" s="490"/>
      <c r="I87" s="490"/>
      <c r="J87" s="118"/>
    </row>
    <row r="88" spans="1:10" ht="15.75" thickBot="1" x14ac:dyDescent="0.3">
      <c r="A88" s="121"/>
      <c r="B88" s="173"/>
      <c r="C88" s="488"/>
      <c r="D88" s="489"/>
      <c r="E88" s="489"/>
      <c r="F88" s="489"/>
      <c r="G88" s="489"/>
      <c r="H88" s="490"/>
      <c r="I88" s="490"/>
      <c r="J88" s="118"/>
    </row>
    <row r="89" spans="1:10" ht="15.75" thickBot="1" x14ac:dyDescent="0.3">
      <c r="A89" s="121"/>
      <c r="B89" s="173"/>
      <c r="C89" s="488"/>
      <c r="D89" s="489"/>
      <c r="E89" s="489"/>
      <c r="F89" s="489"/>
      <c r="G89" s="489"/>
      <c r="H89" s="490"/>
      <c r="I89" s="490"/>
      <c r="J89" s="118"/>
    </row>
    <row r="90" spans="1:10" ht="19.5" thickBot="1" x14ac:dyDescent="0.35">
      <c r="A90" s="175" t="s">
        <v>60</v>
      </c>
      <c r="B90" s="492"/>
      <c r="C90" s="499"/>
      <c r="D90" s="499"/>
      <c r="E90" s="499"/>
      <c r="F90" s="499"/>
      <c r="G90" s="499"/>
      <c r="H90" s="499"/>
      <c r="I90" s="499"/>
      <c r="J90" s="176">
        <f>SUM(J82:J89)</f>
        <v>111.5</v>
      </c>
    </row>
    <row r="91" spans="1:10" ht="18.75" x14ac:dyDescent="0.3">
      <c r="A91" s="2"/>
      <c r="B91" s="2"/>
      <c r="C91" s="177"/>
      <c r="D91" s="177"/>
      <c r="E91" s="177"/>
      <c r="F91" s="178"/>
      <c r="G91" s="177"/>
      <c r="H91" s="177"/>
      <c r="I91" s="177"/>
      <c r="J91" s="111"/>
    </row>
    <row r="92" spans="1:10" ht="18.75" x14ac:dyDescent="0.3">
      <c r="A92" s="2"/>
      <c r="B92" s="2"/>
      <c r="C92" s="177"/>
      <c r="D92" s="177"/>
      <c r="E92" s="177"/>
      <c r="F92" s="178"/>
      <c r="G92" s="177"/>
      <c r="H92" s="177"/>
      <c r="I92" s="177"/>
      <c r="J92" s="111"/>
    </row>
    <row r="93" spans="1:10" ht="18.75" x14ac:dyDescent="0.3">
      <c r="A93" s="139" t="s">
        <v>61</v>
      </c>
      <c r="B93" s="2"/>
      <c r="C93" s="84"/>
      <c r="D93" s="85"/>
      <c r="F93" s="85"/>
      <c r="J93" s="85"/>
    </row>
    <row r="94" spans="1:10" x14ac:dyDescent="0.25">
      <c r="A94" s="84" t="s">
        <v>62</v>
      </c>
      <c r="B94" s="144">
        <f>+J77</f>
        <v>6252</v>
      </c>
      <c r="C94" s="179"/>
      <c r="D94" s="85"/>
      <c r="F94" s="85"/>
      <c r="J94" s="85"/>
    </row>
    <row r="95" spans="1:10" ht="15.75" thickBot="1" x14ac:dyDescent="0.3">
      <c r="A95" s="84" t="s">
        <v>60</v>
      </c>
      <c r="B95" s="180">
        <f>+J90</f>
        <v>111.5</v>
      </c>
      <c r="C95" s="181"/>
      <c r="D95" s="85"/>
      <c r="F95" s="85"/>
      <c r="G95" s="182"/>
      <c r="H95" s="182"/>
      <c r="I95" s="183"/>
      <c r="J95" s="183"/>
    </row>
    <row r="96" spans="1:10" ht="17.25" thickTop="1" thickBot="1" x14ac:dyDescent="0.3">
      <c r="A96" s="139" t="s">
        <v>8</v>
      </c>
      <c r="B96" s="184">
        <f>++B94-B95</f>
        <v>6140.5</v>
      </c>
      <c r="C96" s="185"/>
      <c r="D96" s="186"/>
      <c r="E96" s="41"/>
      <c r="F96" s="186"/>
      <c r="G96" s="187"/>
      <c r="H96" s="187"/>
      <c r="I96" s="85"/>
    </row>
    <row r="97" ht="15.75" thickTop="1" x14ac:dyDescent="0.25"/>
  </sheetData>
  <mergeCells count="22">
    <mergeCell ref="B90:I90"/>
    <mergeCell ref="B34:B35"/>
    <mergeCell ref="A34:A35"/>
    <mergeCell ref="B44:B48"/>
    <mergeCell ref="B49:B50"/>
    <mergeCell ref="A44:A50"/>
    <mergeCell ref="B51:B54"/>
    <mergeCell ref="B55:B56"/>
    <mergeCell ref="A51:A56"/>
    <mergeCell ref="C87:I87"/>
    <mergeCell ref="C88:I88"/>
    <mergeCell ref="C89:I89"/>
    <mergeCell ref="C83:I83"/>
    <mergeCell ref="C84:I84"/>
    <mergeCell ref="C85:I85"/>
    <mergeCell ref="C86:I86"/>
    <mergeCell ref="C82:I82"/>
    <mergeCell ref="A1:J1"/>
    <mergeCell ref="A63:B63"/>
    <mergeCell ref="A77:B77"/>
    <mergeCell ref="A79:J79"/>
    <mergeCell ref="C81:I81"/>
  </mergeCells>
  <phoneticPr fontId="15" type="noConversion"/>
  <pageMargins left="0.17" right="0.17" top="2.23" bottom="0.17" header="0.17" footer="0.17"/>
  <pageSetup paperSize="9" scale="26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508F-F855-4ED4-83FE-BE52F19743D0}">
  <sheetPr>
    <pageSetUpPr fitToPage="1"/>
  </sheetPr>
  <dimension ref="A1:M96"/>
  <sheetViews>
    <sheetView topLeftCell="A8" workbookViewId="0">
      <selection activeCell="J29" sqref="J29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6" max="6" width="12.42578125" customWidth="1"/>
  </cols>
  <sheetData>
    <row r="1" spans="1:10" ht="21" x14ac:dyDescent="0.35">
      <c r="A1" s="491" t="s">
        <v>350</v>
      </c>
      <c r="B1" s="491"/>
      <c r="C1" s="491"/>
      <c r="D1" s="491"/>
      <c r="E1" s="491"/>
      <c r="F1" s="491"/>
      <c r="G1" s="491"/>
      <c r="H1" s="491"/>
      <c r="I1" s="491"/>
      <c r="J1" s="491"/>
    </row>
    <row r="2" spans="1:10" ht="15.75" thickBot="1" x14ac:dyDescent="0.3">
      <c r="A2" s="83"/>
      <c r="B2" s="84"/>
      <c r="C2" s="84"/>
      <c r="J2" s="85"/>
    </row>
    <row r="3" spans="1:10" ht="1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87" t="s">
        <v>4</v>
      </c>
    </row>
    <row r="4" spans="1:10" ht="30.75" thickBot="1" x14ac:dyDescent="0.3">
      <c r="A4" s="188" t="s">
        <v>286</v>
      </c>
      <c r="B4" s="88" t="s">
        <v>351</v>
      </c>
      <c r="C4" s="89">
        <v>46113</v>
      </c>
      <c r="D4" s="90"/>
      <c r="E4" s="90"/>
      <c r="F4" s="90"/>
      <c r="G4" s="90">
        <v>30</v>
      </c>
      <c r="H4" s="90"/>
      <c r="I4" s="90"/>
      <c r="J4" s="87">
        <f>SUM(D4:I4)</f>
        <v>30</v>
      </c>
    </row>
    <row r="5" spans="1:10" ht="15.75" thickBot="1" x14ac:dyDescent="0.3">
      <c r="A5" s="88"/>
      <c r="B5" s="88"/>
      <c r="C5" s="89"/>
      <c r="D5" s="90"/>
      <c r="E5" s="90"/>
      <c r="F5" s="90"/>
      <c r="G5" s="90"/>
      <c r="H5" s="90"/>
      <c r="I5" s="90"/>
      <c r="J5" s="87">
        <f t="shared" ref="J5:J21" si="0">SUM(D5:I5)</f>
        <v>0</v>
      </c>
    </row>
    <row r="6" spans="1:10" ht="15.75" thickBot="1" x14ac:dyDescent="0.3">
      <c r="A6" s="88" t="s">
        <v>78</v>
      </c>
      <c r="B6" s="88" t="s">
        <v>357</v>
      </c>
      <c r="C6" s="89">
        <v>46113</v>
      </c>
      <c r="D6" s="90"/>
      <c r="E6" s="90"/>
      <c r="F6" s="90"/>
      <c r="G6" s="90"/>
      <c r="H6" s="90"/>
      <c r="I6" s="90">
        <v>10</v>
      </c>
      <c r="J6" s="87">
        <f t="shared" si="0"/>
        <v>10</v>
      </c>
    </row>
    <row r="7" spans="1:10" ht="15.75" thickBot="1" x14ac:dyDescent="0.3">
      <c r="A7" s="88"/>
      <c r="B7" s="88"/>
      <c r="C7" s="89"/>
      <c r="D7" s="90"/>
      <c r="E7" s="90"/>
      <c r="F7" s="90"/>
      <c r="G7" s="90"/>
      <c r="H7" s="90"/>
      <c r="I7" s="90"/>
      <c r="J7" s="87">
        <f t="shared" si="0"/>
        <v>0</v>
      </c>
    </row>
    <row r="8" spans="1:10" ht="15.75" thickBot="1" x14ac:dyDescent="0.3">
      <c r="A8" s="88" t="s">
        <v>38</v>
      </c>
      <c r="B8" s="88" t="s">
        <v>366</v>
      </c>
      <c r="C8" s="89">
        <v>46113</v>
      </c>
      <c r="D8" s="90"/>
      <c r="E8" s="90"/>
      <c r="F8" s="90"/>
      <c r="G8" s="90"/>
      <c r="H8" s="90">
        <v>65</v>
      </c>
      <c r="I8" s="90"/>
      <c r="J8" s="87">
        <f t="shared" si="0"/>
        <v>65</v>
      </c>
    </row>
    <row r="9" spans="1:10" ht="15.75" thickBot="1" x14ac:dyDescent="0.3">
      <c r="A9" s="88"/>
      <c r="B9" s="88"/>
      <c r="C9" s="89"/>
      <c r="D9" s="90"/>
      <c r="E9" s="90"/>
      <c r="F9" s="90"/>
      <c r="G9" s="90"/>
      <c r="H9" s="90"/>
      <c r="I9" s="90"/>
      <c r="J9" s="87">
        <f t="shared" si="0"/>
        <v>0</v>
      </c>
    </row>
    <row r="10" spans="1:10" ht="15.75" thickBot="1" x14ac:dyDescent="0.3">
      <c r="A10" s="88"/>
      <c r="B10" s="88"/>
      <c r="C10" s="89"/>
      <c r="D10" s="90"/>
      <c r="E10" s="90"/>
      <c r="F10" s="90"/>
      <c r="G10" s="90"/>
      <c r="H10" s="90"/>
      <c r="I10" s="90"/>
      <c r="J10" s="87">
        <f t="shared" si="0"/>
        <v>0</v>
      </c>
    </row>
    <row r="11" spans="1:10" ht="15.75" thickBot="1" x14ac:dyDescent="0.3">
      <c r="A11" s="279"/>
      <c r="B11" s="88"/>
      <c r="C11" s="89"/>
      <c r="D11" s="90"/>
      <c r="E11" s="90"/>
      <c r="F11" s="90"/>
      <c r="G11" s="90"/>
      <c r="H11" s="90"/>
      <c r="I11" s="90"/>
      <c r="J11" s="87">
        <f t="shared" si="0"/>
        <v>0</v>
      </c>
    </row>
    <row r="12" spans="1:10" ht="15.75" thickBot="1" x14ac:dyDescent="0.3">
      <c r="A12" s="279"/>
      <c r="B12" s="277"/>
      <c r="C12" s="89"/>
      <c r="D12" s="90"/>
      <c r="E12" s="90"/>
      <c r="F12" s="90"/>
      <c r="G12" s="90"/>
      <c r="H12" s="90"/>
      <c r="I12" s="93"/>
      <c r="J12" s="94">
        <f t="shared" si="0"/>
        <v>0</v>
      </c>
    </row>
    <row r="13" spans="1:10" ht="15.75" thickBot="1" x14ac:dyDescent="0.3">
      <c r="A13" s="88"/>
      <c r="B13" s="88"/>
      <c r="C13" s="89"/>
      <c r="D13" s="90"/>
      <c r="E13" s="90"/>
      <c r="F13" s="90"/>
      <c r="G13" s="90"/>
      <c r="H13" s="90"/>
      <c r="I13" s="90"/>
      <c r="J13" s="87">
        <f t="shared" si="0"/>
        <v>0</v>
      </c>
    </row>
    <row r="14" spans="1:10" ht="15.75" thickBot="1" x14ac:dyDescent="0.3">
      <c r="A14" s="95"/>
      <c r="B14" s="278"/>
      <c r="C14" s="89"/>
      <c r="D14" s="90"/>
      <c r="E14" s="90"/>
      <c r="F14" s="90"/>
      <c r="G14" s="90"/>
      <c r="H14" s="90"/>
      <c r="I14" s="90"/>
      <c r="J14" s="87">
        <f t="shared" si="0"/>
        <v>0</v>
      </c>
    </row>
    <row r="15" spans="1:10" ht="15.75" thickBot="1" x14ac:dyDescent="0.3">
      <c r="A15" s="97"/>
      <c r="B15" s="95"/>
      <c r="C15" s="89"/>
      <c r="D15" s="90"/>
      <c r="E15" s="90"/>
      <c r="F15" s="90"/>
      <c r="G15" s="90"/>
      <c r="H15" s="90"/>
      <c r="I15" s="90"/>
      <c r="J15" s="87">
        <f t="shared" si="0"/>
        <v>0</v>
      </c>
    </row>
    <row r="16" spans="1:10" ht="15.75" thickBot="1" x14ac:dyDescent="0.3">
      <c r="A16" s="275"/>
      <c r="B16" s="275"/>
      <c r="C16" s="89"/>
      <c r="D16" s="90"/>
      <c r="E16" s="90"/>
      <c r="F16" s="90"/>
      <c r="G16" s="90"/>
      <c r="H16" s="90"/>
      <c r="I16" s="90"/>
      <c r="J16" s="87">
        <f t="shared" si="0"/>
        <v>0</v>
      </c>
    </row>
    <row r="17" spans="1:13" ht="15.75" thickBot="1" x14ac:dyDescent="0.3">
      <c r="A17" s="99"/>
      <c r="B17" s="275"/>
      <c r="C17" s="89"/>
      <c r="D17" s="90"/>
      <c r="E17" s="90"/>
      <c r="F17" s="90"/>
      <c r="G17" s="90"/>
      <c r="H17" s="90"/>
      <c r="I17" s="90"/>
      <c r="J17" s="87">
        <f t="shared" si="0"/>
        <v>0</v>
      </c>
    </row>
    <row r="18" spans="1:13" ht="15.75" thickBot="1" x14ac:dyDescent="0.3">
      <c r="A18" s="99"/>
      <c r="B18" s="275"/>
      <c r="C18" s="89"/>
      <c r="D18" s="90"/>
      <c r="E18" s="90"/>
      <c r="F18" s="90"/>
      <c r="G18" s="90"/>
      <c r="H18" s="90"/>
      <c r="I18" s="90"/>
      <c r="J18" s="87">
        <f t="shared" si="0"/>
        <v>0</v>
      </c>
    </row>
    <row r="19" spans="1:13" ht="15.75" thickBot="1" x14ac:dyDescent="0.3">
      <c r="A19" s="100"/>
      <c r="B19" s="275"/>
      <c r="C19" s="89"/>
      <c r="D19" s="90"/>
      <c r="E19" s="90"/>
      <c r="F19" s="90"/>
      <c r="G19" s="90"/>
      <c r="H19" s="90"/>
      <c r="I19" s="90"/>
      <c r="J19" s="87">
        <f t="shared" si="0"/>
        <v>0</v>
      </c>
    </row>
    <row r="20" spans="1:13" ht="15.75" thickBot="1" x14ac:dyDescent="0.3">
      <c r="A20" s="281"/>
      <c r="B20" s="281"/>
      <c r="C20" s="89"/>
      <c r="D20" s="90"/>
      <c r="E20" s="90"/>
      <c r="F20" s="90"/>
      <c r="G20" s="90"/>
      <c r="H20" s="90"/>
      <c r="I20" s="90"/>
      <c r="J20" s="87">
        <f t="shared" si="0"/>
        <v>0</v>
      </c>
    </row>
    <row r="21" spans="1:13" ht="15.75" thickBot="1" x14ac:dyDescent="0.3">
      <c r="A21" s="275"/>
      <c r="B21" s="280"/>
      <c r="C21" s="103"/>
      <c r="D21" s="104"/>
      <c r="E21" s="104"/>
      <c r="F21" s="104"/>
      <c r="G21" s="104"/>
      <c r="H21" s="104"/>
      <c r="I21" s="104"/>
      <c r="J21" s="87">
        <f t="shared" si="0"/>
        <v>0</v>
      </c>
    </row>
    <row r="22" spans="1:13" ht="19.5" thickBot="1" x14ac:dyDescent="0.35">
      <c r="A22" s="105" t="s">
        <v>4</v>
      </c>
      <c r="B22" s="86"/>
      <c r="C22" s="106"/>
      <c r="D22" s="107">
        <f t="shared" ref="D22:I22" si="1">SUM(D4:D21)</f>
        <v>0</v>
      </c>
      <c r="E22" s="107">
        <f t="shared" si="1"/>
        <v>0</v>
      </c>
      <c r="F22" s="107">
        <f t="shared" si="1"/>
        <v>0</v>
      </c>
      <c r="G22" s="107">
        <f t="shared" si="1"/>
        <v>30</v>
      </c>
      <c r="H22" s="107">
        <f t="shared" si="1"/>
        <v>65</v>
      </c>
      <c r="I22" s="107">
        <f t="shared" si="1"/>
        <v>10</v>
      </c>
      <c r="J22" s="108">
        <f>SUM(J4:J21)</f>
        <v>105</v>
      </c>
    </row>
    <row r="23" spans="1:13" ht="19.5" thickBot="1" x14ac:dyDescent="0.35">
      <c r="A23" s="2"/>
      <c r="B23" s="109"/>
      <c r="C23" s="110"/>
      <c r="D23" s="111"/>
      <c r="E23" s="111"/>
      <c r="F23" s="111"/>
      <c r="G23" s="111"/>
      <c r="H23" s="111"/>
      <c r="I23" s="111"/>
      <c r="J23" s="111"/>
    </row>
    <row r="24" spans="1:13" ht="24" thickBot="1" x14ac:dyDescent="0.4">
      <c r="A24" s="112" t="s">
        <v>40</v>
      </c>
      <c r="B24" s="109"/>
      <c r="C24" s="110"/>
      <c r="D24" s="111"/>
      <c r="E24" s="111"/>
      <c r="F24" s="111"/>
      <c r="G24" s="111"/>
      <c r="H24" s="111"/>
      <c r="I24" s="111"/>
      <c r="J24" s="111"/>
    </row>
    <row r="25" spans="1:13" ht="30.75" thickBot="1" x14ac:dyDescent="0.3">
      <c r="A25" s="291" t="s">
        <v>3</v>
      </c>
      <c r="B25" s="86" t="s">
        <v>32</v>
      </c>
      <c r="C25" s="114" t="s">
        <v>41</v>
      </c>
      <c r="D25" s="114" t="s">
        <v>34</v>
      </c>
      <c r="E25" s="114" t="s">
        <v>35</v>
      </c>
      <c r="F25" s="86" t="s">
        <v>36</v>
      </c>
      <c r="G25" s="86" t="s">
        <v>37</v>
      </c>
      <c r="H25" s="86" t="s">
        <v>355</v>
      </c>
      <c r="I25" s="86" t="s">
        <v>39</v>
      </c>
      <c r="J25" s="115" t="s">
        <v>4</v>
      </c>
    </row>
    <row r="26" spans="1:13" ht="29.25" customHeight="1" thickBot="1" x14ac:dyDescent="0.3">
      <c r="A26" s="522" t="s">
        <v>352</v>
      </c>
      <c r="B26" s="103" t="s">
        <v>353</v>
      </c>
      <c r="C26" s="89">
        <v>46113</v>
      </c>
      <c r="D26" s="116"/>
      <c r="E26" s="117"/>
      <c r="F26" s="116">
        <v>500</v>
      </c>
      <c r="G26" s="116"/>
      <c r="H26" s="118"/>
      <c r="I26" s="118"/>
      <c r="J26" s="119">
        <f>SUM(D26:I26)</f>
        <v>500</v>
      </c>
    </row>
    <row r="27" spans="1:13" ht="15.75" thickBot="1" x14ac:dyDescent="0.3">
      <c r="A27" s="523"/>
      <c r="B27" s="103" t="s">
        <v>354</v>
      </c>
      <c r="C27" s="89">
        <v>46113</v>
      </c>
      <c r="D27" s="116"/>
      <c r="E27" s="116"/>
      <c r="F27" s="116"/>
      <c r="G27" s="116"/>
      <c r="H27" s="118">
        <v>1000</v>
      </c>
      <c r="I27" s="118"/>
      <c r="J27" s="119">
        <f t="shared" ref="J27:J29" si="2">SUM(D27:I27)</f>
        <v>1000</v>
      </c>
    </row>
    <row r="28" spans="1:13" ht="15.75" thickBot="1" x14ac:dyDescent="0.3">
      <c r="A28" s="86"/>
      <c r="B28" s="275"/>
      <c r="C28" s="89"/>
      <c r="D28" s="120"/>
      <c r="E28" s="120"/>
      <c r="F28" s="120"/>
      <c r="G28" s="120"/>
      <c r="H28" s="90"/>
      <c r="I28" s="90"/>
      <c r="J28" s="119">
        <f t="shared" si="2"/>
        <v>0</v>
      </c>
    </row>
    <row r="29" spans="1:13" ht="15.75" thickBot="1" x14ac:dyDescent="0.3">
      <c r="A29" s="290"/>
      <c r="B29" s="121"/>
      <c r="C29" s="89"/>
      <c r="D29" s="120"/>
      <c r="E29" s="120"/>
      <c r="F29" s="120"/>
      <c r="G29" s="120"/>
      <c r="H29" s="90"/>
      <c r="I29" s="90"/>
      <c r="J29" s="119">
        <f t="shared" si="2"/>
        <v>0</v>
      </c>
      <c r="L29" s="122" t="s">
        <v>43</v>
      </c>
      <c r="M29" s="123">
        <f>J30+J38</f>
        <v>1500</v>
      </c>
    </row>
    <row r="30" spans="1:13" ht="15.75" thickBot="1" x14ac:dyDescent="0.3">
      <c r="A30" s="86" t="s">
        <v>4</v>
      </c>
      <c r="B30" s="124"/>
      <c r="C30" s="125"/>
      <c r="D30" s="126"/>
      <c r="E30" s="126"/>
      <c r="F30" s="126"/>
      <c r="G30" s="126"/>
      <c r="H30" s="126"/>
      <c r="I30" s="126"/>
      <c r="J30" s="94">
        <f>SUM(J26:J29)</f>
        <v>1500</v>
      </c>
    </row>
    <row r="31" spans="1:13" ht="15.75" thickBot="1" x14ac:dyDescent="0.3">
      <c r="A31" s="109"/>
      <c r="B31" s="127"/>
      <c r="C31" s="128"/>
      <c r="D31" s="129"/>
      <c r="E31" s="129"/>
      <c r="F31" s="129"/>
      <c r="G31" s="129"/>
      <c r="H31" s="129"/>
      <c r="I31" s="129"/>
      <c r="J31" s="130"/>
    </row>
    <row r="32" spans="1:13" ht="24" thickBot="1" x14ac:dyDescent="0.4">
      <c r="A32" s="112" t="s">
        <v>40</v>
      </c>
      <c r="B32" s="109"/>
      <c r="C32" s="110"/>
      <c r="D32" s="111"/>
      <c r="E32" s="111"/>
      <c r="F32" s="111"/>
      <c r="G32" s="111"/>
      <c r="H32" s="111"/>
      <c r="I32" s="111"/>
      <c r="J32" s="111"/>
    </row>
    <row r="33" spans="1:13" ht="45.75" thickBot="1" x14ac:dyDescent="0.3">
      <c r="A33" s="131" t="s">
        <v>44</v>
      </c>
      <c r="B33" s="86" t="s">
        <v>45</v>
      </c>
      <c r="C33" s="114" t="s">
        <v>41</v>
      </c>
      <c r="D33" s="114" t="s">
        <v>34</v>
      </c>
      <c r="E33" s="114" t="s">
        <v>35</v>
      </c>
      <c r="F33" s="114" t="s">
        <v>46</v>
      </c>
      <c r="G33" s="114" t="s">
        <v>47</v>
      </c>
      <c r="H33" s="114" t="s">
        <v>42</v>
      </c>
      <c r="I33" s="132" t="s">
        <v>48</v>
      </c>
      <c r="J33" s="115" t="s">
        <v>4</v>
      </c>
    </row>
    <row r="34" spans="1:13" ht="15.75" thickBot="1" x14ac:dyDescent="0.3">
      <c r="A34" s="133"/>
      <c r="B34" s="99"/>
      <c r="C34" s="89"/>
      <c r="D34" s="90"/>
      <c r="E34" s="90"/>
      <c r="F34" s="90"/>
      <c r="G34" s="90"/>
      <c r="H34" s="90"/>
      <c r="I34" s="90"/>
      <c r="J34" s="87">
        <f t="shared" ref="J34:J37" si="3">SUM(D34:I34)</f>
        <v>0</v>
      </c>
    </row>
    <row r="35" spans="1:13" ht="15.75" thickBot="1" x14ac:dyDescent="0.3">
      <c r="A35" s="95"/>
      <c r="B35" s="103"/>
      <c r="C35" s="89"/>
      <c r="D35" s="116"/>
      <c r="E35" s="116"/>
      <c r="F35" s="116"/>
      <c r="G35" s="116"/>
      <c r="H35" s="118"/>
      <c r="I35" s="118"/>
      <c r="J35" s="119">
        <f t="shared" si="3"/>
        <v>0</v>
      </c>
    </row>
    <row r="36" spans="1:13" ht="15.75" thickBot="1" x14ac:dyDescent="0.3">
      <c r="A36" s="281"/>
      <c r="B36" s="275"/>
      <c r="C36" s="89"/>
      <c r="D36" s="120"/>
      <c r="E36" s="120"/>
      <c r="F36" s="120"/>
      <c r="G36" s="120"/>
      <c r="H36" s="90"/>
      <c r="I36" s="90"/>
      <c r="J36" s="119">
        <f t="shared" si="3"/>
        <v>0</v>
      </c>
    </row>
    <row r="37" spans="1:13" ht="15.75" thickBot="1" x14ac:dyDescent="0.3">
      <c r="A37" s="86"/>
      <c r="B37" s="121"/>
      <c r="C37" s="89"/>
      <c r="D37" s="120"/>
      <c r="E37" s="120"/>
      <c r="F37" s="120"/>
      <c r="G37" s="120"/>
      <c r="H37" s="90"/>
      <c r="I37" s="90"/>
      <c r="J37" s="119">
        <f t="shared" si="3"/>
        <v>0</v>
      </c>
      <c r="L37" s="134"/>
      <c r="M37" s="135"/>
    </row>
    <row r="38" spans="1:13" ht="15.75" thickBot="1" x14ac:dyDescent="0.3">
      <c r="A38" s="86" t="s">
        <v>4</v>
      </c>
      <c r="B38" s="124"/>
      <c r="C38" s="125"/>
      <c r="D38" s="126"/>
      <c r="E38" s="126"/>
      <c r="F38" s="126"/>
      <c r="G38" s="126"/>
      <c r="H38" s="126"/>
      <c r="I38" s="126"/>
      <c r="J38" s="94">
        <f>SUM(J34:J37)</f>
        <v>0</v>
      </c>
    </row>
    <row r="39" spans="1:13" x14ac:dyDescent="0.25">
      <c r="A39" s="109"/>
      <c r="B39" s="127"/>
      <c r="C39" s="128"/>
      <c r="D39" s="129"/>
      <c r="E39" s="129"/>
      <c r="F39" s="129"/>
      <c r="G39" s="129"/>
      <c r="H39" s="129"/>
      <c r="I39" s="129"/>
      <c r="J39" s="130"/>
    </row>
    <row r="40" spans="1:13" x14ac:dyDescent="0.25">
      <c r="A40" s="109"/>
      <c r="B40" s="127"/>
      <c r="C40" s="128"/>
      <c r="D40" s="129"/>
      <c r="E40" s="129"/>
      <c r="F40" s="129"/>
      <c r="G40" s="129"/>
      <c r="H40" s="129"/>
      <c r="I40" s="129"/>
      <c r="J40" s="130"/>
    </row>
    <row r="41" spans="1:13" ht="15.75" thickBot="1" x14ac:dyDescent="0.3">
      <c r="A41" s="84"/>
      <c r="B41" s="84"/>
      <c r="C41" s="84"/>
      <c r="J41" s="85"/>
    </row>
    <row r="42" spans="1:13" ht="45.75" thickBot="1" x14ac:dyDescent="0.3">
      <c r="A42" s="114" t="s">
        <v>49</v>
      </c>
      <c r="B42" s="86" t="s">
        <v>45</v>
      </c>
      <c r="C42" s="114" t="s">
        <v>41</v>
      </c>
      <c r="D42" s="114" t="s">
        <v>34</v>
      </c>
      <c r="E42" s="114" t="s">
        <v>35</v>
      </c>
      <c r="F42" s="114" t="s">
        <v>46</v>
      </c>
      <c r="G42" s="114" t="s">
        <v>47</v>
      </c>
      <c r="H42" s="86" t="s">
        <v>48</v>
      </c>
      <c r="I42" s="132" t="s">
        <v>42</v>
      </c>
      <c r="J42" s="115" t="s">
        <v>4</v>
      </c>
    </row>
    <row r="43" spans="1:13" ht="15.75" thickBot="1" x14ac:dyDescent="0.3">
      <c r="A43" s="121"/>
      <c r="B43" s="103"/>
      <c r="C43" s="103"/>
      <c r="D43" s="118"/>
      <c r="E43" s="136"/>
      <c r="F43" s="118"/>
      <c r="G43" s="118"/>
      <c r="H43" s="118"/>
      <c r="I43" s="118"/>
      <c r="J43" s="119">
        <f>SUM(D43:I43)</f>
        <v>0</v>
      </c>
    </row>
    <row r="44" spans="1:13" ht="15.75" thickBot="1" x14ac:dyDescent="0.3">
      <c r="A44" s="121"/>
      <c r="B44" s="103"/>
      <c r="C44" s="103"/>
      <c r="D44" s="118"/>
      <c r="E44" s="118"/>
      <c r="F44" s="118"/>
      <c r="G44" s="118"/>
      <c r="H44" s="118"/>
      <c r="I44" s="118"/>
      <c r="J44" s="119">
        <f t="shared" ref="J44:J56" si="4">SUM(D44:I44)</f>
        <v>0</v>
      </c>
    </row>
    <row r="45" spans="1:13" ht="15.75" thickBot="1" x14ac:dyDescent="0.3">
      <c r="A45" s="275"/>
      <c r="B45" s="103"/>
      <c r="C45" s="103"/>
      <c r="D45" s="118"/>
      <c r="E45" s="118"/>
      <c r="F45" s="118"/>
      <c r="G45" s="118"/>
      <c r="H45" s="118"/>
      <c r="I45" s="118"/>
      <c r="J45" s="119">
        <f t="shared" si="4"/>
        <v>0</v>
      </c>
    </row>
    <row r="46" spans="1:13" ht="15.75" thickBot="1" x14ac:dyDescent="0.3">
      <c r="A46" s="121"/>
      <c r="B46" s="103"/>
      <c r="C46" s="103"/>
      <c r="D46" s="118"/>
      <c r="E46" s="118"/>
      <c r="F46" s="118"/>
      <c r="G46" s="118"/>
      <c r="H46" s="118"/>
      <c r="I46" s="118"/>
      <c r="J46" s="119">
        <f t="shared" si="4"/>
        <v>0</v>
      </c>
    </row>
    <row r="47" spans="1:13" ht="15.75" thickBot="1" x14ac:dyDescent="0.3">
      <c r="A47" s="121"/>
      <c r="B47" s="103"/>
      <c r="C47" s="103"/>
      <c r="D47" s="118"/>
      <c r="E47" s="118"/>
      <c r="F47" s="118"/>
      <c r="G47" s="118"/>
      <c r="H47" s="118"/>
      <c r="I47" s="118"/>
      <c r="J47" s="119">
        <f t="shared" si="4"/>
        <v>0</v>
      </c>
    </row>
    <row r="48" spans="1:13" ht="15.75" thickBot="1" x14ac:dyDescent="0.3">
      <c r="A48" s="275"/>
      <c r="B48" s="103"/>
      <c r="C48" s="103"/>
      <c r="D48" s="118"/>
      <c r="E48" s="118"/>
      <c r="F48" s="118"/>
      <c r="G48" s="118"/>
      <c r="H48" s="118"/>
      <c r="I48" s="118"/>
      <c r="J48" s="119">
        <f t="shared" si="4"/>
        <v>0</v>
      </c>
    </row>
    <row r="49" spans="1:10" ht="15.75" thickBot="1" x14ac:dyDescent="0.3">
      <c r="A49" s="275"/>
      <c r="B49" s="103"/>
      <c r="C49" s="103"/>
      <c r="D49" s="118"/>
      <c r="E49" s="118"/>
      <c r="F49" s="118"/>
      <c r="G49" s="118"/>
      <c r="H49" s="118"/>
      <c r="I49" s="118"/>
      <c r="J49" s="119">
        <f t="shared" si="4"/>
        <v>0</v>
      </c>
    </row>
    <row r="50" spans="1:10" ht="15.75" thickBot="1" x14ac:dyDescent="0.3">
      <c r="A50" s="275"/>
      <c r="B50" s="103"/>
      <c r="C50" s="103"/>
      <c r="D50" s="118"/>
      <c r="E50" s="118"/>
      <c r="F50" s="118"/>
      <c r="G50" s="118"/>
      <c r="H50" s="118"/>
      <c r="I50" s="118"/>
      <c r="J50" s="119">
        <f t="shared" si="4"/>
        <v>0</v>
      </c>
    </row>
    <row r="51" spans="1:10" ht="15.75" thickBot="1" x14ac:dyDescent="0.3">
      <c r="A51" s="275"/>
      <c r="B51" s="103"/>
      <c r="C51" s="103"/>
      <c r="D51" s="118"/>
      <c r="E51" s="118"/>
      <c r="F51" s="118"/>
      <c r="G51" s="118"/>
      <c r="H51" s="118"/>
      <c r="I51" s="118"/>
      <c r="J51" s="119">
        <f t="shared" si="4"/>
        <v>0</v>
      </c>
    </row>
    <row r="52" spans="1:10" ht="15.75" thickBot="1" x14ac:dyDescent="0.3">
      <c r="A52" s="275"/>
      <c r="B52" s="103"/>
      <c r="C52" s="103"/>
      <c r="D52" s="118"/>
      <c r="E52" s="118"/>
      <c r="F52" s="118"/>
      <c r="G52" s="118"/>
      <c r="H52" s="118"/>
      <c r="I52" s="118"/>
      <c r="J52" s="119">
        <f t="shared" si="4"/>
        <v>0</v>
      </c>
    </row>
    <row r="53" spans="1:10" ht="15.75" thickBot="1" x14ac:dyDescent="0.3">
      <c r="A53" s="137"/>
      <c r="B53" s="103"/>
      <c r="C53" s="103"/>
      <c r="D53" s="118"/>
      <c r="E53" s="118"/>
      <c r="F53" s="118"/>
      <c r="G53" s="118"/>
      <c r="H53" s="118"/>
      <c r="I53" s="118"/>
      <c r="J53" s="119">
        <f t="shared" si="4"/>
        <v>0</v>
      </c>
    </row>
    <row r="54" spans="1:10" ht="15.75" thickBot="1" x14ac:dyDescent="0.3">
      <c r="A54" s="121"/>
      <c r="B54" s="103"/>
      <c r="C54" s="103"/>
      <c r="D54" s="118"/>
      <c r="F54" s="118"/>
      <c r="G54" s="118"/>
      <c r="H54" s="118"/>
      <c r="I54" s="118"/>
      <c r="J54" s="119">
        <f t="shared" si="4"/>
        <v>0</v>
      </c>
    </row>
    <row r="55" spans="1:10" ht="15.75" thickBot="1" x14ac:dyDescent="0.3">
      <c r="A55" s="121"/>
      <c r="B55" s="103"/>
      <c r="C55" s="103"/>
      <c r="D55" s="118"/>
      <c r="E55" s="118"/>
      <c r="F55" s="118"/>
      <c r="G55" s="118"/>
      <c r="H55" s="118"/>
      <c r="I55" s="118"/>
      <c r="J55" s="119">
        <f t="shared" si="4"/>
        <v>0</v>
      </c>
    </row>
    <row r="56" spans="1:10" ht="15.75" thickBot="1" x14ac:dyDescent="0.3">
      <c r="A56" s="121"/>
      <c r="B56" s="103"/>
      <c r="C56" s="103"/>
      <c r="D56" s="138"/>
      <c r="E56" s="138"/>
      <c r="F56" s="138"/>
      <c r="G56" s="138"/>
      <c r="H56" s="138"/>
      <c r="I56" s="138"/>
      <c r="J56" s="119">
        <f t="shared" si="4"/>
        <v>0</v>
      </c>
    </row>
    <row r="57" spans="1:10" ht="19.5" thickBot="1" x14ac:dyDescent="0.35">
      <c r="A57" s="105" t="s">
        <v>4</v>
      </c>
      <c r="B57" s="86"/>
      <c r="C57" s="106"/>
      <c r="D57" s="107">
        <f t="shared" ref="D57:J57" si="5">SUM(D43:D56)</f>
        <v>0</v>
      </c>
      <c r="E57" s="107">
        <f t="shared" si="5"/>
        <v>0</v>
      </c>
      <c r="F57" s="107">
        <f t="shared" si="5"/>
        <v>0</v>
      </c>
      <c r="G57" s="107">
        <f t="shared" si="5"/>
        <v>0</v>
      </c>
      <c r="H57" s="107">
        <f t="shared" si="5"/>
        <v>0</v>
      </c>
      <c r="I57" s="107">
        <f t="shared" si="5"/>
        <v>0</v>
      </c>
      <c r="J57" s="107">
        <f t="shared" si="5"/>
        <v>0</v>
      </c>
    </row>
    <row r="58" spans="1:10" ht="15.75" x14ac:dyDescent="0.25">
      <c r="A58" s="139"/>
      <c r="B58" s="139"/>
      <c r="C58" s="140"/>
      <c r="D58" s="141"/>
      <c r="E58" s="141"/>
      <c r="F58" s="141"/>
      <c r="G58" s="141"/>
      <c r="H58" s="141"/>
      <c r="I58" s="141"/>
      <c r="J58" s="141"/>
    </row>
    <row r="59" spans="1:10" ht="16.5" thickBot="1" x14ac:dyDescent="0.3">
      <c r="A59" s="139"/>
      <c r="B59" s="139"/>
      <c r="C59" s="140"/>
      <c r="D59" s="141"/>
      <c r="E59" s="141"/>
      <c r="F59" s="141"/>
      <c r="G59" s="141"/>
      <c r="H59" s="141"/>
      <c r="I59" s="141"/>
      <c r="J59" s="141"/>
    </row>
    <row r="60" spans="1:10" ht="19.5" thickBot="1" x14ac:dyDescent="0.35">
      <c r="A60" s="492" t="s">
        <v>50</v>
      </c>
      <c r="B60" s="493"/>
      <c r="C60" s="142"/>
      <c r="D60" s="143"/>
      <c r="E60" s="143"/>
      <c r="F60" s="143"/>
      <c r="G60" s="143"/>
      <c r="H60" s="143"/>
      <c r="I60" s="143"/>
      <c r="J60" s="108">
        <f>+J22+J57</f>
        <v>105</v>
      </c>
    </row>
    <row r="61" spans="1:10" x14ac:dyDescent="0.25">
      <c r="A61" s="84"/>
      <c r="B61" s="84"/>
      <c r="C61" s="144"/>
      <c r="D61" s="85"/>
      <c r="E61" s="85"/>
      <c r="F61" s="85"/>
      <c r="G61" s="85"/>
      <c r="H61" s="85"/>
      <c r="I61" s="85"/>
      <c r="J61" s="85"/>
    </row>
    <row r="62" spans="1:10" x14ac:dyDescent="0.25">
      <c r="A62" s="84"/>
      <c r="B62" s="84"/>
      <c r="C62" s="144"/>
      <c r="D62" s="85"/>
      <c r="E62" s="85"/>
      <c r="F62" s="85"/>
      <c r="G62" s="85"/>
      <c r="H62" s="85"/>
      <c r="I62" s="85"/>
      <c r="J62" s="85"/>
    </row>
    <row r="63" spans="1:10" ht="16.5" thickBot="1" x14ac:dyDescent="0.3">
      <c r="A63" s="145" t="s">
        <v>51</v>
      </c>
      <c r="B63" s="84"/>
      <c r="C63" s="144"/>
      <c r="D63" s="85"/>
      <c r="E63" s="85"/>
      <c r="F63" s="85"/>
      <c r="G63" s="85"/>
      <c r="H63" s="85"/>
      <c r="I63" s="85"/>
      <c r="J63" s="85"/>
    </row>
    <row r="64" spans="1:10" ht="19.5" thickBot="1" x14ac:dyDescent="0.35">
      <c r="A64" s="146" t="s">
        <v>52</v>
      </c>
      <c r="B64" s="147"/>
      <c r="C64" s="148"/>
      <c r="D64" s="149"/>
      <c r="E64" s="149"/>
      <c r="F64" s="149"/>
      <c r="G64" s="149"/>
      <c r="H64" s="149"/>
      <c r="I64" s="149"/>
      <c r="J64" s="108"/>
    </row>
    <row r="65" spans="1:10" ht="19.5" thickBot="1" x14ac:dyDescent="0.35">
      <c r="A65" s="146" t="s">
        <v>53</v>
      </c>
      <c r="B65" s="147"/>
      <c r="C65" s="150"/>
      <c r="D65" s="149"/>
      <c r="E65" s="149"/>
      <c r="F65" s="149"/>
      <c r="G65" s="149"/>
      <c r="H65" s="149"/>
      <c r="I65" s="149"/>
      <c r="J65" s="108"/>
    </row>
    <row r="66" spans="1:10" ht="18.75" x14ac:dyDescent="0.3">
      <c r="A66" s="151"/>
      <c r="B66" s="151"/>
      <c r="C66" s="152"/>
      <c r="D66" s="153"/>
      <c r="E66" s="153"/>
      <c r="F66" s="153"/>
      <c r="G66" s="153"/>
      <c r="H66" s="153"/>
      <c r="I66" s="153"/>
      <c r="J66" s="111"/>
    </row>
    <row r="67" spans="1:10" ht="18.75" x14ac:dyDescent="0.3">
      <c r="A67" s="151"/>
      <c r="B67" s="151"/>
      <c r="C67" s="152"/>
      <c r="D67" s="153"/>
      <c r="E67" s="153"/>
      <c r="F67" s="153"/>
      <c r="G67" s="153"/>
      <c r="H67" s="153"/>
      <c r="I67" s="153"/>
      <c r="J67" s="111"/>
    </row>
    <row r="68" spans="1:10" ht="16.5" thickBot="1" x14ac:dyDescent="0.3">
      <c r="A68" s="154" t="s">
        <v>54</v>
      </c>
      <c r="B68" s="155"/>
      <c r="C68" s="144"/>
      <c r="D68" s="85"/>
      <c r="E68" s="85"/>
      <c r="F68" s="85"/>
      <c r="G68" s="85"/>
      <c r="H68" s="85"/>
      <c r="I68" s="85"/>
      <c r="J68" s="85"/>
    </row>
    <row r="69" spans="1:10" ht="19.5" thickBot="1" x14ac:dyDescent="0.35">
      <c r="A69" s="156" t="s">
        <v>55</v>
      </c>
      <c r="B69" s="157"/>
      <c r="C69" s="158"/>
      <c r="D69" s="159"/>
      <c r="E69" s="159"/>
      <c r="F69" s="159"/>
      <c r="G69" s="159"/>
      <c r="H69" s="159"/>
      <c r="I69" s="159"/>
      <c r="J69" s="160">
        <v>508.5</v>
      </c>
    </row>
    <row r="70" spans="1:10" x14ac:dyDescent="0.25">
      <c r="A70" s="161"/>
      <c r="B70" s="84"/>
      <c r="C70" s="144"/>
      <c r="D70" s="85"/>
      <c r="E70" s="85"/>
      <c r="F70" s="85"/>
      <c r="G70" s="85"/>
      <c r="H70" s="85"/>
      <c r="I70" s="85"/>
      <c r="J70" s="85"/>
    </row>
    <row r="71" spans="1:10" ht="16.5" thickBot="1" x14ac:dyDescent="0.3">
      <c r="A71" s="154"/>
      <c r="B71" s="155"/>
      <c r="C71" s="144"/>
      <c r="D71" s="85"/>
      <c r="E71" s="85"/>
      <c r="F71" s="85"/>
      <c r="G71" s="85"/>
      <c r="H71" s="85"/>
      <c r="I71" s="85"/>
      <c r="J71" s="85"/>
    </row>
    <row r="72" spans="1:10" ht="19.5" thickBot="1" x14ac:dyDescent="0.35">
      <c r="A72" s="156" t="s">
        <v>56</v>
      </c>
      <c r="B72" s="157"/>
      <c r="C72" s="162"/>
      <c r="D72" s="159"/>
      <c r="E72" s="159"/>
      <c r="F72" s="159"/>
      <c r="G72" s="159"/>
      <c r="H72" s="159"/>
      <c r="I72" s="159"/>
      <c r="J72" s="163"/>
    </row>
    <row r="73" spans="1:10" ht="15.75" thickBot="1" x14ac:dyDescent="0.3">
      <c r="A73" s="161"/>
      <c r="B73" s="84"/>
      <c r="C73" s="144"/>
      <c r="D73" s="85"/>
      <c r="E73" s="85"/>
      <c r="F73" s="85"/>
      <c r="G73" s="85"/>
      <c r="H73" s="85"/>
      <c r="I73" s="85"/>
      <c r="J73" s="85"/>
    </row>
    <row r="74" spans="1:10" ht="21.75" thickBot="1" x14ac:dyDescent="0.4">
      <c r="A74" s="494" t="s">
        <v>57</v>
      </c>
      <c r="B74" s="495"/>
      <c r="C74" s="164"/>
      <c r="D74" s="165"/>
      <c r="E74" s="165"/>
      <c r="F74" s="165"/>
      <c r="G74" s="165"/>
      <c r="H74" s="165"/>
      <c r="I74" s="165"/>
      <c r="J74" s="166">
        <f>SUM(J60:J73)</f>
        <v>613.5</v>
      </c>
    </row>
    <row r="75" spans="1:10" x14ac:dyDescent="0.25">
      <c r="A75" s="84"/>
      <c r="B75" s="84"/>
      <c r="C75" s="144"/>
      <c r="D75" s="85"/>
      <c r="E75" s="85"/>
      <c r="F75" s="85"/>
      <c r="G75" s="85"/>
      <c r="H75" s="85"/>
      <c r="I75" s="85"/>
      <c r="J75" s="85"/>
    </row>
    <row r="76" spans="1:10" ht="21" x14ac:dyDescent="0.35">
      <c r="A76" s="491" t="s">
        <v>349</v>
      </c>
      <c r="B76" s="491"/>
      <c r="C76" s="491"/>
      <c r="D76" s="491"/>
      <c r="E76" s="491"/>
      <c r="F76" s="491"/>
      <c r="G76" s="491"/>
      <c r="H76" s="491"/>
      <c r="I76" s="491"/>
      <c r="J76" s="491"/>
    </row>
    <row r="77" spans="1:10" ht="21.75" thickBot="1" x14ac:dyDescent="0.4">
      <c r="A77" s="276" t="s">
        <v>10</v>
      </c>
      <c r="B77" s="276"/>
      <c r="C77" s="276"/>
      <c r="D77" s="276"/>
      <c r="E77" s="276"/>
      <c r="F77" s="276"/>
      <c r="G77" s="276"/>
      <c r="H77" s="276"/>
      <c r="I77" s="276"/>
      <c r="J77" s="168"/>
    </row>
    <row r="78" spans="1:10" ht="15.75" thickBot="1" x14ac:dyDescent="0.3">
      <c r="A78" s="169" t="s">
        <v>58</v>
      </c>
      <c r="B78" s="170" t="s">
        <v>59</v>
      </c>
      <c r="C78" s="496" t="s">
        <v>33</v>
      </c>
      <c r="D78" s="497"/>
      <c r="E78" s="497"/>
      <c r="F78" s="497"/>
      <c r="G78" s="497"/>
      <c r="H78" s="497"/>
      <c r="I78" s="498"/>
      <c r="J78" s="171" t="s">
        <v>4</v>
      </c>
    </row>
    <row r="79" spans="1:10" ht="15.75" thickBot="1" x14ac:dyDescent="0.3">
      <c r="A79" s="172" t="s">
        <v>356</v>
      </c>
      <c r="B79" s="173" t="s">
        <v>358</v>
      </c>
      <c r="C79" s="488" t="s">
        <v>359</v>
      </c>
      <c r="D79" s="489"/>
      <c r="E79" s="489"/>
      <c r="F79" s="489"/>
      <c r="G79" s="489"/>
      <c r="H79" s="489"/>
      <c r="I79" s="489"/>
      <c r="J79" s="104">
        <v>300</v>
      </c>
    </row>
    <row r="80" spans="1:10" ht="15.75" thickBot="1" x14ac:dyDescent="0.3">
      <c r="A80" s="121"/>
      <c r="B80" s="173"/>
      <c r="C80" s="488"/>
      <c r="D80" s="489"/>
      <c r="E80" s="489"/>
      <c r="F80" s="489"/>
      <c r="G80" s="489"/>
      <c r="H80" s="490"/>
      <c r="I80" s="490"/>
      <c r="J80" s="104"/>
    </row>
    <row r="81" spans="1:10" ht="15.75" thickBot="1" x14ac:dyDescent="0.3">
      <c r="A81" s="121"/>
      <c r="B81" s="173"/>
      <c r="C81" s="504"/>
      <c r="D81" s="505"/>
      <c r="E81" s="505"/>
      <c r="F81" s="505"/>
      <c r="G81" s="505"/>
      <c r="H81" s="505"/>
      <c r="I81" s="505"/>
      <c r="J81" s="174"/>
    </row>
    <row r="82" spans="1:10" ht="15.75" thickBot="1" x14ac:dyDescent="0.3">
      <c r="A82" s="121"/>
      <c r="B82" s="173"/>
      <c r="C82" s="488"/>
      <c r="D82" s="489"/>
      <c r="E82" s="489"/>
      <c r="F82" s="489"/>
      <c r="G82" s="489"/>
      <c r="H82" s="490"/>
      <c r="I82" s="490"/>
      <c r="J82" s="104"/>
    </row>
    <row r="83" spans="1:10" ht="15.75" thickBot="1" x14ac:dyDescent="0.3">
      <c r="A83" s="121"/>
      <c r="B83" s="173"/>
      <c r="C83" s="488"/>
      <c r="D83" s="489"/>
      <c r="E83" s="489"/>
      <c r="F83" s="489"/>
      <c r="G83" s="489"/>
      <c r="H83" s="490"/>
      <c r="I83" s="490"/>
      <c r="J83" s="104"/>
    </row>
    <row r="84" spans="1:10" ht="15.75" thickBot="1" x14ac:dyDescent="0.3">
      <c r="A84" s="121"/>
      <c r="B84" s="173"/>
      <c r="C84" s="488"/>
      <c r="D84" s="489"/>
      <c r="E84" s="489"/>
      <c r="F84" s="489"/>
      <c r="G84" s="489"/>
      <c r="H84" s="490"/>
      <c r="I84" s="490"/>
      <c r="J84" s="118"/>
    </row>
    <row r="85" spans="1:10" ht="15.75" thickBot="1" x14ac:dyDescent="0.3">
      <c r="A85" s="121"/>
      <c r="B85" s="173"/>
      <c r="C85" s="488"/>
      <c r="D85" s="489"/>
      <c r="E85" s="489"/>
      <c r="F85" s="489"/>
      <c r="G85" s="489"/>
      <c r="H85" s="490"/>
      <c r="I85" s="490"/>
      <c r="J85" s="118"/>
    </row>
    <row r="86" spans="1:10" ht="15.75" thickBot="1" x14ac:dyDescent="0.3">
      <c r="A86" s="121"/>
      <c r="B86" s="173"/>
      <c r="C86" s="488"/>
      <c r="D86" s="489"/>
      <c r="E86" s="489"/>
      <c r="F86" s="489"/>
      <c r="G86" s="489"/>
      <c r="H86" s="490"/>
      <c r="I86" s="490"/>
      <c r="J86" s="118"/>
    </row>
    <row r="87" spans="1:10" ht="15.75" thickBot="1" x14ac:dyDescent="0.3">
      <c r="A87" s="121"/>
      <c r="B87" s="173"/>
      <c r="C87" s="488"/>
      <c r="D87" s="489"/>
      <c r="E87" s="489"/>
      <c r="F87" s="489"/>
      <c r="G87" s="489"/>
      <c r="H87" s="490"/>
      <c r="I87" s="490"/>
      <c r="J87" s="118"/>
    </row>
    <row r="88" spans="1:10" ht="15.75" thickBot="1" x14ac:dyDescent="0.3">
      <c r="A88" s="121"/>
      <c r="B88" s="173"/>
      <c r="C88" s="488"/>
      <c r="D88" s="489"/>
      <c r="E88" s="489"/>
      <c r="F88" s="489"/>
      <c r="G88" s="489"/>
      <c r="H88" s="490"/>
      <c r="I88" s="490"/>
      <c r="J88" s="118"/>
    </row>
    <row r="89" spans="1:10" ht="19.5" thickBot="1" x14ac:dyDescent="0.35">
      <c r="A89" s="175" t="s">
        <v>60</v>
      </c>
      <c r="B89" s="492"/>
      <c r="C89" s="499"/>
      <c r="D89" s="499"/>
      <c r="E89" s="499"/>
      <c r="F89" s="499"/>
      <c r="G89" s="499"/>
      <c r="H89" s="499"/>
      <c r="I89" s="499"/>
      <c r="J89" s="176">
        <f>SUM(J79:J88)</f>
        <v>300</v>
      </c>
    </row>
    <row r="90" spans="1:10" ht="18.75" x14ac:dyDescent="0.3">
      <c r="A90" s="2"/>
      <c r="B90" s="2"/>
      <c r="C90" s="177"/>
      <c r="D90" s="177"/>
      <c r="E90" s="177"/>
      <c r="F90" s="178"/>
      <c r="G90" s="177"/>
      <c r="H90" s="177"/>
      <c r="I90" s="177"/>
      <c r="J90" s="111"/>
    </row>
    <row r="91" spans="1:10" ht="18.75" x14ac:dyDescent="0.3">
      <c r="A91" s="2"/>
      <c r="B91" s="2"/>
      <c r="C91" s="177"/>
      <c r="D91" s="177"/>
      <c r="E91" s="177"/>
      <c r="F91" s="178"/>
      <c r="G91" s="177"/>
      <c r="H91" s="177"/>
      <c r="I91" s="177"/>
      <c r="J91" s="111"/>
    </row>
    <row r="92" spans="1:10" ht="18.75" x14ac:dyDescent="0.3">
      <c r="A92" s="139" t="s">
        <v>61</v>
      </c>
      <c r="B92" s="2"/>
      <c r="C92" s="84"/>
      <c r="D92" s="85"/>
      <c r="F92" s="85"/>
      <c r="J92" s="85"/>
    </row>
    <row r="93" spans="1:10" x14ac:dyDescent="0.25">
      <c r="A93" s="84" t="s">
        <v>62</v>
      </c>
      <c r="B93" s="144">
        <f>+J74</f>
        <v>613.5</v>
      </c>
      <c r="C93" s="179"/>
      <c r="D93" s="85"/>
      <c r="F93" s="85"/>
      <c r="J93" s="85"/>
    </row>
    <row r="94" spans="1:10" ht="15.75" thickBot="1" x14ac:dyDescent="0.3">
      <c r="A94" s="84" t="s">
        <v>60</v>
      </c>
      <c r="B94" s="180">
        <f>+J89</f>
        <v>300</v>
      </c>
      <c r="C94" s="181"/>
      <c r="D94" s="85"/>
      <c r="F94" s="85"/>
      <c r="G94" s="182"/>
      <c r="H94" s="182"/>
      <c r="I94" s="183"/>
      <c r="J94" s="183"/>
    </row>
    <row r="95" spans="1:10" ht="17.25" thickTop="1" thickBot="1" x14ac:dyDescent="0.3">
      <c r="A95" s="139" t="s">
        <v>8</v>
      </c>
      <c r="B95" s="184">
        <f>++B93-B94</f>
        <v>313.5</v>
      </c>
      <c r="C95" s="185"/>
      <c r="D95" s="186"/>
      <c r="E95" s="41"/>
      <c r="F95" s="186"/>
      <c r="G95" s="187"/>
      <c r="H95" s="187"/>
      <c r="I95" s="85"/>
    </row>
    <row r="96" spans="1:10" ht="15.75" thickTop="1" x14ac:dyDescent="0.25"/>
  </sheetData>
  <mergeCells count="17">
    <mergeCell ref="A1:J1"/>
    <mergeCell ref="A60:B60"/>
    <mergeCell ref="A74:B74"/>
    <mergeCell ref="A76:J76"/>
    <mergeCell ref="C78:I78"/>
    <mergeCell ref="B89:I89"/>
    <mergeCell ref="A26:A27"/>
    <mergeCell ref="C84:I84"/>
    <mergeCell ref="C85:I85"/>
    <mergeCell ref="C86:I86"/>
    <mergeCell ref="C87:I87"/>
    <mergeCell ref="C88:I88"/>
    <mergeCell ref="C80:I80"/>
    <mergeCell ref="C81:I81"/>
    <mergeCell ref="C82:I82"/>
    <mergeCell ref="C83:I83"/>
    <mergeCell ref="C79:I79"/>
  </mergeCells>
  <pageMargins left="0.17" right="0.17" top="1.7" bottom="0.17" header="0.17" footer="0.17"/>
  <pageSetup paperSize="9" scale="28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73BD-A718-4D36-B347-0A8EA8075E5A}">
  <sheetPr>
    <pageSetUpPr fitToPage="1"/>
  </sheetPr>
  <dimension ref="A1:M99"/>
  <sheetViews>
    <sheetView topLeftCell="A68" workbookViewId="0">
      <selection activeCell="A8" sqref="A1:XFD1048576"/>
    </sheetView>
  </sheetViews>
  <sheetFormatPr baseColWidth="10" defaultRowHeight="15" x14ac:dyDescent="0.25"/>
  <cols>
    <col min="1" max="1" width="32.140625" bestFit="1" customWidth="1"/>
    <col min="2" max="2" width="15.42578125" bestFit="1" customWidth="1"/>
  </cols>
  <sheetData>
    <row r="1" spans="1:10" ht="21" x14ac:dyDescent="0.35">
      <c r="A1" s="491" t="s">
        <v>360</v>
      </c>
      <c r="B1" s="491"/>
      <c r="C1" s="491"/>
      <c r="D1" s="491"/>
      <c r="E1" s="491"/>
      <c r="F1" s="491"/>
      <c r="G1" s="491"/>
      <c r="H1" s="491"/>
      <c r="I1" s="491"/>
      <c r="J1" s="491"/>
    </row>
    <row r="2" spans="1:10" ht="15.75" thickBot="1" x14ac:dyDescent="0.3">
      <c r="A2" s="83"/>
      <c r="B2" s="84"/>
      <c r="C2" s="84"/>
      <c r="J2" s="85"/>
    </row>
    <row r="3" spans="1:10" ht="1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87" t="s">
        <v>4</v>
      </c>
    </row>
    <row r="4" spans="1:10" ht="15.75" thickBot="1" x14ac:dyDescent="0.3">
      <c r="A4" s="88"/>
      <c r="B4" s="88"/>
      <c r="C4" s="89"/>
      <c r="D4" s="90"/>
      <c r="E4" s="90"/>
      <c r="F4" s="90"/>
      <c r="G4" s="90"/>
      <c r="H4" s="90"/>
      <c r="I4" s="90"/>
      <c r="J4" s="87">
        <f>SUM(D4:I4)</f>
        <v>0</v>
      </c>
    </row>
    <row r="5" spans="1:10" ht="15.75" thickBot="1" x14ac:dyDescent="0.3">
      <c r="A5" s="88"/>
      <c r="B5" s="88"/>
      <c r="C5" s="89"/>
      <c r="D5" s="90"/>
      <c r="E5" s="90"/>
      <c r="F5" s="90"/>
      <c r="G5" s="90"/>
      <c r="H5" s="90"/>
      <c r="I5" s="90"/>
      <c r="J5" s="87">
        <f t="shared" ref="J5:J21" si="0">SUM(D5:I5)</f>
        <v>0</v>
      </c>
    </row>
    <row r="6" spans="1:10" ht="15.75" thickBot="1" x14ac:dyDescent="0.3">
      <c r="A6" s="88"/>
      <c r="B6" s="88"/>
      <c r="C6" s="89"/>
      <c r="D6" s="90"/>
      <c r="E6" s="90"/>
      <c r="F6" s="90"/>
      <c r="G6" s="90"/>
      <c r="H6" s="90"/>
      <c r="I6" s="90"/>
      <c r="J6" s="87">
        <f t="shared" si="0"/>
        <v>0</v>
      </c>
    </row>
    <row r="7" spans="1:10" ht="15.75" thickBot="1" x14ac:dyDescent="0.3">
      <c r="A7" s="88"/>
      <c r="B7" s="88"/>
      <c r="C7" s="89"/>
      <c r="D7" s="90"/>
      <c r="E7" s="90"/>
      <c r="F7" s="90"/>
      <c r="G7" s="90"/>
      <c r="H7" s="90"/>
      <c r="I7" s="90"/>
      <c r="J7" s="87">
        <f t="shared" si="0"/>
        <v>0</v>
      </c>
    </row>
    <row r="8" spans="1:10" ht="15.75" thickBot="1" x14ac:dyDescent="0.3">
      <c r="A8" s="88"/>
      <c r="B8" s="88"/>
      <c r="C8" s="89"/>
      <c r="D8" s="90"/>
      <c r="E8" s="90"/>
      <c r="F8" s="90"/>
      <c r="G8" s="90"/>
      <c r="H8" s="90"/>
      <c r="I8" s="90"/>
      <c r="J8" s="87">
        <f t="shared" si="0"/>
        <v>0</v>
      </c>
    </row>
    <row r="9" spans="1:10" ht="15.75" thickBot="1" x14ac:dyDescent="0.3">
      <c r="A9" s="88"/>
      <c r="B9" s="88"/>
      <c r="C9" s="89"/>
      <c r="D9" s="90"/>
      <c r="E9" s="90"/>
      <c r="F9" s="90"/>
      <c r="G9" s="90"/>
      <c r="H9" s="90"/>
      <c r="I9" s="90"/>
      <c r="J9" s="87">
        <f t="shared" si="0"/>
        <v>0</v>
      </c>
    </row>
    <row r="10" spans="1:10" ht="15.75" thickBot="1" x14ac:dyDescent="0.3">
      <c r="A10" s="88"/>
      <c r="B10" s="88"/>
      <c r="C10" s="89"/>
      <c r="D10" s="90"/>
      <c r="E10" s="90"/>
      <c r="F10" s="90"/>
      <c r="G10" s="90"/>
      <c r="H10" s="90"/>
      <c r="I10" s="90"/>
      <c r="J10" s="87">
        <f t="shared" si="0"/>
        <v>0</v>
      </c>
    </row>
    <row r="11" spans="1:10" ht="15.75" thickBot="1" x14ac:dyDescent="0.3">
      <c r="A11" s="285"/>
      <c r="B11" s="88"/>
      <c r="C11" s="89"/>
      <c r="D11" s="90"/>
      <c r="E11" s="90"/>
      <c r="F11" s="90"/>
      <c r="G11" s="90"/>
      <c r="H11" s="90"/>
      <c r="I11" s="90"/>
      <c r="J11" s="87">
        <f t="shared" si="0"/>
        <v>0</v>
      </c>
    </row>
    <row r="12" spans="1:10" ht="15.75" thickBot="1" x14ac:dyDescent="0.3">
      <c r="A12" s="285"/>
      <c r="B12" s="283"/>
      <c r="C12" s="89"/>
      <c r="D12" s="90"/>
      <c r="E12" s="90"/>
      <c r="F12" s="90"/>
      <c r="G12" s="90"/>
      <c r="H12" s="90"/>
      <c r="I12" s="93"/>
      <c r="J12" s="94">
        <f t="shared" si="0"/>
        <v>0</v>
      </c>
    </row>
    <row r="13" spans="1:10" ht="15.75" thickBot="1" x14ac:dyDescent="0.3">
      <c r="A13" s="88"/>
      <c r="B13" s="88"/>
      <c r="C13" s="89"/>
      <c r="D13" s="90"/>
      <c r="E13" s="90"/>
      <c r="F13" s="90"/>
      <c r="G13" s="90"/>
      <c r="H13" s="90"/>
      <c r="I13" s="90"/>
      <c r="J13" s="87">
        <f t="shared" si="0"/>
        <v>0</v>
      </c>
    </row>
    <row r="14" spans="1:10" ht="15.75" thickBot="1" x14ac:dyDescent="0.3">
      <c r="A14" s="95"/>
      <c r="B14" s="284"/>
      <c r="C14" s="89"/>
      <c r="D14" s="90"/>
      <c r="E14" s="90"/>
      <c r="F14" s="90"/>
      <c r="G14" s="90"/>
      <c r="H14" s="90"/>
      <c r="I14" s="90"/>
      <c r="J14" s="87">
        <f t="shared" si="0"/>
        <v>0</v>
      </c>
    </row>
    <row r="15" spans="1:10" ht="15.75" thickBot="1" x14ac:dyDescent="0.3">
      <c r="A15" s="97"/>
      <c r="B15" s="95"/>
      <c r="C15" s="89"/>
      <c r="D15" s="90"/>
      <c r="E15" s="90"/>
      <c r="F15" s="90"/>
      <c r="G15" s="90"/>
      <c r="H15" s="90"/>
      <c r="I15" s="90"/>
      <c r="J15" s="87">
        <f t="shared" si="0"/>
        <v>0</v>
      </c>
    </row>
    <row r="16" spans="1:10" ht="15.75" thickBot="1" x14ac:dyDescent="0.3">
      <c r="A16" s="286"/>
      <c r="B16" s="286"/>
      <c r="C16" s="89"/>
      <c r="D16" s="90"/>
      <c r="E16" s="90"/>
      <c r="F16" s="90"/>
      <c r="G16" s="90"/>
      <c r="H16" s="90"/>
      <c r="I16" s="90"/>
      <c r="J16" s="87">
        <f t="shared" si="0"/>
        <v>0</v>
      </c>
    </row>
    <row r="17" spans="1:13" ht="15.75" thickBot="1" x14ac:dyDescent="0.3">
      <c r="A17" s="99"/>
      <c r="B17" s="286"/>
      <c r="C17" s="89"/>
      <c r="D17" s="90"/>
      <c r="E17" s="90"/>
      <c r="F17" s="90"/>
      <c r="G17" s="90"/>
      <c r="H17" s="90"/>
      <c r="I17" s="90"/>
      <c r="J17" s="87">
        <f t="shared" si="0"/>
        <v>0</v>
      </c>
    </row>
    <row r="18" spans="1:13" ht="15.75" thickBot="1" x14ac:dyDescent="0.3">
      <c r="A18" s="99"/>
      <c r="B18" s="286"/>
      <c r="C18" s="89"/>
      <c r="D18" s="90"/>
      <c r="E18" s="90"/>
      <c r="F18" s="90"/>
      <c r="G18" s="90"/>
      <c r="H18" s="90"/>
      <c r="I18" s="90"/>
      <c r="J18" s="87">
        <f t="shared" si="0"/>
        <v>0</v>
      </c>
    </row>
    <row r="19" spans="1:13" ht="15.75" thickBot="1" x14ac:dyDescent="0.3">
      <c r="A19" s="100"/>
      <c r="B19" s="286"/>
      <c r="C19" s="89"/>
      <c r="D19" s="90"/>
      <c r="E19" s="90"/>
      <c r="F19" s="90"/>
      <c r="G19" s="90"/>
      <c r="H19" s="90"/>
      <c r="I19" s="90"/>
      <c r="J19" s="87">
        <f t="shared" si="0"/>
        <v>0</v>
      </c>
    </row>
    <row r="20" spans="1:13" ht="15.75" thickBot="1" x14ac:dyDescent="0.3">
      <c r="A20" s="289"/>
      <c r="B20" s="289"/>
      <c r="C20" s="89"/>
      <c r="D20" s="90"/>
      <c r="E20" s="90"/>
      <c r="F20" s="90"/>
      <c r="G20" s="90"/>
      <c r="H20" s="90"/>
      <c r="I20" s="90"/>
      <c r="J20" s="87">
        <f t="shared" si="0"/>
        <v>0</v>
      </c>
    </row>
    <row r="21" spans="1:13" ht="15.75" thickBot="1" x14ac:dyDescent="0.3">
      <c r="A21" s="286"/>
      <c r="B21" s="288"/>
      <c r="C21" s="103"/>
      <c r="D21" s="104"/>
      <c r="E21" s="104"/>
      <c r="F21" s="104"/>
      <c r="G21" s="104"/>
      <c r="H21" s="104"/>
      <c r="I21" s="104"/>
      <c r="J21" s="87">
        <f t="shared" si="0"/>
        <v>0</v>
      </c>
    </row>
    <row r="22" spans="1:13" ht="19.5" thickBot="1" x14ac:dyDescent="0.35">
      <c r="A22" s="105" t="s">
        <v>4</v>
      </c>
      <c r="B22" s="86"/>
      <c r="C22" s="106"/>
      <c r="D22" s="107">
        <f t="shared" ref="D22:I22" si="1">SUM(D4:D21)</f>
        <v>0</v>
      </c>
      <c r="E22" s="107">
        <f t="shared" si="1"/>
        <v>0</v>
      </c>
      <c r="F22" s="107">
        <f t="shared" si="1"/>
        <v>0</v>
      </c>
      <c r="G22" s="107"/>
      <c r="H22" s="107">
        <f t="shared" si="1"/>
        <v>0</v>
      </c>
      <c r="I22" s="107">
        <f t="shared" si="1"/>
        <v>0</v>
      </c>
      <c r="J22" s="108">
        <f>SUM(J4:J21)</f>
        <v>0</v>
      </c>
    </row>
    <row r="23" spans="1:13" ht="19.5" thickBot="1" x14ac:dyDescent="0.35">
      <c r="A23" s="2"/>
      <c r="B23" s="109"/>
      <c r="C23" s="110"/>
      <c r="D23" s="111"/>
      <c r="E23" s="111"/>
      <c r="F23" s="111"/>
      <c r="G23" s="111"/>
      <c r="H23" s="111"/>
      <c r="I23" s="111"/>
      <c r="J23" s="111"/>
    </row>
    <row r="24" spans="1:13" ht="24" thickBot="1" x14ac:dyDescent="0.4">
      <c r="A24" s="112" t="s">
        <v>40</v>
      </c>
      <c r="B24" s="109"/>
      <c r="C24" s="110"/>
      <c r="D24" s="111"/>
      <c r="E24" s="111"/>
      <c r="F24" s="111"/>
      <c r="G24" s="111"/>
      <c r="H24" s="111"/>
      <c r="I24" s="111"/>
      <c r="J24" s="111"/>
    </row>
    <row r="25" spans="1:13" ht="15.75" thickBot="1" x14ac:dyDescent="0.3">
      <c r="A25" s="113" t="s">
        <v>3</v>
      </c>
      <c r="B25" s="86" t="s">
        <v>32</v>
      </c>
      <c r="C25" s="114" t="s">
        <v>41</v>
      </c>
      <c r="D25" s="114" t="s">
        <v>34</v>
      </c>
      <c r="E25" s="114" t="s">
        <v>35</v>
      </c>
      <c r="F25" s="86" t="s">
        <v>36</v>
      </c>
      <c r="G25" s="86" t="s">
        <v>37</v>
      </c>
      <c r="H25" s="86" t="s">
        <v>42</v>
      </c>
      <c r="I25" s="86" t="s">
        <v>39</v>
      </c>
      <c r="J25" s="115" t="s">
        <v>4</v>
      </c>
    </row>
    <row r="26" spans="1:13" ht="15.75" thickBot="1" x14ac:dyDescent="0.3">
      <c r="A26" s="289"/>
      <c r="B26" s="103"/>
      <c r="C26" s="103"/>
      <c r="D26" s="116"/>
      <c r="E26" s="117"/>
      <c r="F26" s="116"/>
      <c r="G26" s="116"/>
      <c r="H26" s="118"/>
      <c r="I26" s="118"/>
      <c r="J26" s="119">
        <f>SUM(D26:I26)</f>
        <v>0</v>
      </c>
    </row>
    <row r="27" spans="1:13" ht="15.75" thickBot="1" x14ac:dyDescent="0.3">
      <c r="A27" s="289"/>
      <c r="B27" s="103"/>
      <c r="C27" s="103"/>
      <c r="D27" s="116"/>
      <c r="E27" s="116"/>
      <c r="F27" s="116"/>
      <c r="G27" s="116"/>
      <c r="H27" s="118"/>
      <c r="I27" s="118"/>
      <c r="J27" s="119">
        <f t="shared" ref="J27:J29" si="2">SUM(D27:I27)</f>
        <v>0</v>
      </c>
    </row>
    <row r="28" spans="1:13" ht="15.75" thickBot="1" x14ac:dyDescent="0.3">
      <c r="A28" s="289"/>
      <c r="B28" s="286"/>
      <c r="C28" s="89"/>
      <c r="D28" s="120"/>
      <c r="E28" s="120"/>
      <c r="F28" s="120"/>
      <c r="G28" s="120"/>
      <c r="H28" s="90"/>
      <c r="I28" s="90"/>
      <c r="J28" s="119">
        <f t="shared" si="2"/>
        <v>0</v>
      </c>
    </row>
    <row r="29" spans="1:13" ht="15.75" thickBot="1" x14ac:dyDescent="0.3">
      <c r="A29" s="86"/>
      <c r="B29" s="121"/>
      <c r="C29" s="89"/>
      <c r="D29" s="120"/>
      <c r="E29" s="120"/>
      <c r="F29" s="120"/>
      <c r="G29" s="120"/>
      <c r="H29" s="90"/>
      <c r="I29" s="90"/>
      <c r="J29" s="119">
        <f t="shared" si="2"/>
        <v>0</v>
      </c>
      <c r="L29" s="122" t="s">
        <v>43</v>
      </c>
      <c r="M29" s="123">
        <f>J30+J38</f>
        <v>0</v>
      </c>
    </row>
    <row r="30" spans="1:13" ht="15.75" thickBot="1" x14ac:dyDescent="0.3">
      <c r="A30" s="86" t="s">
        <v>4</v>
      </c>
      <c r="B30" s="124"/>
      <c r="C30" s="125"/>
      <c r="D30" s="126"/>
      <c r="E30" s="126"/>
      <c r="F30" s="126"/>
      <c r="G30" s="126"/>
      <c r="H30" s="126"/>
      <c r="I30" s="126"/>
      <c r="J30" s="94">
        <f>SUM(J26:J29)</f>
        <v>0</v>
      </c>
    </row>
    <row r="31" spans="1:13" ht="15.75" thickBot="1" x14ac:dyDescent="0.3">
      <c r="A31" s="109"/>
      <c r="B31" s="127"/>
      <c r="C31" s="128"/>
      <c r="D31" s="129"/>
      <c r="E31" s="129"/>
      <c r="F31" s="129"/>
      <c r="G31" s="129"/>
      <c r="H31" s="129"/>
      <c r="I31" s="129"/>
      <c r="J31" s="130"/>
    </row>
    <row r="32" spans="1:13" ht="24" thickBot="1" x14ac:dyDescent="0.4">
      <c r="A32" s="112" t="s">
        <v>40</v>
      </c>
      <c r="B32" s="109"/>
      <c r="C32" s="110"/>
      <c r="D32" s="111"/>
      <c r="E32" s="111"/>
      <c r="F32" s="111"/>
      <c r="G32" s="111"/>
      <c r="H32" s="111"/>
      <c r="I32" s="111"/>
      <c r="J32" s="111"/>
    </row>
    <row r="33" spans="1:13" ht="45.75" thickBot="1" x14ac:dyDescent="0.3">
      <c r="A33" s="131" t="s">
        <v>44</v>
      </c>
      <c r="B33" s="86" t="s">
        <v>45</v>
      </c>
      <c r="C33" s="114" t="s">
        <v>41</v>
      </c>
      <c r="D33" s="114" t="s">
        <v>34</v>
      </c>
      <c r="E33" s="114" t="s">
        <v>35</v>
      </c>
      <c r="F33" s="114" t="s">
        <v>46</v>
      </c>
      <c r="G33" s="114" t="s">
        <v>47</v>
      </c>
      <c r="H33" s="114" t="s">
        <v>42</v>
      </c>
      <c r="I33" s="132" t="s">
        <v>48</v>
      </c>
      <c r="J33" s="115" t="s">
        <v>4</v>
      </c>
    </row>
    <row r="34" spans="1:13" ht="15.75" thickBot="1" x14ac:dyDescent="0.3">
      <c r="A34" s="133"/>
      <c r="B34" s="99"/>
      <c r="C34" s="89"/>
      <c r="D34" s="90"/>
      <c r="E34" s="90"/>
      <c r="F34" s="90"/>
      <c r="G34" s="90"/>
      <c r="H34" s="90"/>
      <c r="I34" s="90"/>
      <c r="J34" s="87">
        <f t="shared" ref="J34:J37" si="3">SUM(D34:I34)</f>
        <v>0</v>
      </c>
    </row>
    <row r="35" spans="1:13" ht="15.75" thickBot="1" x14ac:dyDescent="0.3">
      <c r="A35" s="95"/>
      <c r="B35" s="103"/>
      <c r="C35" s="89"/>
      <c r="D35" s="116"/>
      <c r="E35" s="116"/>
      <c r="F35" s="116"/>
      <c r="G35" s="116"/>
      <c r="H35" s="118"/>
      <c r="I35" s="118"/>
      <c r="J35" s="119">
        <f t="shared" si="3"/>
        <v>0</v>
      </c>
    </row>
    <row r="36" spans="1:13" ht="15.75" thickBot="1" x14ac:dyDescent="0.3">
      <c r="A36" s="289"/>
      <c r="B36" s="286"/>
      <c r="C36" s="89"/>
      <c r="D36" s="120"/>
      <c r="E36" s="120"/>
      <c r="F36" s="120"/>
      <c r="G36" s="120"/>
      <c r="H36" s="90"/>
      <c r="I36" s="90"/>
      <c r="J36" s="119">
        <f t="shared" si="3"/>
        <v>0</v>
      </c>
    </row>
    <row r="37" spans="1:13" ht="15.75" thickBot="1" x14ac:dyDescent="0.3">
      <c r="A37" s="86"/>
      <c r="B37" s="121"/>
      <c r="C37" s="89"/>
      <c r="D37" s="120"/>
      <c r="E37" s="120"/>
      <c r="F37" s="120"/>
      <c r="G37" s="120"/>
      <c r="H37" s="90"/>
      <c r="I37" s="90"/>
      <c r="J37" s="119">
        <f t="shared" si="3"/>
        <v>0</v>
      </c>
      <c r="L37" s="134"/>
      <c r="M37" s="135"/>
    </row>
    <row r="38" spans="1:13" ht="15.75" thickBot="1" x14ac:dyDescent="0.3">
      <c r="A38" s="86" t="s">
        <v>4</v>
      </c>
      <c r="B38" s="124"/>
      <c r="C38" s="125"/>
      <c r="D38" s="126"/>
      <c r="E38" s="126"/>
      <c r="F38" s="126"/>
      <c r="G38" s="126"/>
      <c r="H38" s="126"/>
      <c r="I38" s="126"/>
      <c r="J38" s="94">
        <f>SUM(J34:J37)</f>
        <v>0</v>
      </c>
    </row>
    <row r="39" spans="1:13" x14ac:dyDescent="0.25">
      <c r="A39" s="109"/>
      <c r="B39" s="127"/>
      <c r="C39" s="128"/>
      <c r="D39" s="129"/>
      <c r="E39" s="129"/>
      <c r="F39" s="129"/>
      <c r="G39" s="129"/>
      <c r="H39" s="129"/>
      <c r="I39" s="129"/>
      <c r="J39" s="130"/>
    </row>
    <row r="40" spans="1:13" x14ac:dyDescent="0.25">
      <c r="A40" s="109"/>
      <c r="B40" s="127"/>
      <c r="C40" s="128"/>
      <c r="D40" s="129"/>
      <c r="E40" s="129"/>
      <c r="F40" s="129"/>
      <c r="G40" s="129"/>
      <c r="H40" s="129"/>
      <c r="I40" s="129"/>
      <c r="J40" s="130"/>
    </row>
    <row r="41" spans="1:13" ht="15.75" thickBot="1" x14ac:dyDescent="0.3">
      <c r="A41" s="84"/>
      <c r="B41" s="84"/>
      <c r="C41" s="84"/>
      <c r="J41" s="85"/>
    </row>
    <row r="42" spans="1:13" ht="45.75" thickBot="1" x14ac:dyDescent="0.3">
      <c r="A42" s="114" t="s">
        <v>49</v>
      </c>
      <c r="B42" s="86" t="s">
        <v>45</v>
      </c>
      <c r="C42" s="114" t="s">
        <v>41</v>
      </c>
      <c r="D42" s="114" t="s">
        <v>34</v>
      </c>
      <c r="E42" s="114" t="s">
        <v>35</v>
      </c>
      <c r="F42" s="114" t="s">
        <v>46</v>
      </c>
      <c r="G42" s="114" t="s">
        <v>47</v>
      </c>
      <c r="H42" s="86" t="s">
        <v>48</v>
      </c>
      <c r="I42" s="132" t="s">
        <v>42</v>
      </c>
      <c r="J42" s="115" t="s">
        <v>4</v>
      </c>
    </row>
    <row r="43" spans="1:13" ht="15.75" thickBot="1" x14ac:dyDescent="0.3">
      <c r="A43" s="121"/>
      <c r="B43" s="103"/>
      <c r="C43" s="103"/>
      <c r="D43" s="118"/>
      <c r="E43" s="136"/>
      <c r="F43" s="118"/>
      <c r="G43" s="118"/>
      <c r="H43" s="118"/>
      <c r="I43" s="118"/>
      <c r="J43" s="119">
        <f>SUM(D43:I43)</f>
        <v>0</v>
      </c>
    </row>
    <row r="44" spans="1:13" ht="15.75" thickBot="1" x14ac:dyDescent="0.3">
      <c r="A44" s="121"/>
      <c r="B44" s="103"/>
      <c r="C44" s="103"/>
      <c r="D44" s="118"/>
      <c r="E44" s="118"/>
      <c r="F44" s="118"/>
      <c r="G44" s="118"/>
      <c r="H44" s="118"/>
      <c r="I44" s="118"/>
      <c r="J44" s="119">
        <f t="shared" ref="J44:J56" si="4">SUM(D44:I44)</f>
        <v>0</v>
      </c>
    </row>
    <row r="45" spans="1:13" ht="15.75" thickBot="1" x14ac:dyDescent="0.3">
      <c r="A45" s="286"/>
      <c r="B45" s="103"/>
      <c r="C45" s="103"/>
      <c r="D45" s="118"/>
      <c r="E45" s="118"/>
      <c r="F45" s="118"/>
      <c r="G45" s="118"/>
      <c r="H45" s="118"/>
      <c r="I45" s="118"/>
      <c r="J45" s="119">
        <f t="shared" si="4"/>
        <v>0</v>
      </c>
    </row>
    <row r="46" spans="1:13" ht="15.75" thickBot="1" x14ac:dyDescent="0.3">
      <c r="A46" s="121"/>
      <c r="B46" s="103"/>
      <c r="C46" s="103"/>
      <c r="D46" s="118"/>
      <c r="E46" s="118"/>
      <c r="F46" s="118"/>
      <c r="G46" s="118"/>
      <c r="H46" s="118"/>
      <c r="I46" s="118"/>
      <c r="J46" s="119">
        <f t="shared" si="4"/>
        <v>0</v>
      </c>
    </row>
    <row r="47" spans="1:13" ht="15.75" thickBot="1" x14ac:dyDescent="0.3">
      <c r="A47" s="121"/>
      <c r="B47" s="103"/>
      <c r="C47" s="103"/>
      <c r="D47" s="118"/>
      <c r="E47" s="118"/>
      <c r="F47" s="118"/>
      <c r="G47" s="118"/>
      <c r="H47" s="118"/>
      <c r="I47" s="118"/>
      <c r="J47" s="119">
        <f t="shared" si="4"/>
        <v>0</v>
      </c>
    </row>
    <row r="48" spans="1:13" ht="15.75" thickBot="1" x14ac:dyDescent="0.3">
      <c r="A48" s="286"/>
      <c r="B48" s="103"/>
      <c r="C48" s="103"/>
      <c r="D48" s="118"/>
      <c r="E48" s="118"/>
      <c r="F48" s="118"/>
      <c r="G48" s="118"/>
      <c r="H48" s="118"/>
      <c r="I48" s="118"/>
      <c r="J48" s="119">
        <f t="shared" si="4"/>
        <v>0</v>
      </c>
    </row>
    <row r="49" spans="1:10" ht="15.75" thickBot="1" x14ac:dyDescent="0.3">
      <c r="A49" s="286"/>
      <c r="B49" s="103"/>
      <c r="C49" s="103"/>
      <c r="D49" s="118"/>
      <c r="E49" s="118"/>
      <c r="F49" s="118"/>
      <c r="G49" s="118"/>
      <c r="H49" s="118"/>
      <c r="I49" s="118"/>
      <c r="J49" s="119">
        <f t="shared" si="4"/>
        <v>0</v>
      </c>
    </row>
    <row r="50" spans="1:10" ht="15.75" thickBot="1" x14ac:dyDescent="0.3">
      <c r="A50" s="286"/>
      <c r="B50" s="103"/>
      <c r="C50" s="103"/>
      <c r="D50" s="118"/>
      <c r="E50" s="118"/>
      <c r="F50" s="118"/>
      <c r="G50" s="118"/>
      <c r="H50" s="118"/>
      <c r="I50" s="118"/>
      <c r="J50" s="119">
        <f t="shared" si="4"/>
        <v>0</v>
      </c>
    </row>
    <row r="51" spans="1:10" ht="15.75" thickBot="1" x14ac:dyDescent="0.3">
      <c r="A51" s="286"/>
      <c r="B51" s="103"/>
      <c r="C51" s="103"/>
      <c r="D51" s="118"/>
      <c r="E51" s="118"/>
      <c r="F51" s="118"/>
      <c r="G51" s="118"/>
      <c r="H51" s="118"/>
      <c r="I51" s="118"/>
      <c r="J51" s="119">
        <f t="shared" si="4"/>
        <v>0</v>
      </c>
    </row>
    <row r="52" spans="1:10" ht="15.75" thickBot="1" x14ac:dyDescent="0.3">
      <c r="A52" s="286"/>
      <c r="B52" s="103"/>
      <c r="C52" s="103"/>
      <c r="D52" s="118"/>
      <c r="E52" s="118"/>
      <c r="F52" s="118"/>
      <c r="G52" s="118"/>
      <c r="H52" s="118"/>
      <c r="I52" s="118"/>
      <c r="J52" s="119">
        <f t="shared" si="4"/>
        <v>0</v>
      </c>
    </row>
    <row r="53" spans="1:10" ht="15.75" thickBot="1" x14ac:dyDescent="0.3">
      <c r="A53" s="137"/>
      <c r="B53" s="103"/>
      <c r="C53" s="103"/>
      <c r="D53" s="118"/>
      <c r="E53" s="118"/>
      <c r="F53" s="118"/>
      <c r="G53" s="118"/>
      <c r="H53" s="118"/>
      <c r="I53" s="118"/>
      <c r="J53" s="119">
        <f t="shared" si="4"/>
        <v>0</v>
      </c>
    </row>
    <row r="54" spans="1:10" ht="15.75" thickBot="1" x14ac:dyDescent="0.3">
      <c r="A54" s="121"/>
      <c r="B54" s="103"/>
      <c r="C54" s="103"/>
      <c r="D54" s="118"/>
      <c r="F54" s="118"/>
      <c r="G54" s="118"/>
      <c r="H54" s="118"/>
      <c r="I54" s="118"/>
      <c r="J54" s="119">
        <f t="shared" si="4"/>
        <v>0</v>
      </c>
    </row>
    <row r="55" spans="1:10" ht="15.75" thickBot="1" x14ac:dyDescent="0.3">
      <c r="A55" s="121"/>
      <c r="B55" s="103"/>
      <c r="C55" s="103"/>
      <c r="D55" s="118"/>
      <c r="E55" s="118"/>
      <c r="F55" s="118"/>
      <c r="G55" s="118"/>
      <c r="H55" s="118"/>
      <c r="I55" s="118"/>
      <c r="J55" s="119">
        <f t="shared" si="4"/>
        <v>0</v>
      </c>
    </row>
    <row r="56" spans="1:10" ht="15.75" thickBot="1" x14ac:dyDescent="0.3">
      <c r="A56" s="121"/>
      <c r="B56" s="103"/>
      <c r="C56" s="103"/>
      <c r="D56" s="138"/>
      <c r="E56" s="138"/>
      <c r="F56" s="138"/>
      <c r="G56" s="138"/>
      <c r="H56" s="138"/>
      <c r="I56" s="138"/>
      <c r="J56" s="119">
        <f t="shared" si="4"/>
        <v>0</v>
      </c>
    </row>
    <row r="57" spans="1:10" ht="19.5" thickBot="1" x14ac:dyDescent="0.35">
      <c r="A57" s="105" t="s">
        <v>4</v>
      </c>
      <c r="B57" s="86"/>
      <c r="C57" s="106"/>
      <c r="D57" s="107">
        <f t="shared" ref="D57:J57" si="5">SUM(D43:D56)</f>
        <v>0</v>
      </c>
      <c r="E57" s="107">
        <f t="shared" si="5"/>
        <v>0</v>
      </c>
      <c r="F57" s="107">
        <f t="shared" si="5"/>
        <v>0</v>
      </c>
      <c r="G57" s="107">
        <f t="shared" si="5"/>
        <v>0</v>
      </c>
      <c r="H57" s="107">
        <f t="shared" si="5"/>
        <v>0</v>
      </c>
      <c r="I57" s="107">
        <f t="shared" si="5"/>
        <v>0</v>
      </c>
      <c r="J57" s="107">
        <f t="shared" si="5"/>
        <v>0</v>
      </c>
    </row>
    <row r="58" spans="1:10" ht="15.75" x14ac:dyDescent="0.25">
      <c r="A58" s="139"/>
      <c r="B58" s="139"/>
      <c r="C58" s="140"/>
      <c r="D58" s="141"/>
      <c r="E58" s="141"/>
      <c r="F58" s="141"/>
      <c r="G58" s="141"/>
      <c r="H58" s="141"/>
      <c r="I58" s="141"/>
      <c r="J58" s="141"/>
    </row>
    <row r="59" spans="1:10" ht="16.5" thickBot="1" x14ac:dyDescent="0.3">
      <c r="A59" s="139"/>
      <c r="B59" s="139"/>
      <c r="C59" s="140"/>
      <c r="D59" s="141"/>
      <c r="E59" s="141"/>
      <c r="F59" s="141"/>
      <c r="G59" s="141"/>
      <c r="H59" s="141"/>
      <c r="I59" s="141"/>
      <c r="J59" s="141"/>
    </row>
    <row r="60" spans="1:10" ht="19.5" thickBot="1" x14ac:dyDescent="0.35">
      <c r="A60" s="492" t="s">
        <v>50</v>
      </c>
      <c r="B60" s="493"/>
      <c r="C60" s="142"/>
      <c r="D60" s="143"/>
      <c r="E60" s="143"/>
      <c r="F60" s="143"/>
      <c r="G60" s="143"/>
      <c r="H60" s="143"/>
      <c r="I60" s="143"/>
      <c r="J60" s="108">
        <f>+J22+J57</f>
        <v>0</v>
      </c>
    </row>
    <row r="61" spans="1:10" x14ac:dyDescent="0.25">
      <c r="A61" s="84"/>
      <c r="B61" s="84"/>
      <c r="C61" s="144"/>
      <c r="D61" s="85"/>
      <c r="E61" s="85"/>
      <c r="F61" s="85"/>
      <c r="G61" s="85"/>
      <c r="H61" s="85"/>
      <c r="I61" s="85"/>
      <c r="J61" s="85"/>
    </row>
    <row r="62" spans="1:10" x14ac:dyDescent="0.25">
      <c r="A62" s="84"/>
      <c r="B62" s="84"/>
      <c r="C62" s="144"/>
      <c r="D62" s="85"/>
      <c r="E62" s="85"/>
      <c r="F62" s="85"/>
      <c r="G62" s="85"/>
      <c r="H62" s="85"/>
      <c r="I62" s="85"/>
      <c r="J62" s="85"/>
    </row>
    <row r="63" spans="1:10" ht="16.5" thickBot="1" x14ac:dyDescent="0.3">
      <c r="A63" s="145" t="s">
        <v>51</v>
      </c>
      <c r="B63" s="84"/>
      <c r="C63" s="144"/>
      <c r="D63" s="85"/>
      <c r="E63" s="85"/>
      <c r="F63" s="85"/>
      <c r="G63" s="85"/>
      <c r="H63" s="85"/>
      <c r="I63" s="85"/>
      <c r="J63" s="85"/>
    </row>
    <row r="64" spans="1:10" ht="19.5" thickBot="1" x14ac:dyDescent="0.35">
      <c r="A64" s="146" t="s">
        <v>52</v>
      </c>
      <c r="B64" s="147"/>
      <c r="C64" s="148"/>
      <c r="D64" s="149"/>
      <c r="E64" s="149"/>
      <c r="F64" s="149"/>
      <c r="G64" s="149"/>
      <c r="H64" s="149"/>
      <c r="I64" s="149"/>
      <c r="J64" s="108"/>
    </row>
    <row r="65" spans="1:10" ht="19.5" thickBot="1" x14ac:dyDescent="0.35">
      <c r="A65" s="146" t="s">
        <v>53</v>
      </c>
      <c r="B65" s="147"/>
      <c r="C65" s="150"/>
      <c r="D65" s="149"/>
      <c r="E65" s="149"/>
      <c r="F65" s="149"/>
      <c r="G65" s="149"/>
      <c r="H65" s="149"/>
      <c r="I65" s="149"/>
      <c r="J65" s="108"/>
    </row>
    <row r="66" spans="1:10" ht="18.75" x14ac:dyDescent="0.3">
      <c r="A66" s="151"/>
      <c r="B66" s="151"/>
      <c r="C66" s="152"/>
      <c r="D66" s="153"/>
      <c r="E66" s="153"/>
      <c r="F66" s="153"/>
      <c r="G66" s="153"/>
      <c r="H66" s="153"/>
      <c r="I66" s="153"/>
      <c r="J66" s="111"/>
    </row>
    <row r="67" spans="1:10" ht="18.75" x14ac:dyDescent="0.3">
      <c r="A67" s="151"/>
      <c r="B67" s="151"/>
      <c r="C67" s="152"/>
      <c r="D67" s="153"/>
      <c r="E67" s="153"/>
      <c r="F67" s="153"/>
      <c r="G67" s="153"/>
      <c r="H67" s="153"/>
      <c r="I67" s="153"/>
      <c r="J67" s="111"/>
    </row>
    <row r="68" spans="1:10" ht="16.5" thickBot="1" x14ac:dyDescent="0.3">
      <c r="A68" s="154" t="s">
        <v>54</v>
      </c>
      <c r="B68" s="155"/>
      <c r="C68" s="144"/>
      <c r="D68" s="85"/>
      <c r="E68" s="85"/>
      <c r="F68" s="85"/>
      <c r="G68" s="85"/>
      <c r="H68" s="85"/>
      <c r="I68" s="85"/>
      <c r="J68" s="85"/>
    </row>
    <row r="69" spans="1:10" ht="19.5" thickBot="1" x14ac:dyDescent="0.35">
      <c r="A69" s="156" t="s">
        <v>55</v>
      </c>
      <c r="B69" s="157"/>
      <c r="C69" s="158"/>
      <c r="D69" s="159"/>
      <c r="E69" s="159"/>
      <c r="F69" s="159"/>
      <c r="G69" s="159"/>
      <c r="H69" s="159"/>
      <c r="I69" s="159"/>
      <c r="J69" s="160">
        <v>566</v>
      </c>
    </row>
    <row r="70" spans="1:10" x14ac:dyDescent="0.25">
      <c r="A70" s="161"/>
      <c r="B70" s="84"/>
      <c r="C70" s="144"/>
      <c r="D70" s="85"/>
      <c r="E70" s="85"/>
      <c r="F70" s="85"/>
      <c r="G70" s="85"/>
      <c r="H70" s="85"/>
      <c r="I70" s="85"/>
      <c r="J70" s="85"/>
    </row>
    <row r="71" spans="1:10" ht="16.5" thickBot="1" x14ac:dyDescent="0.3">
      <c r="A71" s="154"/>
      <c r="B71" s="155"/>
      <c r="C71" s="144"/>
      <c r="D71" s="85"/>
      <c r="E71" s="85"/>
      <c r="F71" s="85"/>
      <c r="G71" s="85"/>
      <c r="H71" s="85"/>
      <c r="I71" s="85"/>
      <c r="J71" s="85"/>
    </row>
    <row r="72" spans="1:10" ht="19.5" thickBot="1" x14ac:dyDescent="0.35">
      <c r="A72" s="156" t="s">
        <v>56</v>
      </c>
      <c r="B72" s="157"/>
      <c r="C72" s="162"/>
      <c r="D72" s="159"/>
      <c r="E72" s="159"/>
      <c r="F72" s="159"/>
      <c r="G72" s="159"/>
      <c r="H72" s="159"/>
      <c r="I72" s="159"/>
      <c r="J72" s="163"/>
    </row>
    <row r="73" spans="1:10" ht="15.75" thickBot="1" x14ac:dyDescent="0.3">
      <c r="A73" s="161"/>
      <c r="B73" s="84"/>
      <c r="C73" s="144"/>
      <c r="D73" s="85"/>
      <c r="E73" s="85"/>
      <c r="F73" s="85"/>
      <c r="G73" s="85"/>
      <c r="H73" s="85"/>
      <c r="I73" s="85"/>
      <c r="J73" s="85"/>
    </row>
    <row r="74" spans="1:10" ht="21.75" thickBot="1" x14ac:dyDescent="0.4">
      <c r="A74" s="494" t="s">
        <v>57</v>
      </c>
      <c r="B74" s="495"/>
      <c r="C74" s="164"/>
      <c r="D74" s="165"/>
      <c r="E74" s="165"/>
      <c r="F74" s="165"/>
      <c r="G74" s="165"/>
      <c r="H74" s="165"/>
      <c r="I74" s="165"/>
      <c r="J74" s="166">
        <f>SUM(J60:J73)</f>
        <v>566</v>
      </c>
    </row>
    <row r="75" spans="1:10" x14ac:dyDescent="0.25">
      <c r="A75" s="84"/>
      <c r="B75" s="84"/>
      <c r="C75" s="144"/>
      <c r="D75" s="85"/>
      <c r="E75" s="85"/>
      <c r="F75" s="85"/>
      <c r="G75" s="85"/>
      <c r="H75" s="85"/>
      <c r="I75" s="85"/>
      <c r="J75" s="85"/>
    </row>
    <row r="76" spans="1:10" ht="21" x14ac:dyDescent="0.35">
      <c r="A76" s="491" t="s">
        <v>361</v>
      </c>
      <c r="B76" s="491"/>
      <c r="C76" s="491"/>
      <c r="D76" s="491"/>
      <c r="E76" s="491"/>
      <c r="F76" s="491"/>
      <c r="G76" s="491"/>
      <c r="H76" s="491"/>
      <c r="I76" s="491"/>
      <c r="J76" s="491"/>
    </row>
    <row r="77" spans="1:10" ht="21.75" thickBot="1" x14ac:dyDescent="0.4">
      <c r="A77" s="287" t="s">
        <v>10</v>
      </c>
      <c r="B77" s="287"/>
      <c r="C77" s="287"/>
      <c r="D77" s="287"/>
      <c r="E77" s="287"/>
      <c r="F77" s="287"/>
      <c r="G77" s="287"/>
      <c r="H77" s="287"/>
      <c r="I77" s="287"/>
      <c r="J77" s="168"/>
    </row>
    <row r="78" spans="1:10" ht="15.75" thickBot="1" x14ac:dyDescent="0.3">
      <c r="A78" s="169" t="s">
        <v>58</v>
      </c>
      <c r="B78" s="170" t="s">
        <v>59</v>
      </c>
      <c r="C78" s="496" t="s">
        <v>33</v>
      </c>
      <c r="D78" s="497"/>
      <c r="E78" s="497"/>
      <c r="F78" s="497"/>
      <c r="G78" s="497"/>
      <c r="H78" s="497"/>
      <c r="I78" s="498"/>
      <c r="J78" s="171" t="s">
        <v>4</v>
      </c>
    </row>
    <row r="79" spans="1:10" ht="15.75" thickBot="1" x14ac:dyDescent="0.3">
      <c r="A79" s="172"/>
      <c r="B79" s="173"/>
      <c r="C79" s="488"/>
      <c r="D79" s="489"/>
      <c r="E79" s="489"/>
      <c r="F79" s="489"/>
      <c r="G79" s="489"/>
      <c r="H79" s="489"/>
      <c r="I79" s="489"/>
      <c r="J79" s="104"/>
    </row>
    <row r="80" spans="1:10" ht="15.75" thickBot="1" x14ac:dyDescent="0.3">
      <c r="A80" s="121"/>
      <c r="B80" s="173"/>
      <c r="C80" s="488"/>
      <c r="D80" s="489"/>
      <c r="E80" s="489"/>
      <c r="F80" s="489"/>
      <c r="G80" s="489"/>
      <c r="H80" s="490"/>
      <c r="I80" s="490"/>
      <c r="J80" s="104"/>
    </row>
    <row r="81" spans="1:10" ht="15.75" thickBot="1" x14ac:dyDescent="0.3">
      <c r="A81" s="121"/>
      <c r="B81" s="173"/>
      <c r="C81" s="504"/>
      <c r="D81" s="505"/>
      <c r="E81" s="505"/>
      <c r="F81" s="505"/>
      <c r="G81" s="505"/>
      <c r="H81" s="505"/>
      <c r="I81" s="505"/>
      <c r="J81" s="174"/>
    </row>
    <row r="82" spans="1:10" ht="15.75" thickBot="1" x14ac:dyDescent="0.3">
      <c r="A82" s="121"/>
      <c r="B82" s="173"/>
      <c r="C82" s="488"/>
      <c r="D82" s="489"/>
      <c r="E82" s="489"/>
      <c r="F82" s="489"/>
      <c r="G82" s="489"/>
      <c r="H82" s="490"/>
      <c r="I82" s="490"/>
      <c r="J82" s="104"/>
    </row>
    <row r="83" spans="1:10" ht="15.75" thickBot="1" x14ac:dyDescent="0.3">
      <c r="A83" s="121"/>
      <c r="B83" s="173"/>
      <c r="C83" s="488"/>
      <c r="D83" s="489"/>
      <c r="E83" s="489"/>
      <c r="F83" s="489"/>
      <c r="G83" s="489"/>
      <c r="H83" s="490"/>
      <c r="I83" s="490"/>
      <c r="J83" s="104"/>
    </row>
    <row r="84" spans="1:10" ht="15.75" thickBot="1" x14ac:dyDescent="0.3">
      <c r="A84" s="121"/>
      <c r="B84" s="173"/>
      <c r="C84" s="488"/>
      <c r="D84" s="489"/>
      <c r="E84" s="489"/>
      <c r="F84" s="489"/>
      <c r="G84" s="489"/>
      <c r="H84" s="490"/>
      <c r="I84" s="490"/>
      <c r="J84" s="104"/>
    </row>
    <row r="85" spans="1:10" ht="15.75" thickBot="1" x14ac:dyDescent="0.3">
      <c r="A85" s="121"/>
      <c r="B85" s="173"/>
      <c r="C85" s="488"/>
      <c r="D85" s="489"/>
      <c r="E85" s="489"/>
      <c r="F85" s="489"/>
      <c r="G85" s="489"/>
      <c r="H85" s="490"/>
      <c r="I85" s="490"/>
      <c r="J85" s="104"/>
    </row>
    <row r="86" spans="1:10" ht="15.75" thickBot="1" x14ac:dyDescent="0.3">
      <c r="A86" s="121"/>
      <c r="B86" s="173"/>
      <c r="C86" s="488"/>
      <c r="D86" s="489"/>
      <c r="E86" s="489"/>
      <c r="F86" s="489"/>
      <c r="G86" s="489"/>
      <c r="H86" s="490"/>
      <c r="I86" s="490"/>
      <c r="J86" s="104"/>
    </row>
    <row r="87" spans="1:10" ht="15.75" thickBot="1" x14ac:dyDescent="0.3">
      <c r="A87" s="121"/>
      <c r="B87" s="173"/>
      <c r="C87" s="488"/>
      <c r="D87" s="489"/>
      <c r="E87" s="489"/>
      <c r="F87" s="489"/>
      <c r="G87" s="489"/>
      <c r="H87" s="490"/>
      <c r="I87" s="490"/>
      <c r="J87" s="118"/>
    </row>
    <row r="88" spans="1:10" ht="15.75" thickBot="1" x14ac:dyDescent="0.3">
      <c r="A88" s="121"/>
      <c r="B88" s="173"/>
      <c r="C88" s="488"/>
      <c r="D88" s="489"/>
      <c r="E88" s="489"/>
      <c r="F88" s="489"/>
      <c r="G88" s="489"/>
      <c r="H88" s="490"/>
      <c r="I88" s="490"/>
      <c r="J88" s="118"/>
    </row>
    <row r="89" spans="1:10" ht="15.75" thickBot="1" x14ac:dyDescent="0.3">
      <c r="A89" s="121"/>
      <c r="B89" s="173"/>
      <c r="C89" s="488"/>
      <c r="D89" s="489"/>
      <c r="E89" s="489"/>
      <c r="F89" s="489"/>
      <c r="G89" s="489"/>
      <c r="H89" s="490"/>
      <c r="I89" s="490"/>
      <c r="J89" s="118"/>
    </row>
    <row r="90" spans="1:10" ht="15.75" thickBot="1" x14ac:dyDescent="0.3">
      <c r="A90" s="121"/>
      <c r="B90" s="173"/>
      <c r="C90" s="488"/>
      <c r="D90" s="489"/>
      <c r="E90" s="489"/>
      <c r="F90" s="489"/>
      <c r="G90" s="489"/>
      <c r="H90" s="490"/>
      <c r="I90" s="490"/>
      <c r="J90" s="118"/>
    </row>
    <row r="91" spans="1:10" ht="15.75" thickBot="1" x14ac:dyDescent="0.3">
      <c r="A91" s="121"/>
      <c r="B91" s="173"/>
      <c r="C91" s="488"/>
      <c r="D91" s="489"/>
      <c r="E91" s="489"/>
      <c r="F91" s="489"/>
      <c r="G91" s="489"/>
      <c r="H91" s="490"/>
      <c r="I91" s="490"/>
      <c r="J91" s="118"/>
    </row>
    <row r="92" spans="1:10" ht="19.5" thickBot="1" x14ac:dyDescent="0.35">
      <c r="A92" s="175" t="s">
        <v>60</v>
      </c>
      <c r="B92" s="492"/>
      <c r="C92" s="499"/>
      <c r="D92" s="499"/>
      <c r="E92" s="499"/>
      <c r="F92" s="499"/>
      <c r="G92" s="499"/>
      <c r="H92" s="499"/>
      <c r="I92" s="499"/>
      <c r="J92" s="176">
        <f>SUM(J79:J91)</f>
        <v>0</v>
      </c>
    </row>
    <row r="93" spans="1:10" ht="18.75" x14ac:dyDescent="0.3">
      <c r="A93" s="2"/>
      <c r="B93" s="2"/>
      <c r="C93" s="177"/>
      <c r="D93" s="177"/>
      <c r="E93" s="177"/>
      <c r="F93" s="178"/>
      <c r="G93" s="177"/>
      <c r="H93" s="177"/>
      <c r="I93" s="177"/>
      <c r="J93" s="111"/>
    </row>
    <row r="94" spans="1:10" ht="18.75" x14ac:dyDescent="0.3">
      <c r="A94" s="2"/>
      <c r="B94" s="2"/>
      <c r="C94" s="177"/>
      <c r="D94" s="177"/>
      <c r="E94" s="177"/>
      <c r="F94" s="178"/>
      <c r="G94" s="177"/>
      <c r="H94" s="177"/>
      <c r="I94" s="177"/>
      <c r="J94" s="111"/>
    </row>
    <row r="95" spans="1:10" ht="18.75" x14ac:dyDescent="0.3">
      <c r="A95" s="139" t="s">
        <v>61</v>
      </c>
      <c r="B95" s="2"/>
      <c r="C95" s="84"/>
      <c r="D95" s="85"/>
      <c r="F95" s="85"/>
      <c r="J95" s="85"/>
    </row>
    <row r="96" spans="1:10" x14ac:dyDescent="0.25">
      <c r="A96" s="84" t="s">
        <v>62</v>
      </c>
      <c r="B96" s="144">
        <f>+J74</f>
        <v>566</v>
      </c>
      <c r="C96" s="179"/>
      <c r="D96" s="85"/>
      <c r="F96" s="85"/>
      <c r="J96" s="85"/>
    </row>
    <row r="97" spans="1:10" ht="15.75" thickBot="1" x14ac:dyDescent="0.3">
      <c r="A97" s="84" t="s">
        <v>60</v>
      </c>
      <c r="B97" s="180">
        <f>+J92</f>
        <v>0</v>
      </c>
      <c r="C97" s="181"/>
      <c r="D97" s="85"/>
      <c r="F97" s="85"/>
      <c r="G97" s="182"/>
      <c r="H97" s="182"/>
      <c r="I97" s="183"/>
      <c r="J97" s="183"/>
    </row>
    <row r="98" spans="1:10" ht="17.25" thickTop="1" thickBot="1" x14ac:dyDescent="0.3">
      <c r="A98" s="139" t="s">
        <v>8</v>
      </c>
      <c r="B98" s="184">
        <f>++B96-B97</f>
        <v>566</v>
      </c>
      <c r="C98" s="185"/>
      <c r="D98" s="186"/>
      <c r="E98" s="41"/>
      <c r="F98" s="186"/>
      <c r="G98" s="187"/>
      <c r="H98" s="187"/>
      <c r="I98" s="85"/>
    </row>
    <row r="99" spans="1:10" ht="15.75" thickTop="1" x14ac:dyDescent="0.25"/>
  </sheetData>
  <mergeCells count="19">
    <mergeCell ref="B92:I92"/>
    <mergeCell ref="C86:I86"/>
    <mergeCell ref="C87:I87"/>
    <mergeCell ref="C88:I88"/>
    <mergeCell ref="C89:I89"/>
    <mergeCell ref="C90:I90"/>
    <mergeCell ref="C91:I91"/>
    <mergeCell ref="C85:I85"/>
    <mergeCell ref="A1:J1"/>
    <mergeCell ref="A60:B60"/>
    <mergeCell ref="A74:B74"/>
    <mergeCell ref="A76:J76"/>
    <mergeCell ref="C78:I78"/>
    <mergeCell ref="C79:I79"/>
    <mergeCell ref="C80:I80"/>
    <mergeCell ref="C81:I81"/>
    <mergeCell ref="C82:I82"/>
    <mergeCell ref="C83:I83"/>
    <mergeCell ref="C84:I84"/>
  </mergeCells>
  <pageMargins left="0.17" right="0.17" top="0.17" bottom="0.17" header="0.17" footer="0.17"/>
  <pageSetup paperSize="9" scale="4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C500-A93F-4891-AE0E-188A65F0D6BE}">
  <sheetPr>
    <pageSetUpPr fitToPage="1"/>
  </sheetPr>
  <dimension ref="A1:M96"/>
  <sheetViews>
    <sheetView workbookViewId="0">
      <selection activeCell="J44" activeCellId="1" sqref="J43 J44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10" max="10" width="13" bestFit="1" customWidth="1"/>
  </cols>
  <sheetData>
    <row r="1" spans="1:10" ht="21" x14ac:dyDescent="0.35">
      <c r="A1" s="491" t="s">
        <v>363</v>
      </c>
      <c r="B1" s="491"/>
      <c r="C1" s="491"/>
      <c r="D1" s="491"/>
      <c r="E1" s="491"/>
      <c r="F1" s="491"/>
      <c r="G1" s="491"/>
      <c r="H1" s="491"/>
      <c r="I1" s="491"/>
      <c r="J1" s="491"/>
    </row>
    <row r="2" spans="1:10" ht="15.75" thickBot="1" x14ac:dyDescent="0.3">
      <c r="A2" s="83"/>
      <c r="B2" s="84"/>
      <c r="C2" s="84"/>
      <c r="J2" s="85"/>
    </row>
    <row r="3" spans="1:10" ht="1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87" t="s">
        <v>4</v>
      </c>
    </row>
    <row r="4" spans="1:10" ht="15.75" thickBot="1" x14ac:dyDescent="0.3">
      <c r="A4" s="500" t="s">
        <v>78</v>
      </c>
      <c r="B4" s="88" t="s">
        <v>369</v>
      </c>
      <c r="C4" s="89">
        <v>46113</v>
      </c>
      <c r="D4" s="90"/>
      <c r="E4" s="90"/>
      <c r="F4" s="90"/>
      <c r="G4" s="90"/>
      <c r="H4" s="90"/>
      <c r="I4" s="90">
        <v>10</v>
      </c>
      <c r="J4" s="87">
        <f>SUM(D4:I4)</f>
        <v>10</v>
      </c>
    </row>
    <row r="5" spans="1:10" ht="15.75" thickBot="1" x14ac:dyDescent="0.3">
      <c r="A5" s="501"/>
      <c r="B5" s="88" t="s">
        <v>374</v>
      </c>
      <c r="C5" s="89">
        <v>46113</v>
      </c>
      <c r="D5" s="90"/>
      <c r="E5" s="90"/>
      <c r="F5" s="90"/>
      <c r="G5" s="90"/>
      <c r="H5" s="90"/>
      <c r="I5" s="90">
        <v>10</v>
      </c>
      <c r="J5" s="87">
        <f t="shared" ref="J5:J21" si="0">SUM(D5:I5)</f>
        <v>10</v>
      </c>
    </row>
    <row r="6" spans="1:10" ht="15.75" thickBot="1" x14ac:dyDescent="0.3">
      <c r="A6" s="88"/>
      <c r="B6" s="88"/>
      <c r="C6" s="89"/>
      <c r="D6" s="90"/>
      <c r="E6" s="90"/>
      <c r="F6" s="90"/>
      <c r="G6" s="90"/>
      <c r="H6" s="90"/>
      <c r="I6" s="90"/>
      <c r="J6" s="87">
        <f t="shared" si="0"/>
        <v>0</v>
      </c>
    </row>
    <row r="7" spans="1:10" ht="15.75" thickBot="1" x14ac:dyDescent="0.3">
      <c r="A7" s="88"/>
      <c r="B7" s="88"/>
      <c r="C7" s="89"/>
      <c r="D7" s="90"/>
      <c r="E7" s="90"/>
      <c r="F7" s="90"/>
      <c r="G7" s="90"/>
      <c r="H7" s="90"/>
      <c r="I7" s="90"/>
      <c r="J7" s="87">
        <f t="shared" si="0"/>
        <v>0</v>
      </c>
    </row>
    <row r="8" spans="1:10" ht="15.75" thickBot="1" x14ac:dyDescent="0.3">
      <c r="A8" s="88"/>
      <c r="B8" s="88"/>
      <c r="C8" s="89"/>
      <c r="D8" s="90"/>
      <c r="E8" s="90"/>
      <c r="F8" s="90"/>
      <c r="G8" s="90"/>
      <c r="H8" s="90"/>
      <c r="I8" s="90"/>
      <c r="J8" s="87">
        <f t="shared" si="0"/>
        <v>0</v>
      </c>
    </row>
    <row r="9" spans="1:10" ht="15.75" thickBot="1" x14ac:dyDescent="0.3">
      <c r="A9" s="88"/>
      <c r="B9" s="88"/>
      <c r="C9" s="89"/>
      <c r="D9" s="90"/>
      <c r="E9" s="90"/>
      <c r="F9" s="90"/>
      <c r="G9" s="90"/>
      <c r="H9" s="90"/>
      <c r="I9" s="90"/>
      <c r="J9" s="87">
        <f t="shared" si="0"/>
        <v>0</v>
      </c>
    </row>
    <row r="10" spans="1:10" ht="15.75" thickBot="1" x14ac:dyDescent="0.3">
      <c r="A10" s="88"/>
      <c r="B10" s="88"/>
      <c r="C10" s="89"/>
      <c r="D10" s="90"/>
      <c r="E10" s="90"/>
      <c r="F10" s="90"/>
      <c r="G10" s="90"/>
      <c r="H10" s="90"/>
      <c r="I10" s="90"/>
      <c r="J10" s="87">
        <f t="shared" si="0"/>
        <v>0</v>
      </c>
    </row>
    <row r="11" spans="1:10" ht="15.75" thickBot="1" x14ac:dyDescent="0.3">
      <c r="A11" s="285"/>
      <c r="B11" s="88"/>
      <c r="C11" s="89"/>
      <c r="D11" s="90"/>
      <c r="E11" s="90"/>
      <c r="F11" s="90"/>
      <c r="G11" s="90"/>
      <c r="H11" s="90"/>
      <c r="I11" s="90"/>
      <c r="J11" s="87">
        <f t="shared" si="0"/>
        <v>0</v>
      </c>
    </row>
    <row r="12" spans="1:10" ht="15.75" thickBot="1" x14ac:dyDescent="0.3">
      <c r="A12" s="285"/>
      <c r="B12" s="283"/>
      <c r="C12" s="89"/>
      <c r="D12" s="90"/>
      <c r="E12" s="90"/>
      <c r="F12" s="90"/>
      <c r="G12" s="90"/>
      <c r="H12" s="90"/>
      <c r="I12" s="93"/>
      <c r="J12" s="94">
        <f t="shared" si="0"/>
        <v>0</v>
      </c>
    </row>
    <row r="13" spans="1:10" ht="15.75" thickBot="1" x14ac:dyDescent="0.3">
      <c r="A13" s="88"/>
      <c r="B13" s="88"/>
      <c r="C13" s="89"/>
      <c r="D13" s="90"/>
      <c r="E13" s="90"/>
      <c r="F13" s="90"/>
      <c r="G13" s="90"/>
      <c r="H13" s="90"/>
      <c r="I13" s="90"/>
      <c r="J13" s="87">
        <f t="shared" si="0"/>
        <v>0</v>
      </c>
    </row>
    <row r="14" spans="1:10" ht="15.75" thickBot="1" x14ac:dyDescent="0.3">
      <c r="A14" s="95"/>
      <c r="B14" s="284"/>
      <c r="C14" s="89"/>
      <c r="D14" s="90"/>
      <c r="E14" s="90"/>
      <c r="F14" s="90"/>
      <c r="G14" s="90"/>
      <c r="H14" s="90"/>
      <c r="I14" s="90"/>
      <c r="J14" s="87">
        <f t="shared" si="0"/>
        <v>0</v>
      </c>
    </row>
    <row r="15" spans="1:10" ht="15.75" thickBot="1" x14ac:dyDescent="0.3">
      <c r="A15" s="97"/>
      <c r="B15" s="95"/>
      <c r="C15" s="89"/>
      <c r="D15" s="90"/>
      <c r="E15" s="90"/>
      <c r="F15" s="90"/>
      <c r="G15" s="90"/>
      <c r="H15" s="90"/>
      <c r="I15" s="90"/>
      <c r="J15" s="87">
        <f t="shared" si="0"/>
        <v>0</v>
      </c>
    </row>
    <row r="16" spans="1:10" ht="15.75" thickBot="1" x14ac:dyDescent="0.3">
      <c r="A16" s="286"/>
      <c r="B16" s="286"/>
      <c r="C16" s="89"/>
      <c r="D16" s="90"/>
      <c r="E16" s="90"/>
      <c r="F16" s="90"/>
      <c r="G16" s="90"/>
      <c r="H16" s="90"/>
      <c r="I16" s="90"/>
      <c r="J16" s="87">
        <f t="shared" si="0"/>
        <v>0</v>
      </c>
    </row>
    <row r="17" spans="1:13" ht="15.75" thickBot="1" x14ac:dyDescent="0.3">
      <c r="A17" s="99"/>
      <c r="B17" s="286"/>
      <c r="C17" s="89"/>
      <c r="D17" s="90"/>
      <c r="E17" s="90"/>
      <c r="F17" s="90"/>
      <c r="G17" s="90"/>
      <c r="H17" s="90"/>
      <c r="I17" s="90"/>
      <c r="J17" s="87">
        <f t="shared" si="0"/>
        <v>0</v>
      </c>
    </row>
    <row r="18" spans="1:13" ht="15.75" thickBot="1" x14ac:dyDescent="0.3">
      <c r="A18" s="99"/>
      <c r="B18" s="286"/>
      <c r="C18" s="89"/>
      <c r="D18" s="90"/>
      <c r="E18" s="90"/>
      <c r="F18" s="90"/>
      <c r="G18" s="90"/>
      <c r="H18" s="90"/>
      <c r="I18" s="90"/>
      <c r="J18" s="87">
        <f t="shared" si="0"/>
        <v>0</v>
      </c>
    </row>
    <row r="19" spans="1:13" ht="15.75" thickBot="1" x14ac:dyDescent="0.3">
      <c r="A19" s="100"/>
      <c r="B19" s="286"/>
      <c r="C19" s="89"/>
      <c r="D19" s="90"/>
      <c r="E19" s="90"/>
      <c r="F19" s="90"/>
      <c r="G19" s="90"/>
      <c r="H19" s="90"/>
      <c r="I19" s="90"/>
      <c r="J19" s="87">
        <f t="shared" si="0"/>
        <v>0</v>
      </c>
    </row>
    <row r="20" spans="1:13" ht="15.75" thickBot="1" x14ac:dyDescent="0.3">
      <c r="A20" s="289"/>
      <c r="B20" s="289"/>
      <c r="C20" s="89"/>
      <c r="D20" s="90"/>
      <c r="E20" s="90"/>
      <c r="F20" s="90"/>
      <c r="G20" s="90"/>
      <c r="H20" s="90"/>
      <c r="I20" s="90"/>
      <c r="J20" s="87">
        <f t="shared" si="0"/>
        <v>0</v>
      </c>
    </row>
    <row r="21" spans="1:13" ht="15.75" thickBot="1" x14ac:dyDescent="0.3">
      <c r="A21" s="286"/>
      <c r="B21" s="288"/>
      <c r="C21" s="103"/>
      <c r="D21" s="104"/>
      <c r="E21" s="104"/>
      <c r="F21" s="104"/>
      <c r="G21" s="104"/>
      <c r="H21" s="104"/>
      <c r="I21" s="104"/>
      <c r="J21" s="87">
        <f t="shared" si="0"/>
        <v>0</v>
      </c>
    </row>
    <row r="22" spans="1:13" ht="19.5" thickBot="1" x14ac:dyDescent="0.35">
      <c r="A22" s="105" t="s">
        <v>4</v>
      </c>
      <c r="B22" s="86"/>
      <c r="C22" s="106"/>
      <c r="D22" s="107">
        <f t="shared" ref="D22:I22" si="1">SUM(D4:D21)</f>
        <v>0</v>
      </c>
      <c r="E22" s="107">
        <f t="shared" si="1"/>
        <v>0</v>
      </c>
      <c r="F22" s="107">
        <f t="shared" si="1"/>
        <v>0</v>
      </c>
      <c r="G22" s="107"/>
      <c r="H22" s="107">
        <f t="shared" si="1"/>
        <v>0</v>
      </c>
      <c r="I22" s="107">
        <f t="shared" si="1"/>
        <v>20</v>
      </c>
      <c r="J22" s="108">
        <f>SUM(J4:J21)</f>
        <v>20</v>
      </c>
    </row>
    <row r="23" spans="1:13" ht="19.5" thickBot="1" x14ac:dyDescent="0.35">
      <c r="A23" s="2"/>
      <c r="B23" s="109"/>
      <c r="C23" s="110"/>
      <c r="D23" s="111"/>
      <c r="E23" s="111"/>
      <c r="F23" s="111"/>
      <c r="G23" s="111"/>
      <c r="H23" s="111"/>
      <c r="I23" s="111"/>
      <c r="J23" s="111"/>
    </row>
    <row r="24" spans="1:13" ht="24" thickBot="1" x14ac:dyDescent="0.4">
      <c r="A24" s="112" t="s">
        <v>40</v>
      </c>
      <c r="B24" s="109"/>
      <c r="C24" s="110"/>
      <c r="D24" s="111"/>
      <c r="E24" s="111"/>
      <c r="F24" s="111"/>
      <c r="G24" s="111"/>
      <c r="H24" s="111"/>
      <c r="I24" s="111"/>
      <c r="J24" s="111"/>
    </row>
    <row r="25" spans="1:13" ht="15.75" thickBot="1" x14ac:dyDescent="0.3">
      <c r="A25" s="113" t="s">
        <v>3</v>
      </c>
      <c r="B25" s="86" t="s">
        <v>32</v>
      </c>
      <c r="C25" s="114" t="s">
        <v>41</v>
      </c>
      <c r="D25" s="114" t="s">
        <v>34</v>
      </c>
      <c r="E25" s="114" t="s">
        <v>35</v>
      </c>
      <c r="F25" s="86" t="s">
        <v>36</v>
      </c>
      <c r="G25" s="86" t="s">
        <v>37</v>
      </c>
      <c r="H25" s="86" t="s">
        <v>42</v>
      </c>
      <c r="I25" s="86" t="s">
        <v>39</v>
      </c>
      <c r="J25" s="115" t="s">
        <v>4</v>
      </c>
    </row>
    <row r="26" spans="1:13" ht="15.75" thickBot="1" x14ac:dyDescent="0.3">
      <c r="A26" s="88" t="s">
        <v>331</v>
      </c>
      <c r="B26" s="103" t="s">
        <v>368</v>
      </c>
      <c r="C26" s="103">
        <v>46054</v>
      </c>
      <c r="D26" s="116">
        <v>30.4</v>
      </c>
      <c r="E26" s="117">
        <v>6</v>
      </c>
      <c r="F26" s="116"/>
      <c r="G26" s="116"/>
      <c r="H26" s="118"/>
      <c r="I26" s="118"/>
      <c r="J26" s="119">
        <f>SUM(D26:I26)</f>
        <v>36.4</v>
      </c>
    </row>
    <row r="27" spans="1:13" ht="15.75" thickBot="1" x14ac:dyDescent="0.3">
      <c r="A27" s="289"/>
      <c r="B27" s="103"/>
      <c r="C27" s="103"/>
      <c r="D27" s="116"/>
      <c r="E27" s="116"/>
      <c r="F27" s="116"/>
      <c r="G27" s="116"/>
      <c r="H27" s="118"/>
      <c r="I27" s="118"/>
      <c r="J27" s="119">
        <f t="shared" ref="J27:J29" si="2">SUM(D27:I27)</f>
        <v>0</v>
      </c>
    </row>
    <row r="28" spans="1:13" ht="15.75" thickBot="1" x14ac:dyDescent="0.3">
      <c r="A28" s="289"/>
      <c r="B28" s="286"/>
      <c r="C28" s="89"/>
      <c r="D28" s="120"/>
      <c r="E28" s="120"/>
      <c r="F28" s="120"/>
      <c r="G28" s="120"/>
      <c r="H28" s="90"/>
      <c r="I28" s="90"/>
      <c r="J28" s="119">
        <f t="shared" si="2"/>
        <v>0</v>
      </c>
    </row>
    <row r="29" spans="1:13" ht="15.75" thickBot="1" x14ac:dyDescent="0.3">
      <c r="A29" s="86"/>
      <c r="B29" s="121"/>
      <c r="C29" s="89"/>
      <c r="D29" s="120"/>
      <c r="E29" s="120"/>
      <c r="F29" s="120"/>
      <c r="G29" s="120"/>
      <c r="H29" s="90"/>
      <c r="I29" s="90"/>
      <c r="J29" s="119">
        <f t="shared" si="2"/>
        <v>0</v>
      </c>
      <c r="L29" s="122" t="s">
        <v>43</v>
      </c>
      <c r="M29" s="123">
        <f>J30+J38</f>
        <v>36.4</v>
      </c>
    </row>
    <row r="30" spans="1:13" ht="15.75" thickBot="1" x14ac:dyDescent="0.3">
      <c r="A30" s="86" t="s">
        <v>4</v>
      </c>
      <c r="B30" s="124"/>
      <c r="C30" s="125"/>
      <c r="D30" s="126"/>
      <c r="E30" s="126"/>
      <c r="F30" s="126"/>
      <c r="G30" s="126"/>
      <c r="H30" s="126"/>
      <c r="I30" s="126"/>
      <c r="J30" s="94">
        <f>SUM(J26:J29)</f>
        <v>36.4</v>
      </c>
    </row>
    <row r="31" spans="1:13" ht="15.75" thickBot="1" x14ac:dyDescent="0.3">
      <c r="A31" s="109"/>
      <c r="B31" s="127"/>
      <c r="C31" s="128"/>
      <c r="D31" s="129"/>
      <c r="E31" s="129"/>
      <c r="F31" s="129"/>
      <c r="G31" s="129"/>
      <c r="H31" s="129"/>
      <c r="I31" s="129"/>
      <c r="J31" s="130"/>
    </row>
    <row r="32" spans="1:13" ht="24" thickBot="1" x14ac:dyDescent="0.4">
      <c r="A32" s="112" t="s">
        <v>40</v>
      </c>
      <c r="B32" s="109"/>
      <c r="C32" s="110"/>
      <c r="D32" s="111"/>
      <c r="E32" s="111"/>
      <c r="F32" s="111"/>
      <c r="G32" s="111"/>
      <c r="H32" s="111"/>
      <c r="I32" s="111"/>
      <c r="J32" s="111"/>
    </row>
    <row r="33" spans="1:13" ht="45.75" thickBot="1" x14ac:dyDescent="0.3">
      <c r="A33" s="131" t="s">
        <v>44</v>
      </c>
      <c r="B33" s="86" t="s">
        <v>45</v>
      </c>
      <c r="C33" s="114" t="s">
        <v>41</v>
      </c>
      <c r="D33" s="114" t="s">
        <v>34</v>
      </c>
      <c r="E33" s="114" t="s">
        <v>35</v>
      </c>
      <c r="F33" s="114" t="s">
        <v>46</v>
      </c>
      <c r="G33" s="114" t="s">
        <v>47</v>
      </c>
      <c r="H33" s="114" t="s">
        <v>42</v>
      </c>
      <c r="I33" s="132" t="s">
        <v>48</v>
      </c>
      <c r="J33" s="115" t="s">
        <v>4</v>
      </c>
    </row>
    <row r="34" spans="1:13" ht="15.75" thickBot="1" x14ac:dyDescent="0.3">
      <c r="A34" s="133"/>
      <c r="B34" s="99"/>
      <c r="C34" s="89"/>
      <c r="D34" s="90"/>
      <c r="E34" s="90"/>
      <c r="F34" s="90"/>
      <c r="G34" s="90"/>
      <c r="H34" s="90"/>
      <c r="I34" s="90"/>
      <c r="J34" s="87">
        <f t="shared" ref="J34:J37" si="3">SUM(D34:I34)</f>
        <v>0</v>
      </c>
    </row>
    <row r="35" spans="1:13" ht="15.75" thickBot="1" x14ac:dyDescent="0.3">
      <c r="A35" s="95"/>
      <c r="B35" s="103"/>
      <c r="C35" s="89"/>
      <c r="D35" s="116"/>
      <c r="E35" s="116"/>
      <c r="F35" s="116"/>
      <c r="G35" s="116"/>
      <c r="H35" s="118"/>
      <c r="I35" s="118"/>
      <c r="J35" s="119">
        <f t="shared" si="3"/>
        <v>0</v>
      </c>
    </row>
    <row r="36" spans="1:13" ht="15.75" thickBot="1" x14ac:dyDescent="0.3">
      <c r="A36" s="289"/>
      <c r="B36" s="286"/>
      <c r="C36" s="89"/>
      <c r="D36" s="120"/>
      <c r="E36" s="120"/>
      <c r="F36" s="120"/>
      <c r="G36" s="120"/>
      <c r="H36" s="90"/>
      <c r="I36" s="90"/>
      <c r="J36" s="119">
        <f t="shared" si="3"/>
        <v>0</v>
      </c>
    </row>
    <row r="37" spans="1:13" ht="15.75" thickBot="1" x14ac:dyDescent="0.3">
      <c r="A37" s="86"/>
      <c r="B37" s="121"/>
      <c r="C37" s="89"/>
      <c r="D37" s="120"/>
      <c r="E37" s="120"/>
      <c r="F37" s="120"/>
      <c r="G37" s="120"/>
      <c r="H37" s="90"/>
      <c r="I37" s="90"/>
      <c r="J37" s="119">
        <f t="shared" si="3"/>
        <v>0</v>
      </c>
      <c r="L37" s="134"/>
      <c r="M37" s="135"/>
    </row>
    <row r="38" spans="1:13" ht="15.75" thickBot="1" x14ac:dyDescent="0.3">
      <c r="A38" s="86" t="s">
        <v>4</v>
      </c>
      <c r="B38" s="124"/>
      <c r="C38" s="125"/>
      <c r="D38" s="126"/>
      <c r="E38" s="126"/>
      <c r="F38" s="126"/>
      <c r="G38" s="126"/>
      <c r="H38" s="126"/>
      <c r="I38" s="126"/>
      <c r="J38" s="94">
        <f>SUM(J34:J37)</f>
        <v>0</v>
      </c>
    </row>
    <row r="39" spans="1:13" x14ac:dyDescent="0.25">
      <c r="A39" s="109"/>
      <c r="B39" s="127"/>
      <c r="C39" s="128"/>
      <c r="D39" s="129"/>
      <c r="E39" s="129"/>
      <c r="F39" s="129"/>
      <c r="G39" s="129"/>
      <c r="H39" s="129"/>
      <c r="I39" s="129"/>
      <c r="J39" s="130"/>
    </row>
    <row r="40" spans="1:13" x14ac:dyDescent="0.25">
      <c r="A40" s="109"/>
      <c r="B40" s="127"/>
      <c r="C40" s="128"/>
      <c r="D40" s="129"/>
      <c r="E40" s="129"/>
      <c r="F40" s="129"/>
      <c r="G40" s="129"/>
      <c r="H40" s="129"/>
      <c r="I40" s="129"/>
      <c r="J40" s="130"/>
    </row>
    <row r="41" spans="1:13" ht="15.75" thickBot="1" x14ac:dyDescent="0.3">
      <c r="A41" s="84"/>
      <c r="B41" s="84"/>
      <c r="C41" s="84"/>
      <c r="J41" s="85"/>
    </row>
    <row r="42" spans="1:13" ht="45.75" thickBot="1" x14ac:dyDescent="0.3">
      <c r="A42" s="114" t="s">
        <v>49</v>
      </c>
      <c r="B42" s="86" t="s">
        <v>45</v>
      </c>
      <c r="C42" s="114" t="s">
        <v>41</v>
      </c>
      <c r="D42" s="114" t="s">
        <v>34</v>
      </c>
      <c r="E42" s="114" t="s">
        <v>35</v>
      </c>
      <c r="F42" s="114" t="s">
        <v>46</v>
      </c>
      <c r="G42" s="114" t="s">
        <v>47</v>
      </c>
      <c r="H42" s="86" t="s">
        <v>48</v>
      </c>
      <c r="I42" s="132" t="s">
        <v>42</v>
      </c>
      <c r="J42" s="115" t="s">
        <v>4</v>
      </c>
    </row>
    <row r="43" spans="1:13" ht="15.75" thickBot="1" x14ac:dyDescent="0.3">
      <c r="A43" s="485" t="s">
        <v>372</v>
      </c>
      <c r="B43" s="512" t="s">
        <v>373</v>
      </c>
      <c r="C43" s="103">
        <v>46054</v>
      </c>
      <c r="D43" s="118">
        <v>5.9</v>
      </c>
      <c r="E43" s="136">
        <v>10</v>
      </c>
      <c r="F43" s="118">
        <v>56</v>
      </c>
      <c r="G43" s="118">
        <v>5</v>
      </c>
      <c r="H43" s="118"/>
      <c r="I43" s="118"/>
      <c r="J43" s="119">
        <f>SUM(D43:I43)</f>
        <v>76.900000000000006</v>
      </c>
    </row>
    <row r="44" spans="1:13" ht="15.75" thickBot="1" x14ac:dyDescent="0.3">
      <c r="A44" s="487"/>
      <c r="B44" s="513"/>
      <c r="C44" s="103">
        <v>46082</v>
      </c>
      <c r="D44" s="118"/>
      <c r="E44" s="118"/>
      <c r="F44" s="118">
        <v>60</v>
      </c>
      <c r="G44" s="118">
        <v>5</v>
      </c>
      <c r="H44" s="118"/>
      <c r="I44" s="118"/>
      <c r="J44" s="119">
        <f t="shared" ref="J44:J56" si="4">SUM(D44:I44)</f>
        <v>65</v>
      </c>
    </row>
    <row r="45" spans="1:13" ht="15.75" thickBot="1" x14ac:dyDescent="0.3">
      <c r="A45" s="286"/>
      <c r="B45" s="103"/>
      <c r="C45" s="103"/>
      <c r="D45" s="118"/>
      <c r="E45" s="118"/>
      <c r="F45" s="118"/>
      <c r="G45" s="118"/>
      <c r="H45" s="118"/>
      <c r="I45" s="118"/>
      <c r="J45" s="119">
        <f t="shared" si="4"/>
        <v>0</v>
      </c>
    </row>
    <row r="46" spans="1:13" ht="15.75" thickBot="1" x14ac:dyDescent="0.3">
      <c r="A46" s="121"/>
      <c r="B46" s="103"/>
      <c r="C46" s="103"/>
      <c r="D46" s="118"/>
      <c r="E46" s="118"/>
      <c r="F46" s="118"/>
      <c r="G46" s="118"/>
      <c r="H46" s="118"/>
      <c r="I46" s="118"/>
      <c r="J46" s="119">
        <f t="shared" si="4"/>
        <v>0</v>
      </c>
    </row>
    <row r="47" spans="1:13" ht="15.75" thickBot="1" x14ac:dyDescent="0.3">
      <c r="A47" s="121"/>
      <c r="B47" s="103"/>
      <c r="C47" s="103"/>
      <c r="D47" s="118"/>
      <c r="E47" s="118"/>
      <c r="F47" s="118"/>
      <c r="G47" s="118"/>
      <c r="H47" s="118"/>
      <c r="I47" s="118"/>
      <c r="J47" s="119">
        <f t="shared" si="4"/>
        <v>0</v>
      </c>
    </row>
    <row r="48" spans="1:13" ht="15.75" thickBot="1" x14ac:dyDescent="0.3">
      <c r="A48" s="286"/>
      <c r="B48" s="103"/>
      <c r="C48" s="103"/>
      <c r="D48" s="118"/>
      <c r="E48" s="118"/>
      <c r="F48" s="118"/>
      <c r="G48" s="118"/>
      <c r="H48" s="118"/>
      <c r="I48" s="118"/>
      <c r="J48" s="119">
        <f t="shared" si="4"/>
        <v>0</v>
      </c>
    </row>
    <row r="49" spans="1:10" ht="15.75" thickBot="1" x14ac:dyDescent="0.3">
      <c r="A49" s="286"/>
      <c r="B49" s="103"/>
      <c r="C49" s="103"/>
      <c r="D49" s="118"/>
      <c r="E49" s="118"/>
      <c r="F49" s="118"/>
      <c r="G49" s="118"/>
      <c r="H49" s="118"/>
      <c r="I49" s="118"/>
      <c r="J49" s="119">
        <f t="shared" si="4"/>
        <v>0</v>
      </c>
    </row>
    <row r="50" spans="1:10" ht="15.75" thickBot="1" x14ac:dyDescent="0.3">
      <c r="A50" s="286"/>
      <c r="B50" s="103"/>
      <c r="C50" s="103"/>
      <c r="D50" s="118"/>
      <c r="E50" s="118"/>
      <c r="F50" s="118"/>
      <c r="G50" s="118"/>
      <c r="H50" s="118"/>
      <c r="I50" s="118"/>
      <c r="J50" s="119">
        <f t="shared" si="4"/>
        <v>0</v>
      </c>
    </row>
    <row r="51" spans="1:10" ht="15.75" thickBot="1" x14ac:dyDescent="0.3">
      <c r="A51" s="286"/>
      <c r="B51" s="103"/>
      <c r="C51" s="103"/>
      <c r="D51" s="118"/>
      <c r="E51" s="118"/>
      <c r="F51" s="118"/>
      <c r="G51" s="118"/>
      <c r="H51" s="118"/>
      <c r="I51" s="118"/>
      <c r="J51" s="119">
        <f t="shared" si="4"/>
        <v>0</v>
      </c>
    </row>
    <row r="52" spans="1:10" ht="15.75" thickBot="1" x14ac:dyDescent="0.3">
      <c r="A52" s="286"/>
      <c r="B52" s="103"/>
      <c r="C52" s="103"/>
      <c r="D52" s="118"/>
      <c r="E52" s="118"/>
      <c r="F52" s="118"/>
      <c r="G52" s="118"/>
      <c r="H52" s="118"/>
      <c r="I52" s="118"/>
      <c r="J52" s="119">
        <f t="shared" si="4"/>
        <v>0</v>
      </c>
    </row>
    <row r="53" spans="1:10" ht="15.75" thickBot="1" x14ac:dyDescent="0.3">
      <c r="A53" s="137"/>
      <c r="B53" s="103"/>
      <c r="C53" s="103"/>
      <c r="D53" s="118"/>
      <c r="E53" s="118"/>
      <c r="F53" s="118"/>
      <c r="G53" s="118"/>
      <c r="H53" s="118"/>
      <c r="I53" s="118"/>
      <c r="J53" s="119">
        <f t="shared" si="4"/>
        <v>0</v>
      </c>
    </row>
    <row r="54" spans="1:10" ht="15.75" thickBot="1" x14ac:dyDescent="0.3">
      <c r="A54" s="121"/>
      <c r="B54" s="103"/>
      <c r="C54" s="103"/>
      <c r="D54" s="118"/>
      <c r="F54" s="118"/>
      <c r="G54" s="118"/>
      <c r="H54" s="118"/>
      <c r="I54" s="118"/>
      <c r="J54" s="119">
        <f t="shared" si="4"/>
        <v>0</v>
      </c>
    </row>
    <row r="55" spans="1:10" ht="15.75" thickBot="1" x14ac:dyDescent="0.3">
      <c r="A55" s="121"/>
      <c r="B55" s="103"/>
      <c r="C55" s="103"/>
      <c r="D55" s="118"/>
      <c r="E55" s="118"/>
      <c r="F55" s="118"/>
      <c r="G55" s="118"/>
      <c r="H55" s="118"/>
      <c r="I55" s="118"/>
      <c r="J55" s="119">
        <f t="shared" si="4"/>
        <v>0</v>
      </c>
    </row>
    <row r="56" spans="1:10" ht="15.75" thickBot="1" x14ac:dyDescent="0.3">
      <c r="A56" s="121"/>
      <c r="B56" s="103"/>
      <c r="C56" s="103"/>
      <c r="D56" s="138"/>
      <c r="E56" s="138"/>
      <c r="F56" s="138"/>
      <c r="G56" s="138"/>
      <c r="H56" s="138"/>
      <c r="I56" s="138"/>
      <c r="J56" s="119">
        <f t="shared" si="4"/>
        <v>0</v>
      </c>
    </row>
    <row r="57" spans="1:10" ht="19.5" thickBot="1" x14ac:dyDescent="0.35">
      <c r="A57" s="105" t="s">
        <v>4</v>
      </c>
      <c r="B57" s="86"/>
      <c r="C57" s="106"/>
      <c r="D57" s="107">
        <f t="shared" ref="D57:J57" si="5">SUM(D43:D56)</f>
        <v>5.9</v>
      </c>
      <c r="E57" s="107">
        <f t="shared" si="5"/>
        <v>10</v>
      </c>
      <c r="F57" s="107">
        <f t="shared" si="5"/>
        <v>116</v>
      </c>
      <c r="G57" s="107">
        <f t="shared" si="5"/>
        <v>10</v>
      </c>
      <c r="H57" s="107">
        <f t="shared" si="5"/>
        <v>0</v>
      </c>
      <c r="I57" s="107">
        <f t="shared" si="5"/>
        <v>0</v>
      </c>
      <c r="J57" s="107">
        <f t="shared" si="5"/>
        <v>141.9</v>
      </c>
    </row>
    <row r="58" spans="1:10" ht="15.75" x14ac:dyDescent="0.25">
      <c r="A58" s="139"/>
      <c r="B58" s="139"/>
      <c r="C58" s="140"/>
      <c r="D58" s="141"/>
      <c r="E58" s="141"/>
      <c r="F58" s="141"/>
      <c r="G58" s="141"/>
      <c r="H58" s="141"/>
      <c r="I58" s="141"/>
      <c r="J58" s="141"/>
    </row>
    <row r="59" spans="1:10" ht="16.5" thickBot="1" x14ac:dyDescent="0.3">
      <c r="A59" s="139"/>
      <c r="B59" s="139"/>
      <c r="C59" s="140"/>
      <c r="D59" s="141"/>
      <c r="E59" s="141"/>
      <c r="F59" s="141"/>
      <c r="G59" s="141"/>
      <c r="H59" s="141"/>
      <c r="I59" s="141"/>
      <c r="J59" s="141"/>
    </row>
    <row r="60" spans="1:10" ht="19.5" thickBot="1" x14ac:dyDescent="0.35">
      <c r="A60" s="492" t="s">
        <v>50</v>
      </c>
      <c r="B60" s="493"/>
      <c r="C60" s="142"/>
      <c r="D60" s="143"/>
      <c r="E60" s="143"/>
      <c r="F60" s="143"/>
      <c r="G60" s="143"/>
      <c r="H60" s="143"/>
      <c r="I60" s="143"/>
      <c r="J60" s="108">
        <f>+J22+J57</f>
        <v>161.9</v>
      </c>
    </row>
    <row r="61" spans="1:10" x14ac:dyDescent="0.25">
      <c r="A61" s="84"/>
      <c r="B61" s="84"/>
      <c r="C61" s="144"/>
      <c r="D61" s="85"/>
      <c r="E61" s="85"/>
      <c r="F61" s="85"/>
      <c r="G61" s="85"/>
      <c r="H61" s="85"/>
      <c r="I61" s="85"/>
      <c r="J61" s="85"/>
    </row>
    <row r="62" spans="1:10" x14ac:dyDescent="0.25">
      <c r="A62" s="84"/>
      <c r="B62" s="84"/>
      <c r="C62" s="144"/>
      <c r="D62" s="85"/>
      <c r="E62" s="85"/>
      <c r="F62" s="85"/>
      <c r="G62" s="85"/>
      <c r="H62" s="85"/>
      <c r="I62" s="85"/>
      <c r="J62" s="85"/>
    </row>
    <row r="63" spans="1:10" ht="16.5" thickBot="1" x14ac:dyDescent="0.3">
      <c r="A63" s="145" t="s">
        <v>367</v>
      </c>
      <c r="B63" s="84"/>
      <c r="C63" s="144"/>
      <c r="D63" s="85"/>
      <c r="E63" s="85"/>
      <c r="F63" s="85"/>
      <c r="G63" s="85"/>
      <c r="H63" s="85"/>
      <c r="I63" s="85"/>
      <c r="J63" s="85"/>
    </row>
    <row r="64" spans="1:10" ht="19.5" thickBot="1" x14ac:dyDescent="0.35">
      <c r="A64" s="146" t="s">
        <v>52</v>
      </c>
      <c r="B64" s="147"/>
      <c r="C64" s="148"/>
      <c r="D64" s="149"/>
      <c r="E64" s="149"/>
      <c r="F64" s="149"/>
      <c r="G64" s="149"/>
      <c r="H64" s="149"/>
      <c r="I64" s="149"/>
      <c r="J64" s="108"/>
    </row>
    <row r="65" spans="1:10" ht="19.5" thickBot="1" x14ac:dyDescent="0.35">
      <c r="A65" s="146" t="s">
        <v>53</v>
      </c>
      <c r="B65" s="147"/>
      <c r="C65" s="150"/>
      <c r="D65" s="149"/>
      <c r="E65" s="149"/>
      <c r="F65" s="149"/>
      <c r="G65" s="149"/>
      <c r="H65" s="149"/>
      <c r="I65" s="149"/>
      <c r="J65" s="108"/>
    </row>
    <row r="66" spans="1:10" ht="18.75" x14ac:dyDescent="0.3">
      <c r="A66" s="151"/>
      <c r="B66" s="151"/>
      <c r="C66" s="152"/>
      <c r="D66" s="153"/>
      <c r="E66" s="153"/>
      <c r="F66" s="153"/>
      <c r="G66" s="153"/>
      <c r="H66" s="153"/>
      <c r="I66" s="153"/>
      <c r="J66" s="111"/>
    </row>
    <row r="67" spans="1:10" ht="18.75" x14ac:dyDescent="0.3">
      <c r="A67" s="151"/>
      <c r="B67" s="151"/>
      <c r="C67" s="152"/>
      <c r="D67" s="153"/>
      <c r="E67" s="153"/>
      <c r="F67" s="153"/>
      <c r="G67" s="153"/>
      <c r="H67" s="153"/>
      <c r="I67" s="153"/>
      <c r="J67" s="111"/>
    </row>
    <row r="68" spans="1:10" ht="16.5" thickBot="1" x14ac:dyDescent="0.3">
      <c r="A68" s="154" t="s">
        <v>54</v>
      </c>
      <c r="B68" s="155"/>
      <c r="C68" s="144"/>
      <c r="D68" s="85"/>
      <c r="E68" s="85"/>
      <c r="F68" s="85"/>
      <c r="G68" s="85"/>
      <c r="H68" s="85"/>
      <c r="I68" s="85"/>
      <c r="J68" s="85"/>
    </row>
    <row r="69" spans="1:10" ht="19.5" thickBot="1" x14ac:dyDescent="0.35">
      <c r="A69" s="156" t="s">
        <v>55</v>
      </c>
      <c r="B69" s="157"/>
      <c r="C69" s="158"/>
      <c r="D69" s="159"/>
      <c r="E69" s="159"/>
      <c r="F69" s="159"/>
      <c r="G69" s="159"/>
      <c r="H69" s="159"/>
      <c r="I69" s="159"/>
      <c r="J69" s="160">
        <v>349</v>
      </c>
    </row>
    <row r="70" spans="1:10" x14ac:dyDescent="0.25">
      <c r="A70" s="161"/>
      <c r="B70" s="84"/>
      <c r="C70" s="144"/>
      <c r="D70" s="85"/>
      <c r="E70" s="85"/>
      <c r="F70" s="85"/>
      <c r="G70" s="85"/>
      <c r="H70" s="85"/>
      <c r="I70" s="85"/>
      <c r="J70" s="85"/>
    </row>
    <row r="71" spans="1:10" ht="16.5" thickBot="1" x14ac:dyDescent="0.3">
      <c r="A71" s="154"/>
      <c r="B71" s="155"/>
      <c r="C71" s="144"/>
      <c r="D71" s="85"/>
      <c r="E71" s="85"/>
      <c r="F71" s="85"/>
      <c r="G71" s="85"/>
      <c r="H71" s="85"/>
      <c r="I71" s="85"/>
      <c r="J71" s="85"/>
    </row>
    <row r="72" spans="1:10" ht="19.5" thickBot="1" x14ac:dyDescent="0.35">
      <c r="A72" s="156" t="s">
        <v>56</v>
      </c>
      <c r="B72" s="157"/>
      <c r="C72" s="162"/>
      <c r="D72" s="159"/>
      <c r="E72" s="159"/>
      <c r="F72" s="159"/>
      <c r="G72" s="159"/>
      <c r="H72" s="159"/>
      <c r="I72" s="159"/>
      <c r="J72" s="163"/>
    </row>
    <row r="73" spans="1:10" ht="15.75" thickBot="1" x14ac:dyDescent="0.3">
      <c r="A73" s="161"/>
      <c r="B73" s="84"/>
      <c r="C73" s="144"/>
      <c r="D73" s="85"/>
      <c r="E73" s="85"/>
      <c r="F73" s="85"/>
      <c r="G73" s="85"/>
      <c r="H73" s="85"/>
      <c r="I73" s="85"/>
      <c r="J73" s="85"/>
    </row>
    <row r="74" spans="1:10" ht="21.75" thickBot="1" x14ac:dyDescent="0.4">
      <c r="A74" s="494" t="s">
        <v>57</v>
      </c>
      <c r="B74" s="495"/>
      <c r="C74" s="164"/>
      <c r="D74" s="165"/>
      <c r="E74" s="165"/>
      <c r="F74" s="165"/>
      <c r="G74" s="165"/>
      <c r="H74" s="165"/>
      <c r="I74" s="165"/>
      <c r="J74" s="166">
        <f>SUM(J60:J73)</f>
        <v>510.9</v>
      </c>
    </row>
    <row r="75" spans="1:10" x14ac:dyDescent="0.25">
      <c r="A75" s="84"/>
      <c r="B75" s="84"/>
      <c r="C75" s="144"/>
      <c r="D75" s="85"/>
      <c r="E75" s="85"/>
      <c r="F75" s="85"/>
      <c r="G75" s="85"/>
      <c r="H75" s="85"/>
      <c r="I75" s="85"/>
      <c r="J75" s="85"/>
    </row>
    <row r="76" spans="1:10" ht="21" x14ac:dyDescent="0.35">
      <c r="A76" s="491" t="s">
        <v>362</v>
      </c>
      <c r="B76" s="491"/>
      <c r="C76" s="491"/>
      <c r="D76" s="491"/>
      <c r="E76" s="491"/>
      <c r="F76" s="491"/>
      <c r="G76" s="491"/>
      <c r="H76" s="491"/>
      <c r="I76" s="491"/>
      <c r="J76" s="491"/>
    </row>
    <row r="77" spans="1:10" ht="21.75" thickBot="1" x14ac:dyDescent="0.4">
      <c r="A77" s="287" t="s">
        <v>10</v>
      </c>
      <c r="B77" s="287"/>
      <c r="C77" s="287"/>
      <c r="D77" s="287"/>
      <c r="E77" s="287"/>
      <c r="F77" s="287"/>
      <c r="G77" s="287"/>
      <c r="H77" s="287"/>
      <c r="I77" s="287"/>
      <c r="J77" s="168"/>
    </row>
    <row r="78" spans="1:10" ht="15.75" thickBot="1" x14ac:dyDescent="0.3">
      <c r="A78" s="169" t="s">
        <v>58</v>
      </c>
      <c r="B78" s="170" t="s">
        <v>59</v>
      </c>
      <c r="C78" s="496" t="s">
        <v>33</v>
      </c>
      <c r="D78" s="497"/>
      <c r="E78" s="497"/>
      <c r="F78" s="497"/>
      <c r="G78" s="497"/>
      <c r="H78" s="497"/>
      <c r="I78" s="498"/>
      <c r="J78" s="171" t="s">
        <v>4</v>
      </c>
    </row>
    <row r="79" spans="1:10" ht="15.75" thickBot="1" x14ac:dyDescent="0.3">
      <c r="A79" s="293" t="s">
        <v>364</v>
      </c>
      <c r="B79" s="173">
        <v>1638</v>
      </c>
      <c r="C79" s="488" t="s">
        <v>365</v>
      </c>
      <c r="D79" s="489"/>
      <c r="E79" s="489"/>
      <c r="F79" s="489"/>
      <c r="G79" s="489"/>
      <c r="H79" s="489"/>
      <c r="I79" s="489"/>
      <c r="J79" s="104">
        <v>15</v>
      </c>
    </row>
    <row r="80" spans="1:10" ht="43.5" customHeight="1" thickBot="1" x14ac:dyDescent="0.3">
      <c r="A80" s="121" t="s">
        <v>370</v>
      </c>
      <c r="B80" s="173" t="s">
        <v>371</v>
      </c>
      <c r="C80" s="488" t="s">
        <v>379</v>
      </c>
      <c r="D80" s="489"/>
      <c r="E80" s="489"/>
      <c r="F80" s="489"/>
      <c r="G80" s="489"/>
      <c r="H80" s="490"/>
      <c r="I80" s="490"/>
      <c r="J80" s="104">
        <v>535</v>
      </c>
    </row>
    <row r="81" spans="1:10" ht="15.75" thickBot="1" x14ac:dyDescent="0.3">
      <c r="A81" s="121" t="s">
        <v>375</v>
      </c>
      <c r="B81" s="173">
        <v>112181</v>
      </c>
      <c r="C81" s="504" t="s">
        <v>376</v>
      </c>
      <c r="D81" s="505"/>
      <c r="E81" s="505"/>
      <c r="F81" s="505"/>
      <c r="G81" s="505"/>
      <c r="H81" s="505"/>
      <c r="I81" s="505"/>
      <c r="J81" s="174">
        <v>462.9</v>
      </c>
    </row>
    <row r="82" spans="1:10" ht="30.75" thickBot="1" x14ac:dyDescent="0.3">
      <c r="A82" s="121" t="s">
        <v>377</v>
      </c>
      <c r="B82" s="173" t="s">
        <v>378</v>
      </c>
      <c r="C82" s="488" t="s">
        <v>380</v>
      </c>
      <c r="D82" s="489"/>
      <c r="E82" s="489"/>
      <c r="F82" s="489"/>
      <c r="G82" s="489"/>
      <c r="H82" s="490"/>
      <c r="I82" s="490"/>
      <c r="J82" s="104">
        <v>71.5</v>
      </c>
    </row>
    <row r="83" spans="1:10" ht="15.75" thickBot="1" x14ac:dyDescent="0.3">
      <c r="A83" s="121"/>
      <c r="B83" s="173"/>
      <c r="C83" s="488"/>
      <c r="D83" s="489"/>
      <c r="E83" s="489"/>
      <c r="F83" s="489"/>
      <c r="G83" s="489"/>
      <c r="H83" s="490"/>
      <c r="I83" s="490"/>
      <c r="J83" s="104"/>
    </row>
    <row r="84" spans="1:10" ht="15.75" thickBot="1" x14ac:dyDescent="0.3">
      <c r="A84" s="121"/>
      <c r="B84" s="173"/>
      <c r="C84" s="488"/>
      <c r="D84" s="489"/>
      <c r="E84" s="489"/>
      <c r="F84" s="489"/>
      <c r="G84" s="489"/>
      <c r="H84" s="490"/>
      <c r="I84" s="490"/>
      <c r="J84" s="104"/>
    </row>
    <row r="85" spans="1:10" ht="15.75" thickBot="1" x14ac:dyDescent="0.3">
      <c r="A85" s="121"/>
      <c r="B85" s="173"/>
      <c r="C85" s="488"/>
      <c r="D85" s="489"/>
      <c r="E85" s="489"/>
      <c r="F85" s="489"/>
      <c r="G85" s="489"/>
      <c r="H85" s="490"/>
      <c r="I85" s="490"/>
      <c r="J85" s="104"/>
    </row>
    <row r="86" spans="1:10" ht="15.75" thickBot="1" x14ac:dyDescent="0.3">
      <c r="A86" s="121"/>
      <c r="B86" s="173"/>
      <c r="C86" s="488"/>
      <c r="D86" s="489"/>
      <c r="E86" s="489"/>
      <c r="F86" s="489"/>
      <c r="G86" s="489"/>
      <c r="H86" s="490"/>
      <c r="I86" s="490"/>
      <c r="J86" s="104"/>
    </row>
    <row r="87" spans="1:10" ht="15.75" thickBot="1" x14ac:dyDescent="0.3">
      <c r="A87" s="121"/>
      <c r="B87" s="173"/>
      <c r="C87" s="488"/>
      <c r="D87" s="489"/>
      <c r="E87" s="489"/>
      <c r="F87" s="489"/>
      <c r="G87" s="489"/>
      <c r="H87" s="490"/>
      <c r="I87" s="490"/>
      <c r="J87" s="118"/>
    </row>
    <row r="88" spans="1:10" ht="15.75" thickBot="1" x14ac:dyDescent="0.3">
      <c r="A88" s="121"/>
      <c r="B88" s="173"/>
      <c r="C88" s="488"/>
      <c r="D88" s="489"/>
      <c r="E88" s="489"/>
      <c r="F88" s="489"/>
      <c r="G88" s="489"/>
      <c r="H88" s="490"/>
      <c r="I88" s="490"/>
      <c r="J88" s="118"/>
    </row>
    <row r="89" spans="1:10" ht="19.5" thickBot="1" x14ac:dyDescent="0.35">
      <c r="A89" s="312" t="s">
        <v>60</v>
      </c>
      <c r="B89" s="492"/>
      <c r="C89" s="499"/>
      <c r="D89" s="499"/>
      <c r="E89" s="499"/>
      <c r="F89" s="499"/>
      <c r="G89" s="499"/>
      <c r="H89" s="499"/>
      <c r="I89" s="499"/>
      <c r="J89" s="176">
        <f>SUM(J79:J88)</f>
        <v>1084.4000000000001</v>
      </c>
    </row>
    <row r="90" spans="1:10" ht="18.75" x14ac:dyDescent="0.3">
      <c r="A90" s="2"/>
      <c r="B90" s="2"/>
      <c r="C90" s="177"/>
      <c r="D90" s="177"/>
      <c r="E90" s="177"/>
      <c r="F90" s="178"/>
      <c r="G90" s="177"/>
      <c r="H90" s="177"/>
      <c r="I90" s="177"/>
      <c r="J90" s="111"/>
    </row>
    <row r="91" spans="1:10" ht="18.75" x14ac:dyDescent="0.3">
      <c r="A91" s="2"/>
      <c r="B91" s="2"/>
      <c r="C91" s="177"/>
      <c r="D91" s="177"/>
      <c r="E91" s="177"/>
      <c r="F91" s="178"/>
      <c r="G91" s="177"/>
      <c r="H91" s="177"/>
      <c r="I91" s="177"/>
      <c r="J91" s="111"/>
    </row>
    <row r="92" spans="1:10" ht="18.75" x14ac:dyDescent="0.3">
      <c r="A92" s="139" t="s">
        <v>61</v>
      </c>
      <c r="B92" s="2"/>
      <c r="C92" s="84"/>
      <c r="D92" s="85"/>
      <c r="F92" s="85"/>
      <c r="J92" s="85"/>
    </row>
    <row r="93" spans="1:10" x14ac:dyDescent="0.25">
      <c r="A93" s="84" t="s">
        <v>62</v>
      </c>
      <c r="B93" s="144">
        <f>+J74</f>
        <v>510.9</v>
      </c>
      <c r="C93" s="179"/>
      <c r="D93" s="85"/>
      <c r="F93" s="85"/>
      <c r="J93" s="85"/>
    </row>
    <row r="94" spans="1:10" ht="15.75" thickBot="1" x14ac:dyDescent="0.3">
      <c r="A94" s="84" t="s">
        <v>60</v>
      </c>
      <c r="B94" s="180">
        <f>+J89</f>
        <v>1084.4000000000001</v>
      </c>
      <c r="C94" s="181"/>
      <c r="D94" s="85"/>
      <c r="F94" s="85"/>
      <c r="G94" s="182"/>
      <c r="H94" s="182"/>
      <c r="I94" s="183"/>
      <c r="J94" s="183"/>
    </row>
    <row r="95" spans="1:10" ht="17.25" thickTop="1" thickBot="1" x14ac:dyDescent="0.3">
      <c r="A95" s="139" t="s">
        <v>8</v>
      </c>
      <c r="B95" s="184">
        <f>++B93-B94</f>
        <v>-573.50000000000011</v>
      </c>
      <c r="C95" s="185"/>
      <c r="D95" s="186"/>
      <c r="E95" s="41"/>
      <c r="F95" s="186"/>
      <c r="G95" s="187"/>
      <c r="H95" s="187"/>
      <c r="I95" s="85"/>
    </row>
    <row r="96" spans="1:10" ht="15.75" thickTop="1" x14ac:dyDescent="0.25"/>
  </sheetData>
  <mergeCells count="19">
    <mergeCell ref="B89:I89"/>
    <mergeCell ref="B43:B44"/>
    <mergeCell ref="A43:A44"/>
    <mergeCell ref="A4:A5"/>
    <mergeCell ref="C86:I86"/>
    <mergeCell ref="C87:I87"/>
    <mergeCell ref="C88:I88"/>
    <mergeCell ref="C80:I80"/>
    <mergeCell ref="C81:I81"/>
    <mergeCell ref="C82:I82"/>
    <mergeCell ref="C83:I83"/>
    <mergeCell ref="C84:I84"/>
    <mergeCell ref="C85:I85"/>
    <mergeCell ref="C79:I79"/>
    <mergeCell ref="A1:J1"/>
    <mergeCell ref="A60:B60"/>
    <mergeCell ref="A74:B74"/>
    <mergeCell ref="A76:J76"/>
    <mergeCell ref="C78:I78"/>
  </mergeCells>
  <phoneticPr fontId="15" type="noConversion"/>
  <pageMargins left="0.17" right="0.17" top="2.02" bottom="0.17" header="0.17" footer="0.17"/>
  <pageSetup paperSize="9" scale="26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005E-548F-467E-8532-38858D94184E}">
  <sheetPr>
    <pageSetUpPr fitToPage="1"/>
  </sheetPr>
  <dimension ref="A1:M96"/>
  <sheetViews>
    <sheetView topLeftCell="A10" workbookViewId="0">
      <selection activeCell="A4" sqref="A4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10" max="10" width="14" bestFit="1" customWidth="1"/>
  </cols>
  <sheetData>
    <row r="1" spans="1:10" ht="21" x14ac:dyDescent="0.35">
      <c r="A1" s="491" t="s">
        <v>381</v>
      </c>
      <c r="B1" s="491"/>
      <c r="C1" s="491"/>
      <c r="D1" s="491"/>
      <c r="E1" s="491"/>
      <c r="F1" s="491"/>
      <c r="G1" s="491"/>
      <c r="H1" s="491"/>
      <c r="I1" s="491"/>
      <c r="J1" s="491"/>
    </row>
    <row r="2" spans="1:10" ht="15.75" thickBot="1" x14ac:dyDescent="0.3">
      <c r="A2" s="83"/>
      <c r="B2" s="84"/>
      <c r="C2" s="84"/>
      <c r="J2" s="85"/>
    </row>
    <row r="3" spans="1:10" ht="1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42</v>
      </c>
      <c r="G3" s="86" t="s">
        <v>37</v>
      </c>
      <c r="H3" s="86" t="s">
        <v>38</v>
      </c>
      <c r="I3" s="86" t="s">
        <v>39</v>
      </c>
      <c r="J3" s="87" t="s">
        <v>4</v>
      </c>
    </row>
    <row r="4" spans="1:10" ht="15.75" thickBot="1" x14ac:dyDescent="0.3">
      <c r="A4" s="88" t="s">
        <v>78</v>
      </c>
      <c r="B4" s="88" t="s">
        <v>384</v>
      </c>
      <c r="C4" s="89">
        <v>46113</v>
      </c>
      <c r="D4" s="90"/>
      <c r="E4" s="90"/>
      <c r="F4" s="90"/>
      <c r="G4" s="90"/>
      <c r="H4" s="90"/>
      <c r="I4" s="90">
        <v>10</v>
      </c>
      <c r="J4" s="87">
        <f>SUM(D4:I4)</f>
        <v>10</v>
      </c>
    </row>
    <row r="5" spans="1:10" ht="15.75" thickBot="1" x14ac:dyDescent="0.3">
      <c r="A5" s="88"/>
      <c r="B5" s="88"/>
      <c r="C5" s="89"/>
      <c r="D5" s="90"/>
      <c r="E5" s="90"/>
      <c r="F5" s="90"/>
      <c r="G5" s="90"/>
      <c r="H5" s="90"/>
      <c r="I5" s="90"/>
      <c r="J5" s="87">
        <f t="shared" ref="J5:J21" si="0">SUM(D5:I5)</f>
        <v>0</v>
      </c>
    </row>
    <row r="6" spans="1:10" ht="15.75" thickBot="1" x14ac:dyDescent="0.3">
      <c r="A6" s="500" t="s">
        <v>387</v>
      </c>
      <c r="B6" s="500" t="s">
        <v>388</v>
      </c>
      <c r="C6" s="89">
        <v>46054</v>
      </c>
      <c r="D6" s="90"/>
      <c r="E6" s="90"/>
      <c r="F6" s="90">
        <v>150</v>
      </c>
      <c r="G6" s="90"/>
      <c r="H6" s="90"/>
      <c r="I6" s="90"/>
      <c r="J6" s="87">
        <f t="shared" si="0"/>
        <v>150</v>
      </c>
    </row>
    <row r="7" spans="1:10" ht="15.75" thickBot="1" x14ac:dyDescent="0.3">
      <c r="A7" s="506"/>
      <c r="B7" s="506"/>
      <c r="C7" s="89">
        <v>46054</v>
      </c>
      <c r="D7" s="90"/>
      <c r="E7" s="90"/>
      <c r="F7" s="90">
        <v>150</v>
      </c>
      <c r="G7" s="90"/>
      <c r="H7" s="90"/>
      <c r="I7" s="90"/>
      <c r="J7" s="87">
        <f t="shared" si="0"/>
        <v>150</v>
      </c>
    </row>
    <row r="8" spans="1:10" ht="15.75" thickBot="1" x14ac:dyDescent="0.3">
      <c r="A8" s="506"/>
      <c r="B8" s="506"/>
      <c r="C8" s="89">
        <v>46082</v>
      </c>
      <c r="D8" s="90"/>
      <c r="E8" s="90"/>
      <c r="F8" s="90">
        <v>150</v>
      </c>
      <c r="G8" s="90"/>
      <c r="H8" s="90"/>
      <c r="I8" s="90"/>
      <c r="J8" s="87">
        <f t="shared" si="0"/>
        <v>150</v>
      </c>
    </row>
    <row r="9" spans="1:10" ht="15.75" thickBot="1" x14ac:dyDescent="0.3">
      <c r="A9" s="501"/>
      <c r="B9" s="501"/>
      <c r="C9" s="89">
        <v>46082</v>
      </c>
      <c r="D9" s="90"/>
      <c r="E9" s="90"/>
      <c r="F9" s="90">
        <v>150</v>
      </c>
      <c r="G9" s="90"/>
      <c r="H9" s="90"/>
      <c r="I9" s="90"/>
      <c r="J9" s="87">
        <f t="shared" si="0"/>
        <v>150</v>
      </c>
    </row>
    <row r="10" spans="1:10" ht="15.75" thickBot="1" x14ac:dyDescent="0.3">
      <c r="A10" s="88"/>
      <c r="B10" s="88"/>
      <c r="C10" s="89"/>
      <c r="D10" s="90"/>
      <c r="E10" s="90"/>
      <c r="F10" s="90"/>
      <c r="G10" s="90"/>
      <c r="H10" s="90"/>
      <c r="I10" s="90"/>
      <c r="J10" s="87">
        <f t="shared" si="0"/>
        <v>0</v>
      </c>
    </row>
    <row r="11" spans="1:10" ht="15.75" thickBot="1" x14ac:dyDescent="0.3">
      <c r="A11" s="297" t="s">
        <v>38</v>
      </c>
      <c r="B11" s="88" t="s">
        <v>392</v>
      </c>
      <c r="C11" s="89">
        <v>46113</v>
      </c>
      <c r="D11" s="90"/>
      <c r="E11" s="90"/>
      <c r="F11" s="90"/>
      <c r="G11" s="90"/>
      <c r="H11" s="90">
        <v>70</v>
      </c>
      <c r="I11" s="90"/>
      <c r="J11" s="87">
        <f t="shared" si="0"/>
        <v>70</v>
      </c>
    </row>
    <row r="12" spans="1:10" ht="15.75" thickBot="1" x14ac:dyDescent="0.3">
      <c r="A12" s="297"/>
      <c r="B12" s="295"/>
      <c r="C12" s="89"/>
      <c r="D12" s="90"/>
      <c r="E12" s="90"/>
      <c r="F12" s="90"/>
      <c r="G12" s="90"/>
      <c r="H12" s="90"/>
      <c r="I12" s="93"/>
      <c r="J12" s="94">
        <f t="shared" si="0"/>
        <v>0</v>
      </c>
    </row>
    <row r="13" spans="1:10" ht="15.75" thickBot="1" x14ac:dyDescent="0.3">
      <c r="A13" s="88"/>
      <c r="B13" s="88"/>
      <c r="C13" s="89"/>
      <c r="D13" s="90"/>
      <c r="E13" s="90"/>
      <c r="F13" s="90"/>
      <c r="G13" s="90"/>
      <c r="H13" s="90"/>
      <c r="I13" s="90"/>
      <c r="J13" s="87">
        <f t="shared" si="0"/>
        <v>0</v>
      </c>
    </row>
    <row r="14" spans="1:10" ht="15.75" thickBot="1" x14ac:dyDescent="0.3">
      <c r="A14" s="95"/>
      <c r="B14" s="296"/>
      <c r="C14" s="89"/>
      <c r="D14" s="90"/>
      <c r="E14" s="90"/>
      <c r="F14" s="90"/>
      <c r="G14" s="90"/>
      <c r="H14" s="90"/>
      <c r="I14" s="90"/>
      <c r="J14" s="87">
        <f t="shared" si="0"/>
        <v>0</v>
      </c>
    </row>
    <row r="15" spans="1:10" ht="15.75" thickBot="1" x14ac:dyDescent="0.3">
      <c r="A15" s="97"/>
      <c r="B15" s="95"/>
      <c r="C15" s="89"/>
      <c r="D15" s="90"/>
      <c r="E15" s="90"/>
      <c r="F15" s="90"/>
      <c r="G15" s="90"/>
      <c r="H15" s="90"/>
      <c r="I15" s="90"/>
      <c r="J15" s="87">
        <f t="shared" si="0"/>
        <v>0</v>
      </c>
    </row>
    <row r="16" spans="1:10" ht="15.75" thickBot="1" x14ac:dyDescent="0.3">
      <c r="A16" s="292"/>
      <c r="B16" s="292"/>
      <c r="C16" s="89"/>
      <c r="D16" s="90"/>
      <c r="E16" s="90"/>
      <c r="F16" s="90"/>
      <c r="G16" s="90"/>
      <c r="H16" s="90"/>
      <c r="I16" s="90"/>
      <c r="J16" s="87">
        <f t="shared" si="0"/>
        <v>0</v>
      </c>
    </row>
    <row r="17" spans="1:13" ht="15.75" thickBot="1" x14ac:dyDescent="0.3">
      <c r="A17" s="99"/>
      <c r="B17" s="292"/>
      <c r="C17" s="89"/>
      <c r="D17" s="90"/>
      <c r="E17" s="90"/>
      <c r="F17" s="90"/>
      <c r="G17" s="90"/>
      <c r="H17" s="90"/>
      <c r="I17" s="90"/>
      <c r="J17" s="87">
        <f t="shared" si="0"/>
        <v>0</v>
      </c>
    </row>
    <row r="18" spans="1:13" ht="15.75" thickBot="1" x14ac:dyDescent="0.3">
      <c r="A18" s="99"/>
      <c r="B18" s="292"/>
      <c r="C18" s="89"/>
      <c r="D18" s="90"/>
      <c r="E18" s="90"/>
      <c r="F18" s="90"/>
      <c r="G18" s="90"/>
      <c r="H18" s="90"/>
      <c r="I18" s="90"/>
      <c r="J18" s="87">
        <f t="shared" si="0"/>
        <v>0</v>
      </c>
    </row>
    <row r="19" spans="1:13" ht="15.75" thickBot="1" x14ac:dyDescent="0.3">
      <c r="A19" s="100"/>
      <c r="B19" s="292"/>
      <c r="C19" s="89"/>
      <c r="D19" s="90"/>
      <c r="E19" s="90"/>
      <c r="F19" s="90"/>
      <c r="G19" s="90"/>
      <c r="H19" s="90"/>
      <c r="I19" s="90"/>
      <c r="J19" s="87">
        <f t="shared" si="0"/>
        <v>0</v>
      </c>
    </row>
    <row r="20" spans="1:13" ht="15.75" thickBot="1" x14ac:dyDescent="0.3">
      <c r="A20" s="299"/>
      <c r="B20" s="299"/>
      <c r="C20" s="89"/>
      <c r="D20" s="90"/>
      <c r="E20" s="90"/>
      <c r="F20" s="90"/>
      <c r="G20" s="90"/>
      <c r="H20" s="90"/>
      <c r="I20" s="90"/>
      <c r="J20" s="87">
        <f t="shared" si="0"/>
        <v>0</v>
      </c>
    </row>
    <row r="21" spans="1:13" ht="15.75" thickBot="1" x14ac:dyDescent="0.3">
      <c r="A21" s="292"/>
      <c r="B21" s="298"/>
      <c r="C21" s="103"/>
      <c r="D21" s="104"/>
      <c r="E21" s="104"/>
      <c r="F21" s="104"/>
      <c r="G21" s="104"/>
      <c r="H21" s="104"/>
      <c r="I21" s="104"/>
      <c r="J21" s="87">
        <f t="shared" si="0"/>
        <v>0</v>
      </c>
    </row>
    <row r="22" spans="1:13" ht="19.5" thickBot="1" x14ac:dyDescent="0.35">
      <c r="A22" s="105" t="s">
        <v>4</v>
      </c>
      <c r="B22" s="86"/>
      <c r="C22" s="106"/>
      <c r="D22" s="107">
        <f t="shared" ref="D22:I22" si="1">SUM(D4:D21)</f>
        <v>0</v>
      </c>
      <c r="E22" s="107">
        <f t="shared" si="1"/>
        <v>0</v>
      </c>
      <c r="F22" s="107">
        <f t="shared" si="1"/>
        <v>600</v>
      </c>
      <c r="G22" s="107"/>
      <c r="H22" s="107">
        <f t="shared" si="1"/>
        <v>70</v>
      </c>
      <c r="I22" s="107">
        <f t="shared" si="1"/>
        <v>10</v>
      </c>
      <c r="J22" s="108">
        <f>SUM(J4:J21)</f>
        <v>680</v>
      </c>
    </row>
    <row r="23" spans="1:13" ht="19.5" thickBot="1" x14ac:dyDescent="0.35">
      <c r="A23" s="2"/>
      <c r="B23" s="109"/>
      <c r="C23" s="110"/>
      <c r="D23" s="111"/>
      <c r="E23" s="111"/>
      <c r="F23" s="111"/>
      <c r="G23" s="111"/>
      <c r="H23" s="111"/>
      <c r="I23" s="111"/>
      <c r="J23" s="111"/>
    </row>
    <row r="24" spans="1:13" ht="24" thickBot="1" x14ac:dyDescent="0.4">
      <c r="A24" s="112" t="s">
        <v>40</v>
      </c>
      <c r="B24" s="109"/>
      <c r="C24" s="110"/>
      <c r="D24" s="111"/>
      <c r="E24" s="111"/>
      <c r="F24" s="111"/>
      <c r="G24" s="111"/>
      <c r="H24" s="111"/>
      <c r="I24" s="111"/>
      <c r="J24" s="111"/>
    </row>
    <row r="25" spans="1:13" ht="30.75" thickBot="1" x14ac:dyDescent="0.3">
      <c r="A25" s="113" t="s">
        <v>3</v>
      </c>
      <c r="B25" s="86" t="s">
        <v>32</v>
      </c>
      <c r="C25" s="114" t="s">
        <v>41</v>
      </c>
      <c r="D25" s="114" t="s">
        <v>34</v>
      </c>
      <c r="E25" s="114" t="s">
        <v>35</v>
      </c>
      <c r="F25" s="86" t="s">
        <v>36</v>
      </c>
      <c r="G25" s="86" t="s">
        <v>37</v>
      </c>
      <c r="H25" s="86" t="s">
        <v>42</v>
      </c>
      <c r="I25" s="86" t="s">
        <v>39</v>
      </c>
      <c r="J25" s="115" t="s">
        <v>4</v>
      </c>
    </row>
    <row r="26" spans="1:13" ht="30.75" thickBot="1" x14ac:dyDescent="0.3">
      <c r="A26" s="299" t="s">
        <v>286</v>
      </c>
      <c r="B26" s="103" t="s">
        <v>383</v>
      </c>
      <c r="C26" s="103">
        <v>46113</v>
      </c>
      <c r="D26" s="116"/>
      <c r="E26" s="117"/>
      <c r="F26" s="116"/>
      <c r="G26" s="116">
        <v>60</v>
      </c>
      <c r="H26" s="118"/>
      <c r="I26" s="118"/>
      <c r="J26" s="119">
        <f>SUM(D26:I26)</f>
        <v>60</v>
      </c>
    </row>
    <row r="27" spans="1:13" ht="15.75" thickBot="1" x14ac:dyDescent="0.3">
      <c r="A27" s="299"/>
      <c r="B27" s="103"/>
      <c r="C27" s="103"/>
      <c r="D27" s="116"/>
      <c r="E27" s="116"/>
      <c r="F27" s="116"/>
      <c r="G27" s="116"/>
      <c r="H27" s="118"/>
      <c r="I27" s="118"/>
      <c r="J27" s="119">
        <f t="shared" ref="J27:J29" si="2">SUM(D27:I27)</f>
        <v>0</v>
      </c>
    </row>
    <row r="28" spans="1:13" ht="15.75" thickBot="1" x14ac:dyDescent="0.3">
      <c r="A28" s="299"/>
      <c r="B28" s="292"/>
      <c r="C28" s="89"/>
      <c r="D28" s="120"/>
      <c r="E28" s="120"/>
      <c r="F28" s="120"/>
      <c r="G28" s="120"/>
      <c r="H28" s="90"/>
      <c r="I28" s="90"/>
      <c r="J28" s="119">
        <f t="shared" si="2"/>
        <v>0</v>
      </c>
    </row>
    <row r="29" spans="1:13" ht="15.75" thickBot="1" x14ac:dyDescent="0.3">
      <c r="A29" s="86"/>
      <c r="B29" s="121"/>
      <c r="C29" s="89"/>
      <c r="D29" s="120"/>
      <c r="E29" s="120"/>
      <c r="F29" s="120"/>
      <c r="G29" s="120"/>
      <c r="H29" s="90"/>
      <c r="I29" s="90"/>
      <c r="J29" s="119">
        <f t="shared" si="2"/>
        <v>0</v>
      </c>
      <c r="L29" s="122" t="s">
        <v>43</v>
      </c>
      <c r="M29" s="123">
        <f>J30+J38</f>
        <v>60</v>
      </c>
    </row>
    <row r="30" spans="1:13" ht="15.75" thickBot="1" x14ac:dyDescent="0.3">
      <c r="A30" s="86" t="s">
        <v>4</v>
      </c>
      <c r="B30" s="124"/>
      <c r="C30" s="125"/>
      <c r="D30" s="126"/>
      <c r="E30" s="126"/>
      <c r="F30" s="126"/>
      <c r="G30" s="126"/>
      <c r="H30" s="126"/>
      <c r="I30" s="126"/>
      <c r="J30" s="94">
        <f>SUM(J26:J29)</f>
        <v>60</v>
      </c>
    </row>
    <row r="31" spans="1:13" ht="15.75" thickBot="1" x14ac:dyDescent="0.3">
      <c r="A31" s="109"/>
      <c r="B31" s="127"/>
      <c r="C31" s="128"/>
      <c r="D31" s="129"/>
      <c r="E31" s="129"/>
      <c r="F31" s="129"/>
      <c r="G31" s="129"/>
      <c r="H31" s="129"/>
      <c r="I31" s="129"/>
      <c r="J31" s="130"/>
    </row>
    <row r="32" spans="1:13" ht="24" thickBot="1" x14ac:dyDescent="0.4">
      <c r="A32" s="112" t="s">
        <v>40</v>
      </c>
      <c r="B32" s="109"/>
      <c r="C32" s="110"/>
      <c r="D32" s="111"/>
      <c r="E32" s="111"/>
      <c r="F32" s="111"/>
      <c r="G32" s="111"/>
      <c r="H32" s="111"/>
      <c r="I32" s="111"/>
      <c r="J32" s="111"/>
    </row>
    <row r="33" spans="1:13" ht="45.75" thickBot="1" x14ac:dyDescent="0.3">
      <c r="A33" s="131" t="s">
        <v>44</v>
      </c>
      <c r="B33" s="86" t="s">
        <v>45</v>
      </c>
      <c r="C33" s="114" t="s">
        <v>41</v>
      </c>
      <c r="D33" s="114" t="s">
        <v>34</v>
      </c>
      <c r="E33" s="114" t="s">
        <v>35</v>
      </c>
      <c r="F33" s="114" t="s">
        <v>46</v>
      </c>
      <c r="G33" s="114" t="s">
        <v>47</v>
      </c>
      <c r="H33" s="114" t="s">
        <v>42</v>
      </c>
      <c r="I33" s="132" t="s">
        <v>48</v>
      </c>
      <c r="J33" s="115" t="s">
        <v>4</v>
      </c>
    </row>
    <row r="34" spans="1:13" ht="15.75" thickBot="1" x14ac:dyDescent="0.3">
      <c r="A34" s="133"/>
      <c r="B34" s="99"/>
      <c r="C34" s="89"/>
      <c r="D34" s="90"/>
      <c r="E34" s="90"/>
      <c r="F34" s="90"/>
      <c r="G34" s="90"/>
      <c r="H34" s="90"/>
      <c r="I34" s="90"/>
      <c r="J34" s="87">
        <f t="shared" ref="J34:J37" si="3">SUM(D34:I34)</f>
        <v>0</v>
      </c>
    </row>
    <row r="35" spans="1:13" ht="15.75" thickBot="1" x14ac:dyDescent="0.3">
      <c r="A35" s="95"/>
      <c r="B35" s="103"/>
      <c r="C35" s="89"/>
      <c r="D35" s="116"/>
      <c r="E35" s="116"/>
      <c r="F35" s="116"/>
      <c r="G35" s="116"/>
      <c r="H35" s="118"/>
      <c r="I35" s="118"/>
      <c r="J35" s="119">
        <f t="shared" si="3"/>
        <v>0</v>
      </c>
    </row>
    <row r="36" spans="1:13" ht="15.75" thickBot="1" x14ac:dyDescent="0.3">
      <c r="A36" s="299"/>
      <c r="B36" s="292"/>
      <c r="C36" s="89"/>
      <c r="D36" s="120"/>
      <c r="E36" s="120"/>
      <c r="F36" s="120"/>
      <c r="G36" s="120"/>
      <c r="H36" s="90"/>
      <c r="I36" s="90"/>
      <c r="J36" s="119">
        <f t="shared" si="3"/>
        <v>0</v>
      </c>
    </row>
    <row r="37" spans="1:13" ht="15.75" thickBot="1" x14ac:dyDescent="0.3">
      <c r="A37" s="86"/>
      <c r="B37" s="121"/>
      <c r="C37" s="89"/>
      <c r="D37" s="120"/>
      <c r="E37" s="120"/>
      <c r="F37" s="120"/>
      <c r="G37" s="120"/>
      <c r="H37" s="90"/>
      <c r="I37" s="90"/>
      <c r="J37" s="119">
        <f t="shared" si="3"/>
        <v>0</v>
      </c>
      <c r="L37" s="134"/>
      <c r="M37" s="135"/>
    </row>
    <row r="38" spans="1:13" ht="15.75" thickBot="1" x14ac:dyDescent="0.3">
      <c r="A38" s="86" t="s">
        <v>4</v>
      </c>
      <c r="B38" s="124"/>
      <c r="C38" s="125"/>
      <c r="D38" s="126"/>
      <c r="E38" s="126"/>
      <c r="F38" s="126"/>
      <c r="G38" s="126"/>
      <c r="H38" s="126"/>
      <c r="I38" s="126"/>
      <c r="J38" s="94">
        <f>SUM(J34:J37)</f>
        <v>0</v>
      </c>
    </row>
    <row r="39" spans="1:13" x14ac:dyDescent="0.25">
      <c r="A39" s="109"/>
      <c r="B39" s="127"/>
      <c r="C39" s="128"/>
      <c r="D39" s="129"/>
      <c r="E39" s="129"/>
      <c r="F39" s="129"/>
      <c r="G39" s="129"/>
      <c r="H39" s="129"/>
      <c r="I39" s="129"/>
      <c r="J39" s="130"/>
    </row>
    <row r="40" spans="1:13" x14ac:dyDescent="0.25">
      <c r="A40" s="109"/>
      <c r="B40" s="127"/>
      <c r="C40" s="128"/>
      <c r="D40" s="129"/>
      <c r="E40" s="129"/>
      <c r="F40" s="129"/>
      <c r="G40" s="129"/>
      <c r="H40" s="129"/>
      <c r="I40" s="129"/>
      <c r="J40" s="130"/>
    </row>
    <row r="41" spans="1:13" ht="15.75" thickBot="1" x14ac:dyDescent="0.3">
      <c r="A41" s="84"/>
      <c r="B41" s="84"/>
      <c r="C41" s="84"/>
      <c r="J41" s="85"/>
    </row>
    <row r="42" spans="1:13" ht="45.75" thickBot="1" x14ac:dyDescent="0.3">
      <c r="A42" s="114" t="s">
        <v>49</v>
      </c>
      <c r="B42" s="86" t="s">
        <v>45</v>
      </c>
      <c r="C42" s="114" t="s">
        <v>41</v>
      </c>
      <c r="D42" s="114" t="s">
        <v>34</v>
      </c>
      <c r="E42" s="114" t="s">
        <v>35</v>
      </c>
      <c r="F42" s="114" t="s">
        <v>46</v>
      </c>
      <c r="G42" s="114" t="s">
        <v>47</v>
      </c>
      <c r="H42" s="86" t="s">
        <v>48</v>
      </c>
      <c r="I42" s="132" t="s">
        <v>42</v>
      </c>
      <c r="J42" s="115" t="s">
        <v>4</v>
      </c>
    </row>
    <row r="43" spans="1:13" ht="15.75" thickBot="1" x14ac:dyDescent="0.3">
      <c r="A43" s="121" t="s">
        <v>385</v>
      </c>
      <c r="B43" s="103" t="s">
        <v>386</v>
      </c>
      <c r="C43" s="103">
        <v>46082</v>
      </c>
      <c r="D43" s="118"/>
      <c r="E43" s="136"/>
      <c r="F43" s="118">
        <v>60</v>
      </c>
      <c r="G43" s="118">
        <v>5</v>
      </c>
      <c r="H43" s="118"/>
      <c r="I43" s="118"/>
      <c r="J43" s="119">
        <f>SUM(D43:I43)</f>
        <v>65</v>
      </c>
    </row>
    <row r="44" spans="1:13" ht="15.75" thickBot="1" x14ac:dyDescent="0.3">
      <c r="A44" s="121"/>
      <c r="B44" s="103"/>
      <c r="C44" s="103"/>
      <c r="D44" s="118"/>
      <c r="E44" s="118"/>
      <c r="F44" s="118"/>
      <c r="G44" s="118"/>
      <c r="H44" s="118"/>
      <c r="I44" s="118"/>
      <c r="J44" s="119">
        <f t="shared" ref="J44:J56" si="4">SUM(D44:I44)</f>
        <v>0</v>
      </c>
    </row>
    <row r="45" spans="1:13" ht="15.75" thickBot="1" x14ac:dyDescent="0.3">
      <c r="A45" s="292"/>
      <c r="B45" s="103"/>
      <c r="C45" s="103"/>
      <c r="D45" s="118"/>
      <c r="E45" s="118"/>
      <c r="F45" s="118"/>
      <c r="G45" s="118"/>
      <c r="H45" s="118"/>
      <c r="I45" s="118"/>
      <c r="J45" s="119">
        <f t="shared" si="4"/>
        <v>0</v>
      </c>
    </row>
    <row r="46" spans="1:13" ht="15.75" thickBot="1" x14ac:dyDescent="0.3">
      <c r="A46" s="121"/>
      <c r="B46" s="103"/>
      <c r="C46" s="103"/>
      <c r="D46" s="118"/>
      <c r="E46" s="118"/>
      <c r="F46" s="118"/>
      <c r="G46" s="118"/>
      <c r="H46" s="118"/>
      <c r="I46" s="118"/>
      <c r="J46" s="119">
        <f t="shared" si="4"/>
        <v>0</v>
      </c>
    </row>
    <row r="47" spans="1:13" ht="15.75" thickBot="1" x14ac:dyDescent="0.3">
      <c r="A47" s="121"/>
      <c r="B47" s="103"/>
      <c r="C47" s="103"/>
      <c r="D47" s="118"/>
      <c r="E47" s="118"/>
      <c r="F47" s="118"/>
      <c r="G47" s="118"/>
      <c r="H47" s="118"/>
      <c r="I47" s="118"/>
      <c r="J47" s="119">
        <f t="shared" si="4"/>
        <v>0</v>
      </c>
    </row>
    <row r="48" spans="1:13" ht="15.75" thickBot="1" x14ac:dyDescent="0.3">
      <c r="A48" s="292"/>
      <c r="B48" s="103"/>
      <c r="C48" s="103"/>
      <c r="D48" s="118"/>
      <c r="E48" s="118"/>
      <c r="F48" s="118"/>
      <c r="G48" s="118"/>
      <c r="H48" s="118"/>
      <c r="I48" s="118"/>
      <c r="J48" s="119">
        <f t="shared" si="4"/>
        <v>0</v>
      </c>
    </row>
    <row r="49" spans="1:10" ht="15.75" thickBot="1" x14ac:dyDescent="0.3">
      <c r="A49" s="292"/>
      <c r="B49" s="103"/>
      <c r="C49" s="103"/>
      <c r="D49" s="118"/>
      <c r="E49" s="118"/>
      <c r="F49" s="118"/>
      <c r="G49" s="118"/>
      <c r="H49" s="118"/>
      <c r="I49" s="118"/>
      <c r="J49" s="119">
        <f t="shared" si="4"/>
        <v>0</v>
      </c>
    </row>
    <row r="50" spans="1:10" ht="15.75" thickBot="1" x14ac:dyDescent="0.3">
      <c r="A50" s="292"/>
      <c r="B50" s="103"/>
      <c r="C50" s="103"/>
      <c r="D50" s="118"/>
      <c r="E50" s="118"/>
      <c r="F50" s="118"/>
      <c r="G50" s="118"/>
      <c r="H50" s="118"/>
      <c r="I50" s="118"/>
      <c r="J50" s="119">
        <f t="shared" si="4"/>
        <v>0</v>
      </c>
    </row>
    <row r="51" spans="1:10" ht="15.75" thickBot="1" x14ac:dyDescent="0.3">
      <c r="A51" s="292"/>
      <c r="B51" s="103"/>
      <c r="C51" s="103"/>
      <c r="D51" s="118"/>
      <c r="E51" s="118"/>
      <c r="F51" s="118"/>
      <c r="G51" s="118"/>
      <c r="H51" s="118"/>
      <c r="I51" s="118"/>
      <c r="J51" s="119">
        <f t="shared" si="4"/>
        <v>0</v>
      </c>
    </row>
    <row r="52" spans="1:10" ht="15.75" thickBot="1" x14ac:dyDescent="0.3">
      <c r="A52" s="292"/>
      <c r="B52" s="103"/>
      <c r="C52" s="103"/>
      <c r="D52" s="118"/>
      <c r="E52" s="118"/>
      <c r="F52" s="118"/>
      <c r="G52" s="118"/>
      <c r="H52" s="118"/>
      <c r="I52" s="118"/>
      <c r="J52" s="119">
        <f t="shared" si="4"/>
        <v>0</v>
      </c>
    </row>
    <row r="53" spans="1:10" ht="15.75" thickBot="1" x14ac:dyDescent="0.3">
      <c r="A53" s="137"/>
      <c r="B53" s="103"/>
      <c r="C53" s="103"/>
      <c r="D53" s="118"/>
      <c r="E53" s="118"/>
      <c r="F53" s="118"/>
      <c r="G53" s="118"/>
      <c r="H53" s="118"/>
      <c r="I53" s="118"/>
      <c r="J53" s="119">
        <f t="shared" si="4"/>
        <v>0</v>
      </c>
    </row>
    <row r="54" spans="1:10" ht="15.75" thickBot="1" x14ac:dyDescent="0.3">
      <c r="A54" s="121"/>
      <c r="B54" s="103"/>
      <c r="C54" s="103"/>
      <c r="D54" s="118"/>
      <c r="F54" s="118"/>
      <c r="G54" s="118"/>
      <c r="H54" s="118"/>
      <c r="I54" s="118"/>
      <c r="J54" s="119">
        <f t="shared" si="4"/>
        <v>0</v>
      </c>
    </row>
    <row r="55" spans="1:10" ht="15.75" thickBot="1" x14ac:dyDescent="0.3">
      <c r="A55" s="121"/>
      <c r="B55" s="103"/>
      <c r="C55" s="103"/>
      <c r="D55" s="118"/>
      <c r="E55" s="118"/>
      <c r="F55" s="118"/>
      <c r="G55" s="118"/>
      <c r="H55" s="118"/>
      <c r="I55" s="118"/>
      <c r="J55" s="119">
        <f t="shared" si="4"/>
        <v>0</v>
      </c>
    </row>
    <row r="56" spans="1:10" ht="15.75" thickBot="1" x14ac:dyDescent="0.3">
      <c r="A56" s="121"/>
      <c r="B56" s="103"/>
      <c r="C56" s="103"/>
      <c r="D56" s="138"/>
      <c r="E56" s="138"/>
      <c r="F56" s="138"/>
      <c r="G56" s="138"/>
      <c r="H56" s="138"/>
      <c r="I56" s="138"/>
      <c r="J56" s="119">
        <f t="shared" si="4"/>
        <v>0</v>
      </c>
    </row>
    <row r="57" spans="1:10" ht="19.5" thickBot="1" x14ac:dyDescent="0.35">
      <c r="A57" s="105" t="s">
        <v>4</v>
      </c>
      <c r="B57" s="86"/>
      <c r="C57" s="106"/>
      <c r="D57" s="107">
        <f t="shared" ref="D57:J57" si="5">SUM(D43:D56)</f>
        <v>0</v>
      </c>
      <c r="E57" s="107">
        <f t="shared" si="5"/>
        <v>0</v>
      </c>
      <c r="F57" s="107">
        <f t="shared" si="5"/>
        <v>60</v>
      </c>
      <c r="G57" s="107">
        <f t="shared" si="5"/>
        <v>5</v>
      </c>
      <c r="H57" s="107">
        <f t="shared" si="5"/>
        <v>0</v>
      </c>
      <c r="I57" s="107">
        <f t="shared" si="5"/>
        <v>0</v>
      </c>
      <c r="J57" s="107">
        <f t="shared" si="5"/>
        <v>65</v>
      </c>
    </row>
    <row r="58" spans="1:10" ht="15.75" x14ac:dyDescent="0.25">
      <c r="A58" s="139"/>
      <c r="B58" s="139"/>
      <c r="C58" s="140"/>
      <c r="D58" s="141"/>
      <c r="E58" s="141"/>
      <c r="F58" s="141"/>
      <c r="G58" s="141"/>
      <c r="H58" s="141"/>
      <c r="I58" s="141"/>
      <c r="J58" s="141"/>
    </row>
    <row r="59" spans="1:10" ht="16.5" thickBot="1" x14ac:dyDescent="0.3">
      <c r="A59" s="139"/>
      <c r="B59" s="139"/>
      <c r="C59" s="140"/>
      <c r="D59" s="141"/>
      <c r="E59" s="141"/>
      <c r="F59" s="141"/>
      <c r="G59" s="141"/>
      <c r="H59" s="141"/>
      <c r="I59" s="141"/>
      <c r="J59" s="141"/>
    </row>
    <row r="60" spans="1:10" ht="19.5" thickBot="1" x14ac:dyDescent="0.35">
      <c r="A60" s="492" t="s">
        <v>50</v>
      </c>
      <c r="B60" s="493"/>
      <c r="C60" s="142"/>
      <c r="D60" s="143"/>
      <c r="E60" s="143"/>
      <c r="F60" s="143"/>
      <c r="G60" s="143"/>
      <c r="H60" s="143"/>
      <c r="I60" s="143"/>
      <c r="J60" s="108">
        <f>+J22+J57</f>
        <v>745</v>
      </c>
    </row>
    <row r="61" spans="1:10" x14ac:dyDescent="0.25">
      <c r="A61" s="84"/>
      <c r="B61" s="84"/>
      <c r="C61" s="144"/>
      <c r="D61" s="85"/>
      <c r="E61" s="85"/>
      <c r="F61" s="85"/>
      <c r="G61" s="85"/>
      <c r="H61" s="85"/>
      <c r="I61" s="85"/>
      <c r="J61" s="85"/>
    </row>
    <row r="62" spans="1:10" x14ac:dyDescent="0.25">
      <c r="A62" s="84"/>
      <c r="B62" s="84"/>
      <c r="C62" s="144"/>
      <c r="D62" s="85"/>
      <c r="E62" s="85"/>
      <c r="F62" s="85"/>
      <c r="G62" s="85"/>
      <c r="H62" s="85"/>
      <c r="I62" s="85"/>
      <c r="J62" s="85"/>
    </row>
    <row r="63" spans="1:10" ht="16.5" thickBot="1" x14ac:dyDescent="0.3">
      <c r="A63" s="145" t="s">
        <v>51</v>
      </c>
      <c r="B63" s="84"/>
      <c r="C63" s="144"/>
      <c r="D63" s="85"/>
      <c r="E63" s="85"/>
      <c r="F63" s="85"/>
      <c r="G63" s="85"/>
      <c r="H63" s="85"/>
      <c r="I63" s="85"/>
      <c r="J63" s="85"/>
    </row>
    <row r="64" spans="1:10" ht="19.5" thickBot="1" x14ac:dyDescent="0.35">
      <c r="A64" s="146" t="s">
        <v>52</v>
      </c>
      <c r="B64" s="147"/>
      <c r="C64" s="148"/>
      <c r="D64" s="149"/>
      <c r="E64" s="149"/>
      <c r="F64" s="149"/>
      <c r="G64" s="149"/>
      <c r="H64" s="149"/>
      <c r="I64" s="149"/>
      <c r="J64" s="108"/>
    </row>
    <row r="65" spans="1:10" ht="19.5" thickBot="1" x14ac:dyDescent="0.35">
      <c r="A65" s="146" t="s">
        <v>53</v>
      </c>
      <c r="B65" s="147"/>
      <c r="C65" s="150"/>
      <c r="D65" s="149"/>
      <c r="E65" s="149"/>
      <c r="F65" s="149"/>
      <c r="G65" s="149"/>
      <c r="H65" s="149"/>
      <c r="I65" s="149"/>
      <c r="J65" s="108"/>
    </row>
    <row r="66" spans="1:10" ht="18.75" x14ac:dyDescent="0.3">
      <c r="A66" s="151"/>
      <c r="B66" s="151"/>
      <c r="C66" s="152"/>
      <c r="D66" s="153"/>
      <c r="E66" s="153"/>
      <c r="F66" s="153"/>
      <c r="G66" s="153"/>
      <c r="H66" s="153"/>
      <c r="I66" s="153"/>
      <c r="J66" s="111"/>
    </row>
    <row r="67" spans="1:10" ht="18.75" x14ac:dyDescent="0.3">
      <c r="A67" s="151"/>
      <c r="B67" s="151"/>
      <c r="C67" s="152"/>
      <c r="D67" s="153"/>
      <c r="E67" s="153"/>
      <c r="F67" s="153"/>
      <c r="G67" s="153"/>
      <c r="H67" s="153"/>
      <c r="I67" s="153"/>
      <c r="J67" s="111"/>
    </row>
    <row r="68" spans="1:10" ht="16.5" thickBot="1" x14ac:dyDescent="0.3">
      <c r="A68" s="154" t="s">
        <v>54</v>
      </c>
      <c r="B68" s="155"/>
      <c r="C68" s="144"/>
      <c r="D68" s="85"/>
      <c r="E68" s="85"/>
      <c r="F68" s="85"/>
      <c r="G68" s="85"/>
      <c r="H68" s="85"/>
      <c r="I68" s="85"/>
      <c r="J68" s="85"/>
    </row>
    <row r="69" spans="1:10" ht="19.5" thickBot="1" x14ac:dyDescent="0.35">
      <c r="A69" s="156" t="s">
        <v>55</v>
      </c>
      <c r="B69" s="157"/>
      <c r="C69" s="158"/>
      <c r="D69" s="159"/>
      <c r="E69" s="159"/>
      <c r="F69" s="159"/>
      <c r="G69" s="159"/>
      <c r="H69" s="159"/>
      <c r="I69" s="159"/>
      <c r="J69" s="160">
        <v>494.5</v>
      </c>
    </row>
    <row r="70" spans="1:10" x14ac:dyDescent="0.25">
      <c r="A70" s="161"/>
      <c r="B70" s="84"/>
      <c r="C70" s="144"/>
      <c r="D70" s="85"/>
      <c r="E70" s="85"/>
      <c r="F70" s="85"/>
      <c r="G70" s="85"/>
      <c r="H70" s="85"/>
      <c r="I70" s="85"/>
      <c r="J70" s="85"/>
    </row>
    <row r="71" spans="1:10" ht="16.5" thickBot="1" x14ac:dyDescent="0.3">
      <c r="A71" s="154"/>
      <c r="B71" s="155"/>
      <c r="C71" s="144"/>
      <c r="D71" s="85"/>
      <c r="E71" s="85"/>
      <c r="F71" s="85"/>
      <c r="G71" s="85"/>
      <c r="H71" s="85"/>
      <c r="I71" s="85"/>
      <c r="J71" s="85"/>
    </row>
    <row r="72" spans="1:10" ht="19.5" thickBot="1" x14ac:dyDescent="0.35">
      <c r="A72" s="156" t="s">
        <v>56</v>
      </c>
      <c r="B72" s="157"/>
      <c r="C72" s="162"/>
      <c r="D72" s="159"/>
      <c r="E72" s="159"/>
      <c r="F72" s="159"/>
      <c r="G72" s="159"/>
      <c r="H72" s="159"/>
      <c r="I72" s="159"/>
      <c r="J72" s="163"/>
    </row>
    <row r="73" spans="1:10" ht="15.75" thickBot="1" x14ac:dyDescent="0.3">
      <c r="A73" s="161"/>
      <c r="B73" s="84"/>
      <c r="C73" s="144"/>
      <c r="D73" s="85"/>
      <c r="E73" s="85"/>
      <c r="F73" s="85"/>
      <c r="G73" s="85"/>
      <c r="H73" s="85"/>
      <c r="I73" s="85"/>
      <c r="J73" s="85"/>
    </row>
    <row r="74" spans="1:10" ht="21.75" thickBot="1" x14ac:dyDescent="0.4">
      <c r="A74" s="494" t="s">
        <v>57</v>
      </c>
      <c r="B74" s="495"/>
      <c r="C74" s="164"/>
      <c r="D74" s="165"/>
      <c r="E74" s="165"/>
      <c r="F74" s="165"/>
      <c r="G74" s="165"/>
      <c r="H74" s="165"/>
      <c r="I74" s="165"/>
      <c r="J74" s="166">
        <f>SUM(J60:J73)</f>
        <v>1239.5</v>
      </c>
    </row>
    <row r="75" spans="1:10" x14ac:dyDescent="0.25">
      <c r="A75" s="84"/>
      <c r="B75" s="84"/>
      <c r="C75" s="144"/>
      <c r="D75" s="85"/>
      <c r="E75" s="85"/>
      <c r="F75" s="85"/>
      <c r="G75" s="85"/>
      <c r="H75" s="85"/>
      <c r="I75" s="85"/>
      <c r="J75" s="85"/>
    </row>
    <row r="76" spans="1:10" ht="21" x14ac:dyDescent="0.35">
      <c r="A76" s="491" t="s">
        <v>382</v>
      </c>
      <c r="B76" s="491"/>
      <c r="C76" s="491"/>
      <c r="D76" s="491"/>
      <c r="E76" s="491"/>
      <c r="F76" s="491"/>
      <c r="G76" s="491"/>
      <c r="H76" s="491"/>
      <c r="I76" s="491"/>
      <c r="J76" s="491"/>
    </row>
    <row r="77" spans="1:10" ht="21.75" thickBot="1" x14ac:dyDescent="0.4">
      <c r="A77" s="294" t="s">
        <v>10</v>
      </c>
      <c r="B77" s="294"/>
      <c r="C77" s="294"/>
      <c r="D77" s="294"/>
      <c r="E77" s="294"/>
      <c r="F77" s="294"/>
      <c r="G77" s="294"/>
      <c r="H77" s="294"/>
      <c r="I77" s="294"/>
      <c r="J77" s="168"/>
    </row>
    <row r="78" spans="1:10" ht="15.75" thickBot="1" x14ac:dyDescent="0.3">
      <c r="A78" s="169" t="s">
        <v>58</v>
      </c>
      <c r="B78" s="170" t="s">
        <v>59</v>
      </c>
      <c r="C78" s="496" t="s">
        <v>33</v>
      </c>
      <c r="D78" s="497"/>
      <c r="E78" s="497"/>
      <c r="F78" s="497"/>
      <c r="G78" s="497"/>
      <c r="H78" s="497"/>
      <c r="I78" s="498"/>
      <c r="J78" s="171" t="s">
        <v>4</v>
      </c>
    </row>
    <row r="79" spans="1:10" ht="15.75" thickBot="1" x14ac:dyDescent="0.3">
      <c r="A79" s="172" t="s">
        <v>389</v>
      </c>
      <c r="B79" s="173" t="s">
        <v>390</v>
      </c>
      <c r="C79" s="488" t="s">
        <v>391</v>
      </c>
      <c r="D79" s="489"/>
      <c r="E79" s="489"/>
      <c r="F79" s="489"/>
      <c r="G79" s="489"/>
      <c r="H79" s="489"/>
      <c r="I79" s="489"/>
      <c r="J79" s="104">
        <v>10</v>
      </c>
    </row>
    <row r="80" spans="1:10" ht="15.75" thickBot="1" x14ac:dyDescent="0.3">
      <c r="A80" s="121"/>
      <c r="B80" s="173"/>
      <c r="C80" s="488"/>
      <c r="D80" s="489"/>
      <c r="E80" s="489"/>
      <c r="F80" s="489"/>
      <c r="G80" s="489"/>
      <c r="H80" s="490"/>
      <c r="I80" s="490"/>
      <c r="J80" s="104"/>
    </row>
    <row r="81" spans="1:10" ht="15.75" thickBot="1" x14ac:dyDescent="0.3">
      <c r="A81" s="121"/>
      <c r="B81" s="173"/>
      <c r="C81" s="504"/>
      <c r="D81" s="505"/>
      <c r="E81" s="505"/>
      <c r="F81" s="505"/>
      <c r="G81" s="505"/>
      <c r="H81" s="505"/>
      <c r="I81" s="505"/>
      <c r="J81" s="174"/>
    </row>
    <row r="82" spans="1:10" ht="15.75" thickBot="1" x14ac:dyDescent="0.3">
      <c r="A82" s="121"/>
      <c r="B82" s="173"/>
      <c r="C82" s="488"/>
      <c r="D82" s="489"/>
      <c r="E82" s="489"/>
      <c r="F82" s="489"/>
      <c r="G82" s="489"/>
      <c r="H82" s="490"/>
      <c r="I82" s="490"/>
      <c r="J82" s="104"/>
    </row>
    <row r="83" spans="1:10" ht="15.75" thickBot="1" x14ac:dyDescent="0.3">
      <c r="A83" s="121"/>
      <c r="B83" s="173"/>
      <c r="C83" s="488"/>
      <c r="D83" s="489"/>
      <c r="E83" s="489"/>
      <c r="F83" s="489"/>
      <c r="G83" s="489"/>
      <c r="H83" s="490"/>
      <c r="I83" s="490"/>
      <c r="J83" s="104"/>
    </row>
    <row r="84" spans="1:10" ht="15.75" thickBot="1" x14ac:dyDescent="0.3">
      <c r="A84" s="121"/>
      <c r="B84" s="173"/>
      <c r="C84" s="488"/>
      <c r="D84" s="489"/>
      <c r="E84" s="489"/>
      <c r="F84" s="489"/>
      <c r="G84" s="489"/>
      <c r="H84" s="490"/>
      <c r="I84" s="490"/>
      <c r="J84" s="104"/>
    </row>
    <row r="85" spans="1:10" ht="15.75" thickBot="1" x14ac:dyDescent="0.3">
      <c r="A85" s="121"/>
      <c r="B85" s="173"/>
      <c r="C85" s="488"/>
      <c r="D85" s="489"/>
      <c r="E85" s="489"/>
      <c r="F85" s="489"/>
      <c r="G85" s="489"/>
      <c r="H85" s="490"/>
      <c r="I85" s="490"/>
      <c r="J85" s="104"/>
    </row>
    <row r="86" spans="1:10" ht="15.75" thickBot="1" x14ac:dyDescent="0.3">
      <c r="A86" s="121"/>
      <c r="B86" s="173"/>
      <c r="C86" s="488"/>
      <c r="D86" s="489"/>
      <c r="E86" s="489"/>
      <c r="F86" s="489"/>
      <c r="G86" s="489"/>
      <c r="H86" s="490"/>
      <c r="I86" s="490"/>
      <c r="J86" s="118"/>
    </row>
    <row r="87" spans="1:10" ht="15.75" thickBot="1" x14ac:dyDescent="0.3">
      <c r="A87" s="121"/>
      <c r="B87" s="173"/>
      <c r="C87" s="488"/>
      <c r="D87" s="489"/>
      <c r="E87" s="489"/>
      <c r="F87" s="489"/>
      <c r="G87" s="489"/>
      <c r="H87" s="490"/>
      <c r="I87" s="490"/>
      <c r="J87" s="118"/>
    </row>
    <row r="88" spans="1:10" ht="15.75" thickBot="1" x14ac:dyDescent="0.3">
      <c r="A88" s="121"/>
      <c r="B88" s="173"/>
      <c r="C88" s="488"/>
      <c r="D88" s="489"/>
      <c r="E88" s="489"/>
      <c r="F88" s="489"/>
      <c r="G88" s="489"/>
      <c r="H88" s="490"/>
      <c r="I88" s="490"/>
      <c r="J88" s="118"/>
    </row>
    <row r="89" spans="1:10" ht="19.5" thickBot="1" x14ac:dyDescent="0.35">
      <c r="A89" s="175" t="s">
        <v>60</v>
      </c>
      <c r="B89" s="492"/>
      <c r="C89" s="499"/>
      <c r="D89" s="499"/>
      <c r="E89" s="499"/>
      <c r="F89" s="499"/>
      <c r="G89" s="499"/>
      <c r="H89" s="499"/>
      <c r="I89" s="499"/>
      <c r="J89" s="176">
        <f>SUM(J79:J88)</f>
        <v>10</v>
      </c>
    </row>
    <row r="90" spans="1:10" ht="18.75" x14ac:dyDescent="0.3">
      <c r="A90" s="2"/>
      <c r="B90" s="2"/>
      <c r="C90" s="177"/>
      <c r="D90" s="177"/>
      <c r="E90" s="177"/>
      <c r="F90" s="178"/>
      <c r="G90" s="177"/>
      <c r="H90" s="177"/>
      <c r="I90" s="177"/>
      <c r="J90" s="111"/>
    </row>
    <row r="91" spans="1:10" ht="18.75" x14ac:dyDescent="0.3">
      <c r="A91" s="2"/>
      <c r="B91" s="2"/>
      <c r="C91" s="177"/>
      <c r="D91" s="177"/>
      <c r="E91" s="177"/>
      <c r="F91" s="178"/>
      <c r="G91" s="177"/>
      <c r="H91" s="177"/>
      <c r="I91" s="177"/>
      <c r="J91" s="111"/>
    </row>
    <row r="92" spans="1:10" ht="18.75" x14ac:dyDescent="0.3">
      <c r="A92" s="139" t="s">
        <v>61</v>
      </c>
      <c r="B92" s="2"/>
      <c r="C92" s="84"/>
      <c r="D92" s="85"/>
      <c r="F92" s="85"/>
      <c r="J92" s="85"/>
    </row>
    <row r="93" spans="1:10" x14ac:dyDescent="0.25">
      <c r="A93" s="84" t="s">
        <v>62</v>
      </c>
      <c r="B93" s="144">
        <f>+J74</f>
        <v>1239.5</v>
      </c>
      <c r="C93" s="179"/>
      <c r="D93" s="85"/>
      <c r="F93" s="85"/>
      <c r="J93" s="85"/>
    </row>
    <row r="94" spans="1:10" ht="15.75" thickBot="1" x14ac:dyDescent="0.3">
      <c r="A94" s="84" t="s">
        <v>60</v>
      </c>
      <c r="B94" s="180">
        <f>+J89</f>
        <v>10</v>
      </c>
      <c r="C94" s="181"/>
      <c r="D94" s="85"/>
      <c r="F94" s="85"/>
      <c r="G94" s="182"/>
      <c r="H94" s="182"/>
      <c r="I94" s="183"/>
      <c r="J94" s="183"/>
    </row>
    <row r="95" spans="1:10" ht="17.25" thickTop="1" thickBot="1" x14ac:dyDescent="0.3">
      <c r="A95" s="139" t="s">
        <v>8</v>
      </c>
      <c r="B95" s="184">
        <f>++B93-B94</f>
        <v>1229.5</v>
      </c>
      <c r="C95" s="185"/>
      <c r="D95" s="186"/>
      <c r="E95" s="41"/>
      <c r="F95" s="186"/>
      <c r="G95" s="187"/>
      <c r="H95" s="187"/>
      <c r="I95" s="85"/>
    </row>
    <row r="96" spans="1:10" ht="15.75" thickBot="1" x14ac:dyDescent="0.3"/>
  </sheetData>
  <mergeCells count="18">
    <mergeCell ref="A1:J1"/>
    <mergeCell ref="A60:B60"/>
    <mergeCell ref="A74:B74"/>
    <mergeCell ref="A76:J76"/>
    <mergeCell ref="C78:I78"/>
    <mergeCell ref="B89:I89"/>
    <mergeCell ref="B6:B9"/>
    <mergeCell ref="A6:A9"/>
    <mergeCell ref="C86:I86"/>
    <mergeCell ref="C87:I87"/>
    <mergeCell ref="C88:I88"/>
    <mergeCell ref="C80:I80"/>
    <mergeCell ref="C81:I81"/>
    <mergeCell ref="C82:I82"/>
    <mergeCell ref="C83:I83"/>
    <mergeCell ref="C84:I84"/>
    <mergeCell ref="C85:I85"/>
    <mergeCell ref="C79:I79"/>
  </mergeCells>
  <pageMargins left="0.17" right="0.17" top="1.71" bottom="0.17" header="0.17" footer="0.17"/>
  <pageSetup paperSize="9" scale="28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1BBC-3745-413C-BDC2-655ECBCADD23}">
  <sheetPr>
    <pageSetUpPr fitToPage="1"/>
  </sheetPr>
  <dimension ref="A1:M131"/>
  <sheetViews>
    <sheetView topLeftCell="A112" workbookViewId="0">
      <selection activeCell="F51" sqref="F51"/>
    </sheetView>
  </sheetViews>
  <sheetFormatPr baseColWidth="10" defaultRowHeight="15" x14ac:dyDescent="0.25"/>
  <cols>
    <col min="1" max="1" width="34.7109375" bestFit="1" customWidth="1"/>
    <col min="2" max="2" width="15.42578125" bestFit="1" customWidth="1"/>
    <col min="6" max="6" width="13" bestFit="1" customWidth="1"/>
    <col min="7" max="7" width="17.42578125" customWidth="1"/>
    <col min="9" max="9" width="15" bestFit="1" customWidth="1"/>
    <col min="10" max="10" width="15.42578125" customWidth="1"/>
  </cols>
  <sheetData>
    <row r="1" spans="1:10" ht="21" x14ac:dyDescent="0.35">
      <c r="A1" s="491" t="s">
        <v>393</v>
      </c>
      <c r="B1" s="491"/>
      <c r="C1" s="491"/>
      <c r="D1" s="491"/>
      <c r="E1" s="491"/>
      <c r="F1" s="491"/>
      <c r="G1" s="491"/>
      <c r="H1" s="491"/>
      <c r="I1" s="491"/>
      <c r="J1" s="491"/>
    </row>
    <row r="2" spans="1:10" ht="15.75" thickBot="1" x14ac:dyDescent="0.3">
      <c r="A2" s="83"/>
      <c r="B2" s="84"/>
      <c r="C2" s="84"/>
      <c r="J2" s="85"/>
    </row>
    <row r="3" spans="1:10" ht="30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230</v>
      </c>
      <c r="H3" s="86" t="s">
        <v>38</v>
      </c>
      <c r="I3" s="86" t="s">
        <v>39</v>
      </c>
      <c r="J3" s="87" t="s">
        <v>4</v>
      </c>
    </row>
    <row r="4" spans="1:10" ht="15.75" thickBot="1" x14ac:dyDescent="0.3">
      <c r="A4" s="88" t="s">
        <v>78</v>
      </c>
      <c r="B4" s="88" t="s">
        <v>404</v>
      </c>
      <c r="C4" s="222">
        <v>46113</v>
      </c>
      <c r="D4" s="90"/>
      <c r="E4" s="90"/>
      <c r="F4" s="90"/>
      <c r="G4" s="90"/>
      <c r="H4" s="90"/>
      <c r="I4" s="90">
        <v>10</v>
      </c>
      <c r="J4" s="87">
        <f>SUM(D4:I4)</f>
        <v>10</v>
      </c>
    </row>
    <row r="5" spans="1:10" ht="15.75" thickBot="1" x14ac:dyDescent="0.3">
      <c r="A5" s="88"/>
      <c r="B5" s="88"/>
      <c r="C5" s="89"/>
      <c r="D5" s="90"/>
      <c r="E5" s="90"/>
      <c r="F5" s="90"/>
      <c r="G5" s="90"/>
      <c r="H5" s="90"/>
      <c r="I5" s="90"/>
      <c r="J5" s="87">
        <f t="shared" ref="J5:J8" si="0">SUM(D5:I5)</f>
        <v>0</v>
      </c>
    </row>
    <row r="6" spans="1:10" ht="15.75" thickBot="1" x14ac:dyDescent="0.3">
      <c r="A6" s="310" t="s">
        <v>448</v>
      </c>
      <c r="B6" s="88" t="s">
        <v>449</v>
      </c>
      <c r="C6" s="103">
        <v>46082</v>
      </c>
      <c r="D6" s="90"/>
      <c r="E6" s="90"/>
      <c r="F6" s="90">
        <v>100</v>
      </c>
      <c r="G6" s="90"/>
      <c r="H6" s="90"/>
      <c r="I6" s="90"/>
      <c r="J6" s="87">
        <f t="shared" si="0"/>
        <v>100</v>
      </c>
    </row>
    <row r="7" spans="1:10" ht="30.75" thickBot="1" x14ac:dyDescent="0.3">
      <c r="A7" s="308" t="s">
        <v>401</v>
      </c>
      <c r="B7" s="88" t="s">
        <v>402</v>
      </c>
      <c r="C7" s="103">
        <v>46082</v>
      </c>
      <c r="D7" s="90"/>
      <c r="E7" s="90"/>
      <c r="F7" s="90">
        <v>550</v>
      </c>
      <c r="G7" s="90"/>
      <c r="H7" s="90"/>
      <c r="I7" s="90"/>
      <c r="J7" s="87">
        <f t="shared" si="0"/>
        <v>550</v>
      </c>
    </row>
    <row r="8" spans="1:10" ht="15.75" thickBot="1" x14ac:dyDescent="0.3">
      <c r="A8" s="308" t="s">
        <v>405</v>
      </c>
      <c r="B8" s="88" t="s">
        <v>408</v>
      </c>
      <c r="C8" s="222">
        <v>46113</v>
      </c>
      <c r="D8" s="90"/>
      <c r="E8" s="90"/>
      <c r="F8" s="90">
        <v>650</v>
      </c>
      <c r="G8" s="90"/>
      <c r="H8" s="90"/>
      <c r="I8" s="90"/>
      <c r="J8" s="87">
        <f t="shared" si="0"/>
        <v>650</v>
      </c>
    </row>
    <row r="9" spans="1:10" ht="15.75" thickBot="1" x14ac:dyDescent="0.3">
      <c r="A9" s="308" t="s">
        <v>406</v>
      </c>
      <c r="B9" s="88" t="s">
        <v>407</v>
      </c>
      <c r="C9" s="103">
        <v>46082</v>
      </c>
      <c r="D9" s="90"/>
      <c r="E9" s="90"/>
      <c r="F9" s="90">
        <v>600</v>
      </c>
      <c r="G9" s="90"/>
      <c r="H9" s="90"/>
      <c r="I9" s="90"/>
      <c r="J9" s="87">
        <f t="shared" ref="J9:J17" si="1">SUM(D9:I9)</f>
        <v>600</v>
      </c>
    </row>
    <row r="10" spans="1:10" ht="15.75" thickBot="1" x14ac:dyDescent="0.3">
      <c r="A10" s="308" t="s">
        <v>409</v>
      </c>
      <c r="B10" s="88" t="s">
        <v>410</v>
      </c>
      <c r="C10" s="103">
        <v>46023</v>
      </c>
      <c r="D10" s="90"/>
      <c r="E10" s="90"/>
      <c r="F10" s="90">
        <v>400</v>
      </c>
      <c r="G10" s="90"/>
      <c r="H10" s="90"/>
      <c r="I10" s="90"/>
      <c r="J10" s="87">
        <f t="shared" si="1"/>
        <v>400</v>
      </c>
    </row>
    <row r="11" spans="1:10" ht="15.75" thickBot="1" x14ac:dyDescent="0.3">
      <c r="A11" s="308" t="s">
        <v>411</v>
      </c>
      <c r="B11" s="88" t="s">
        <v>412</v>
      </c>
      <c r="C11" s="103">
        <v>46054</v>
      </c>
      <c r="D11" s="90"/>
      <c r="E11" s="90"/>
      <c r="F11" s="90">
        <v>200</v>
      </c>
      <c r="G11" s="90"/>
      <c r="H11" s="90"/>
      <c r="I11" s="90"/>
      <c r="J11" s="87">
        <f t="shared" si="1"/>
        <v>200</v>
      </c>
    </row>
    <row r="12" spans="1:10" ht="15.75" thickBot="1" x14ac:dyDescent="0.3">
      <c r="A12" s="516" t="s">
        <v>418</v>
      </c>
      <c r="B12" s="500" t="s">
        <v>419</v>
      </c>
      <c r="C12" s="89">
        <v>45870</v>
      </c>
      <c r="D12" s="90"/>
      <c r="E12" s="90"/>
      <c r="F12" s="90">
        <v>150</v>
      </c>
      <c r="G12" s="90"/>
      <c r="H12" s="90"/>
      <c r="I12" s="90"/>
      <c r="J12" s="87">
        <f t="shared" si="1"/>
        <v>150</v>
      </c>
    </row>
    <row r="13" spans="1:10" ht="15.75" thickBot="1" x14ac:dyDescent="0.3">
      <c r="A13" s="517"/>
      <c r="B13" s="501"/>
      <c r="C13" s="89">
        <v>45901</v>
      </c>
      <c r="D13" s="90"/>
      <c r="E13" s="90"/>
      <c r="F13" s="90">
        <v>150</v>
      </c>
      <c r="G13" s="90"/>
      <c r="H13" s="90"/>
      <c r="I13" s="90"/>
      <c r="J13" s="87">
        <f t="shared" si="1"/>
        <v>150</v>
      </c>
    </row>
    <row r="14" spans="1:10" ht="15.75" thickBot="1" x14ac:dyDescent="0.3">
      <c r="A14" s="302" t="s">
        <v>420</v>
      </c>
      <c r="B14" s="88" t="s">
        <v>421</v>
      </c>
      <c r="C14" s="103">
        <v>46082</v>
      </c>
      <c r="D14" s="90"/>
      <c r="E14" s="90"/>
      <c r="F14" s="90">
        <v>100</v>
      </c>
      <c r="G14" s="90"/>
      <c r="H14" s="90"/>
      <c r="I14" s="90"/>
      <c r="J14" s="87">
        <f t="shared" si="1"/>
        <v>100</v>
      </c>
    </row>
    <row r="15" spans="1:10" ht="15.75" thickBot="1" x14ac:dyDescent="0.3">
      <c r="A15" s="302" t="s">
        <v>220</v>
      </c>
      <c r="B15" s="300" t="s">
        <v>425</v>
      </c>
      <c r="C15" s="103">
        <v>46082</v>
      </c>
      <c r="D15" s="90"/>
      <c r="E15" s="90"/>
      <c r="F15" s="90">
        <v>188</v>
      </c>
      <c r="G15" s="90"/>
      <c r="H15" s="90"/>
      <c r="I15" s="93"/>
      <c r="J15" s="87">
        <f t="shared" si="1"/>
        <v>188</v>
      </c>
    </row>
    <row r="16" spans="1:10" ht="15.75" thickBot="1" x14ac:dyDescent="0.3">
      <c r="A16" s="302" t="s">
        <v>213</v>
      </c>
      <c r="B16" s="300" t="s">
        <v>426</v>
      </c>
      <c r="C16" s="103">
        <v>46054</v>
      </c>
      <c r="D16" s="90"/>
      <c r="E16" s="90"/>
      <c r="F16" s="90">
        <v>191.6</v>
      </c>
      <c r="G16" s="90"/>
      <c r="H16" s="90"/>
      <c r="I16" s="90"/>
      <c r="J16" s="87">
        <f t="shared" si="1"/>
        <v>191.6</v>
      </c>
    </row>
    <row r="17" spans="1:10" ht="30.75" thickBot="1" x14ac:dyDescent="0.3">
      <c r="A17" s="307" t="s">
        <v>427</v>
      </c>
      <c r="B17" s="300" t="s">
        <v>428</v>
      </c>
      <c r="C17" s="103">
        <v>46054</v>
      </c>
      <c r="D17" s="90"/>
      <c r="E17" s="90"/>
      <c r="F17" s="90">
        <v>100</v>
      </c>
      <c r="G17" s="90"/>
      <c r="H17" s="90"/>
      <c r="I17" s="90"/>
      <c r="J17" s="87">
        <f t="shared" si="1"/>
        <v>100</v>
      </c>
    </row>
    <row r="18" spans="1:10" ht="15.75" thickBot="1" x14ac:dyDescent="0.3">
      <c r="A18" s="307" t="s">
        <v>82</v>
      </c>
      <c r="B18" s="300" t="s">
        <v>429</v>
      </c>
      <c r="C18" s="103">
        <v>46054</v>
      </c>
      <c r="D18" s="90"/>
      <c r="E18" s="90"/>
      <c r="F18" s="90">
        <v>100</v>
      </c>
      <c r="G18" s="90"/>
      <c r="H18" s="90"/>
      <c r="I18" s="90"/>
      <c r="J18" s="87">
        <f t="shared" ref="J18:J42" si="2">SUM(D18:I18)</f>
        <v>100</v>
      </c>
    </row>
    <row r="19" spans="1:10" ht="30.75" customHeight="1" thickBot="1" x14ac:dyDescent="0.3">
      <c r="A19" s="507" t="s">
        <v>431</v>
      </c>
      <c r="B19" s="500" t="s">
        <v>432</v>
      </c>
      <c r="C19" s="103">
        <v>45992</v>
      </c>
      <c r="D19" s="90"/>
      <c r="E19" s="90"/>
      <c r="F19" s="90">
        <v>109</v>
      </c>
      <c r="G19" s="90"/>
      <c r="H19" s="90"/>
      <c r="I19" s="90"/>
      <c r="J19" s="87">
        <f t="shared" si="2"/>
        <v>109</v>
      </c>
    </row>
    <row r="20" spans="1:10" ht="15.75" thickBot="1" x14ac:dyDescent="0.3">
      <c r="A20" s="509"/>
      <c r="B20" s="501"/>
      <c r="C20" s="89">
        <v>46023</v>
      </c>
      <c r="D20" s="90"/>
      <c r="E20" s="90"/>
      <c r="F20" s="90">
        <v>311.60000000000002</v>
      </c>
      <c r="G20" s="90"/>
      <c r="H20" s="90"/>
      <c r="I20" s="93"/>
      <c r="J20" s="87">
        <f t="shared" si="2"/>
        <v>311.60000000000002</v>
      </c>
    </row>
    <row r="21" spans="1:10" ht="15.75" thickBot="1" x14ac:dyDescent="0.3">
      <c r="A21" s="502" t="s">
        <v>137</v>
      </c>
      <c r="B21" s="500" t="s">
        <v>435</v>
      </c>
      <c r="C21" s="89">
        <v>46023</v>
      </c>
      <c r="D21" s="90"/>
      <c r="E21" s="90"/>
      <c r="F21" s="90">
        <v>300</v>
      </c>
      <c r="G21" s="90"/>
      <c r="H21" s="90"/>
      <c r="I21" s="90"/>
      <c r="J21" s="87">
        <f t="shared" si="2"/>
        <v>300</v>
      </c>
    </row>
    <row r="22" spans="1:10" ht="15.75" thickBot="1" x14ac:dyDescent="0.3">
      <c r="A22" s="524"/>
      <c r="B22" s="506"/>
      <c r="C22" s="103">
        <v>46054</v>
      </c>
      <c r="D22" s="90"/>
      <c r="E22" s="90"/>
      <c r="F22" s="90">
        <v>500</v>
      </c>
      <c r="G22" s="90"/>
      <c r="H22" s="90"/>
      <c r="I22" s="90"/>
      <c r="J22" s="87">
        <f t="shared" si="2"/>
        <v>500</v>
      </c>
    </row>
    <row r="23" spans="1:10" ht="15.75" thickBot="1" x14ac:dyDescent="0.3">
      <c r="A23" s="503"/>
      <c r="B23" s="501"/>
      <c r="C23" s="103">
        <v>46082</v>
      </c>
      <c r="D23" s="90"/>
      <c r="E23" s="90"/>
      <c r="F23" s="90">
        <v>500</v>
      </c>
      <c r="G23" s="90"/>
      <c r="H23" s="90"/>
      <c r="I23" s="90"/>
      <c r="J23" s="87">
        <f t="shared" si="2"/>
        <v>500</v>
      </c>
    </row>
    <row r="24" spans="1:10" ht="15.75" thickBot="1" x14ac:dyDescent="0.3">
      <c r="A24" s="303" t="s">
        <v>38</v>
      </c>
      <c r="B24" s="301" t="s">
        <v>453</v>
      </c>
      <c r="C24" s="222">
        <v>46113</v>
      </c>
      <c r="D24" s="90"/>
      <c r="E24" s="90"/>
      <c r="F24" s="90"/>
      <c r="G24" s="90"/>
      <c r="H24" s="90">
        <v>74.5</v>
      </c>
      <c r="I24" s="90"/>
      <c r="J24" s="87">
        <f t="shared" si="2"/>
        <v>74.5</v>
      </c>
    </row>
    <row r="25" spans="1:10" ht="15.75" thickBot="1" x14ac:dyDescent="0.3">
      <c r="A25" s="303"/>
      <c r="B25" s="301"/>
      <c r="C25" s="89"/>
      <c r="D25" s="90"/>
      <c r="E25" s="90"/>
      <c r="F25" s="90"/>
      <c r="G25" s="90"/>
      <c r="H25" s="90"/>
      <c r="I25" s="90"/>
      <c r="J25" s="87">
        <f t="shared" si="2"/>
        <v>0</v>
      </c>
    </row>
    <row r="26" spans="1:10" ht="15.75" thickBot="1" x14ac:dyDescent="0.3">
      <c r="A26" s="258" t="s">
        <v>191</v>
      </c>
      <c r="B26" s="309" t="s">
        <v>399</v>
      </c>
      <c r="C26" s="103">
        <v>46054</v>
      </c>
      <c r="D26" s="90">
        <v>20</v>
      </c>
      <c r="E26" s="90"/>
      <c r="F26" s="90"/>
      <c r="G26" s="90"/>
      <c r="H26" s="90"/>
      <c r="I26" s="90"/>
      <c r="J26" s="87">
        <f t="shared" si="2"/>
        <v>20</v>
      </c>
    </row>
    <row r="27" spans="1:10" ht="30.75" thickBot="1" x14ac:dyDescent="0.3">
      <c r="A27" s="308" t="s">
        <v>401</v>
      </c>
      <c r="B27" s="304" t="s">
        <v>403</v>
      </c>
      <c r="C27" s="103">
        <v>46082</v>
      </c>
      <c r="D27" s="90">
        <v>36</v>
      </c>
      <c r="E27" s="90">
        <v>15</v>
      </c>
      <c r="F27" s="90"/>
      <c r="G27" s="90"/>
      <c r="H27" s="90"/>
      <c r="I27" s="90"/>
      <c r="J27" s="87">
        <f t="shared" si="2"/>
        <v>51</v>
      </c>
    </row>
    <row r="28" spans="1:10" ht="15.75" thickBot="1" x14ac:dyDescent="0.3">
      <c r="A28" s="308" t="s">
        <v>405</v>
      </c>
      <c r="B28" s="304" t="s">
        <v>413</v>
      </c>
      <c r="C28" s="103">
        <v>46054</v>
      </c>
      <c r="D28" s="90">
        <v>21.4</v>
      </c>
      <c r="E28" s="90">
        <v>6</v>
      </c>
      <c r="F28" s="90"/>
      <c r="G28" s="90"/>
      <c r="H28" s="90"/>
      <c r="I28" s="90"/>
      <c r="J28" s="87">
        <f t="shared" si="2"/>
        <v>27.4</v>
      </c>
    </row>
    <row r="29" spans="1:10" ht="15.75" thickBot="1" x14ac:dyDescent="0.3">
      <c r="A29" s="308" t="s">
        <v>414</v>
      </c>
      <c r="B29" s="304" t="s">
        <v>415</v>
      </c>
      <c r="C29" s="103">
        <v>46054</v>
      </c>
      <c r="D29" s="90">
        <v>44</v>
      </c>
      <c r="E29" s="90">
        <v>6</v>
      </c>
      <c r="F29" s="90"/>
      <c r="G29" s="90"/>
      <c r="H29" s="90"/>
      <c r="I29" s="90"/>
      <c r="J29" s="87">
        <f t="shared" si="2"/>
        <v>50</v>
      </c>
    </row>
    <row r="30" spans="1:10" ht="15.75" thickBot="1" x14ac:dyDescent="0.3">
      <c r="A30" s="516" t="s">
        <v>416</v>
      </c>
      <c r="B30" s="485" t="s">
        <v>417</v>
      </c>
      <c r="C30" s="89">
        <v>46023</v>
      </c>
      <c r="D30" s="90">
        <v>15</v>
      </c>
      <c r="E30" s="90">
        <v>3</v>
      </c>
      <c r="F30" s="90"/>
      <c r="G30" s="90">
        <v>28.3</v>
      </c>
      <c r="H30" s="90"/>
      <c r="I30" s="90"/>
      <c r="J30" s="87">
        <f t="shared" si="2"/>
        <v>46.3</v>
      </c>
    </row>
    <row r="31" spans="1:10" ht="15.75" thickBot="1" x14ac:dyDescent="0.3">
      <c r="A31" s="517"/>
      <c r="B31" s="487"/>
      <c r="C31" s="89">
        <v>46054</v>
      </c>
      <c r="D31" s="90">
        <v>14.4</v>
      </c>
      <c r="E31" s="90">
        <v>6</v>
      </c>
      <c r="F31" s="90"/>
      <c r="G31" s="90"/>
      <c r="H31" s="90"/>
      <c r="I31" s="90"/>
      <c r="J31" s="87">
        <f t="shared" si="2"/>
        <v>20.399999999999999</v>
      </c>
    </row>
    <row r="32" spans="1:10" ht="15.75" thickBot="1" x14ac:dyDescent="0.3">
      <c r="A32" s="502" t="s">
        <v>420</v>
      </c>
      <c r="B32" s="485" t="s">
        <v>422</v>
      </c>
      <c r="C32" s="89">
        <v>46023</v>
      </c>
      <c r="D32" s="90"/>
      <c r="E32" s="90"/>
      <c r="F32" s="90"/>
      <c r="G32" s="90">
        <v>28.3</v>
      </c>
      <c r="H32" s="90"/>
      <c r="I32" s="90"/>
      <c r="J32" s="87">
        <f t="shared" si="2"/>
        <v>28.3</v>
      </c>
    </row>
    <row r="33" spans="1:10" ht="15.75" thickBot="1" x14ac:dyDescent="0.3">
      <c r="A33" s="503"/>
      <c r="B33" s="487"/>
      <c r="C33" s="89">
        <v>46054</v>
      </c>
      <c r="D33" s="90">
        <v>16</v>
      </c>
      <c r="E33" s="90">
        <v>11</v>
      </c>
      <c r="F33" s="90"/>
      <c r="G33" s="90"/>
      <c r="H33" s="90"/>
      <c r="I33" s="90"/>
      <c r="J33" s="87">
        <f t="shared" si="2"/>
        <v>27</v>
      </c>
    </row>
    <row r="34" spans="1:10" ht="15.75" thickBot="1" x14ac:dyDescent="0.3">
      <c r="A34" s="502" t="s">
        <v>213</v>
      </c>
      <c r="B34" s="485" t="s">
        <v>430</v>
      </c>
      <c r="C34" s="89">
        <v>46023</v>
      </c>
      <c r="D34" s="90">
        <v>36.200000000000003</v>
      </c>
      <c r="E34" s="90">
        <v>3</v>
      </c>
      <c r="F34" s="90"/>
      <c r="G34" s="90">
        <v>28.3</v>
      </c>
      <c r="H34" s="90"/>
      <c r="I34" s="90"/>
      <c r="J34" s="87">
        <f t="shared" si="2"/>
        <v>67.5</v>
      </c>
    </row>
    <row r="35" spans="1:10" ht="15.75" thickBot="1" x14ac:dyDescent="0.3">
      <c r="A35" s="503"/>
      <c r="B35" s="487"/>
      <c r="C35" s="89">
        <v>46054</v>
      </c>
      <c r="D35" s="90">
        <v>34.9</v>
      </c>
      <c r="E35" s="90">
        <v>6</v>
      </c>
      <c r="F35" s="90"/>
      <c r="G35" s="90"/>
      <c r="H35" s="90"/>
      <c r="I35" s="90"/>
      <c r="J35" s="87">
        <f t="shared" si="2"/>
        <v>40.9</v>
      </c>
    </row>
    <row r="36" spans="1:10" ht="15.75" thickBot="1" x14ac:dyDescent="0.3">
      <c r="A36" s="307" t="s">
        <v>431</v>
      </c>
      <c r="B36" s="305" t="s">
        <v>433</v>
      </c>
      <c r="C36" s="89">
        <v>46023</v>
      </c>
      <c r="D36" s="90">
        <v>20</v>
      </c>
      <c r="E36" s="90">
        <v>59.4</v>
      </c>
      <c r="F36" s="90"/>
      <c r="G36" s="90"/>
      <c r="H36" s="90"/>
      <c r="I36" s="90"/>
      <c r="J36" s="87">
        <f t="shared" si="2"/>
        <v>79.400000000000006</v>
      </c>
    </row>
    <row r="37" spans="1:10" ht="15.75" thickBot="1" x14ac:dyDescent="0.3">
      <c r="A37" s="502" t="s">
        <v>137</v>
      </c>
      <c r="B37" s="485" t="s">
        <v>436</v>
      </c>
      <c r="C37" s="89">
        <v>45992</v>
      </c>
      <c r="D37" s="90">
        <v>10</v>
      </c>
      <c r="E37" s="90">
        <v>5</v>
      </c>
      <c r="F37" s="90"/>
      <c r="G37" s="90"/>
      <c r="H37" s="90"/>
      <c r="I37" s="90"/>
      <c r="J37" s="87">
        <f t="shared" si="2"/>
        <v>15</v>
      </c>
    </row>
    <row r="38" spans="1:10" ht="15" customHeight="1" thickBot="1" x14ac:dyDescent="0.3">
      <c r="A38" s="524"/>
      <c r="B38" s="486"/>
      <c r="C38" s="89">
        <v>46023</v>
      </c>
      <c r="D38" s="90">
        <v>15</v>
      </c>
      <c r="E38" s="90">
        <v>3</v>
      </c>
      <c r="F38" s="90"/>
      <c r="G38" s="90"/>
      <c r="H38" s="90"/>
      <c r="I38" s="90"/>
      <c r="J38" s="87">
        <f t="shared" si="2"/>
        <v>18</v>
      </c>
    </row>
    <row r="39" spans="1:10" ht="15.75" thickBot="1" x14ac:dyDescent="0.3">
      <c r="A39" s="524"/>
      <c r="B39" s="487"/>
      <c r="C39" s="103">
        <v>46054</v>
      </c>
      <c r="D39" s="90">
        <v>14.4</v>
      </c>
      <c r="E39" s="90">
        <v>6</v>
      </c>
      <c r="F39" s="90"/>
      <c r="G39" s="90"/>
      <c r="H39" s="90"/>
      <c r="I39" s="90"/>
      <c r="J39" s="87">
        <f t="shared" si="2"/>
        <v>20.399999999999999</v>
      </c>
    </row>
    <row r="40" spans="1:10" ht="15.75" thickBot="1" x14ac:dyDescent="0.3">
      <c r="A40" s="133"/>
      <c r="B40" s="324"/>
      <c r="C40" s="103"/>
      <c r="D40" s="90"/>
      <c r="E40" s="90"/>
      <c r="F40" s="90"/>
      <c r="G40" s="90"/>
      <c r="H40" s="90"/>
      <c r="I40" s="90"/>
      <c r="J40" s="87">
        <f t="shared" si="2"/>
        <v>0</v>
      </c>
    </row>
    <row r="41" spans="1:10" ht="15.75" thickBot="1" x14ac:dyDescent="0.3">
      <c r="A41" s="311"/>
      <c r="B41" s="311"/>
      <c r="C41" s="89"/>
      <c r="D41" s="90"/>
      <c r="E41" s="90"/>
      <c r="F41" s="90"/>
      <c r="G41" s="90"/>
      <c r="H41" s="90"/>
      <c r="I41" s="90"/>
      <c r="J41" s="87">
        <f t="shared" si="2"/>
        <v>0</v>
      </c>
    </row>
    <row r="42" spans="1:10" ht="15.75" thickBot="1" x14ac:dyDescent="0.3">
      <c r="A42" s="304"/>
      <c r="B42" s="309"/>
      <c r="C42" s="103"/>
      <c r="D42" s="104"/>
      <c r="E42" s="104"/>
      <c r="F42" s="104"/>
      <c r="G42" s="104"/>
      <c r="H42" s="104"/>
      <c r="I42" s="104"/>
      <c r="J42" s="87">
        <f t="shared" si="2"/>
        <v>0</v>
      </c>
    </row>
    <row r="43" spans="1:10" ht="19.5" thickBot="1" x14ac:dyDescent="0.35">
      <c r="A43" s="105" t="s">
        <v>4</v>
      </c>
      <c r="B43" s="86"/>
      <c r="C43" s="106"/>
      <c r="D43" s="107">
        <f t="shared" ref="D43:J43" si="3">SUM(D4:D42)</f>
        <v>297.29999999999995</v>
      </c>
      <c r="E43" s="107">
        <f t="shared" si="3"/>
        <v>129.4</v>
      </c>
      <c r="F43" s="107">
        <f t="shared" si="3"/>
        <v>5200.2</v>
      </c>
      <c r="G43" s="107">
        <f t="shared" si="3"/>
        <v>84.9</v>
      </c>
      <c r="H43" s="107">
        <f t="shared" si="3"/>
        <v>74.5</v>
      </c>
      <c r="I43" s="107">
        <f t="shared" si="3"/>
        <v>10</v>
      </c>
      <c r="J43" s="108">
        <f t="shared" si="3"/>
        <v>5796.2999999999984</v>
      </c>
    </row>
    <row r="44" spans="1:10" ht="19.5" thickBot="1" x14ac:dyDescent="0.35">
      <c r="A44" s="2"/>
      <c r="B44" s="109"/>
      <c r="C44" s="110"/>
      <c r="D44" s="111"/>
      <c r="E44" s="111"/>
      <c r="F44" s="111"/>
      <c r="G44" s="111"/>
      <c r="H44" s="111"/>
      <c r="I44" s="111"/>
      <c r="J44" s="111"/>
    </row>
    <row r="45" spans="1:10" ht="24" thickBot="1" x14ac:dyDescent="0.4">
      <c r="A45" s="112" t="s">
        <v>40</v>
      </c>
      <c r="B45" s="109"/>
      <c r="C45" s="110"/>
      <c r="D45" s="111"/>
      <c r="E45" s="111"/>
      <c r="F45" s="111"/>
      <c r="G45" s="111"/>
      <c r="H45" s="111"/>
      <c r="I45" s="111"/>
      <c r="J45" s="111"/>
    </row>
    <row r="46" spans="1:10" ht="30.75" thickBot="1" x14ac:dyDescent="0.3">
      <c r="A46" s="113" t="s">
        <v>3</v>
      </c>
      <c r="B46" s="86" t="s">
        <v>32</v>
      </c>
      <c r="C46" s="114" t="s">
        <v>41</v>
      </c>
      <c r="D46" s="114" t="s">
        <v>34</v>
      </c>
      <c r="E46" s="114" t="s">
        <v>35</v>
      </c>
      <c r="F46" s="86" t="s">
        <v>36</v>
      </c>
      <c r="G46" s="86" t="s">
        <v>37</v>
      </c>
      <c r="H46" s="86" t="s">
        <v>42</v>
      </c>
      <c r="I46" s="86" t="s">
        <v>230</v>
      </c>
      <c r="J46" s="115" t="s">
        <v>4</v>
      </c>
    </row>
    <row r="47" spans="1:10" ht="15.75" thickBot="1" x14ac:dyDescent="0.3">
      <c r="A47" s="520" t="s">
        <v>191</v>
      </c>
      <c r="B47" s="512" t="s">
        <v>397</v>
      </c>
      <c r="C47" s="103">
        <v>46054</v>
      </c>
      <c r="D47" s="116"/>
      <c r="E47" s="117"/>
      <c r="F47" s="116">
        <v>50</v>
      </c>
      <c r="G47" s="116"/>
      <c r="H47" s="118"/>
      <c r="I47" s="118"/>
      <c r="J47" s="119">
        <f>SUM(D47:I47)</f>
        <v>50</v>
      </c>
    </row>
    <row r="48" spans="1:10" ht="15.75" thickBot="1" x14ac:dyDescent="0.3">
      <c r="A48" s="521"/>
      <c r="B48" s="513"/>
      <c r="C48" s="103">
        <v>46082</v>
      </c>
      <c r="D48" s="116"/>
      <c r="E48" s="117"/>
      <c r="F48" s="116">
        <v>150</v>
      </c>
      <c r="G48" s="116"/>
      <c r="H48" s="118"/>
      <c r="I48" s="118"/>
      <c r="J48" s="119">
        <f>SUM(D48:I48)</f>
        <v>150</v>
      </c>
    </row>
    <row r="49" spans="1:13" ht="15.75" thickBot="1" x14ac:dyDescent="0.3">
      <c r="A49" s="311" t="s">
        <v>395</v>
      </c>
      <c r="B49" s="103" t="s">
        <v>396</v>
      </c>
      <c r="C49" s="103">
        <v>46082</v>
      </c>
      <c r="D49" s="227"/>
      <c r="E49" s="227"/>
      <c r="F49" s="227">
        <v>850</v>
      </c>
      <c r="G49" s="116"/>
      <c r="H49" s="118"/>
      <c r="I49" s="118"/>
      <c r="J49" s="119">
        <f t="shared" ref="J49:J60" si="4">SUM(D49:I49)</f>
        <v>850</v>
      </c>
    </row>
    <row r="50" spans="1:13" ht="30.75" thickBot="1" x14ac:dyDescent="0.3">
      <c r="A50" s="311" t="s">
        <v>218</v>
      </c>
      <c r="B50" s="309" t="s">
        <v>434</v>
      </c>
      <c r="C50" s="89">
        <v>46023</v>
      </c>
      <c r="D50" s="227"/>
      <c r="E50" s="227"/>
      <c r="F50" s="227">
        <v>250</v>
      </c>
      <c r="G50" s="116"/>
      <c r="H50" s="118"/>
      <c r="I50" s="118"/>
      <c r="J50" s="119">
        <f t="shared" si="4"/>
        <v>250</v>
      </c>
    </row>
    <row r="51" spans="1:13" ht="15.75" thickBot="1" x14ac:dyDescent="0.3">
      <c r="A51" s="311"/>
      <c r="B51" s="309"/>
      <c r="C51" s="103"/>
      <c r="D51" s="227"/>
      <c r="E51" s="227"/>
      <c r="F51" s="227"/>
      <c r="G51" s="116"/>
      <c r="H51" s="118"/>
      <c r="I51" s="118"/>
      <c r="J51" s="119">
        <f t="shared" si="4"/>
        <v>0</v>
      </c>
    </row>
    <row r="52" spans="1:13" ht="15.75" thickBot="1" x14ac:dyDescent="0.3">
      <c r="A52" s="311" t="s">
        <v>191</v>
      </c>
      <c r="B52" s="309" t="s">
        <v>398</v>
      </c>
      <c r="C52" s="103">
        <v>46054</v>
      </c>
      <c r="D52" s="227">
        <v>0.1</v>
      </c>
      <c r="E52" s="227">
        <v>6</v>
      </c>
      <c r="F52" s="227"/>
      <c r="G52" s="116"/>
      <c r="H52" s="118"/>
      <c r="I52" s="118"/>
      <c r="J52" s="119">
        <f t="shared" si="4"/>
        <v>6.1</v>
      </c>
    </row>
    <row r="53" spans="1:13" ht="14.25" customHeight="1" thickBot="1" x14ac:dyDescent="0.3">
      <c r="A53" s="520" t="s">
        <v>395</v>
      </c>
      <c r="B53" s="512" t="s">
        <v>400</v>
      </c>
      <c r="C53" s="89">
        <v>46023</v>
      </c>
      <c r="D53" s="228"/>
      <c r="E53" s="228"/>
      <c r="F53" s="228"/>
      <c r="G53" s="120"/>
      <c r="H53" s="90"/>
      <c r="I53" s="90">
        <v>28.3</v>
      </c>
      <c r="J53" s="119">
        <f t="shared" si="4"/>
        <v>28.3</v>
      </c>
    </row>
    <row r="54" spans="1:13" ht="15.75" thickBot="1" x14ac:dyDescent="0.3">
      <c r="A54" s="521"/>
      <c r="B54" s="513"/>
      <c r="C54" s="89">
        <v>46054</v>
      </c>
      <c r="D54" s="228">
        <v>16.100000000000001</v>
      </c>
      <c r="E54" s="228">
        <v>6</v>
      </c>
      <c r="F54" s="228"/>
      <c r="G54" s="120"/>
      <c r="H54" s="90"/>
      <c r="I54" s="90"/>
      <c r="J54" s="119">
        <f t="shared" si="4"/>
        <v>22.1</v>
      </c>
    </row>
    <row r="55" spans="1:13" ht="15.75" thickBot="1" x14ac:dyDescent="0.3">
      <c r="A55" s="303" t="s">
        <v>423</v>
      </c>
      <c r="B55" s="305" t="s">
        <v>424</v>
      </c>
      <c r="C55" s="89">
        <v>46054</v>
      </c>
      <c r="D55" s="228">
        <v>13.8</v>
      </c>
      <c r="E55" s="228">
        <v>6</v>
      </c>
      <c r="F55" s="228"/>
      <c r="G55" s="120"/>
      <c r="H55" s="90"/>
      <c r="I55" s="90"/>
      <c r="J55" s="119">
        <f t="shared" si="4"/>
        <v>19.8</v>
      </c>
    </row>
    <row r="56" spans="1:13" ht="15.75" thickBot="1" x14ac:dyDescent="0.3">
      <c r="A56" s="320" t="s">
        <v>484</v>
      </c>
      <c r="B56" s="318" t="s">
        <v>485</v>
      </c>
      <c r="C56" s="309">
        <v>46082</v>
      </c>
      <c r="D56" s="228">
        <v>39.6</v>
      </c>
      <c r="E56" s="90"/>
      <c r="F56" s="228"/>
      <c r="G56" s="120"/>
      <c r="H56" s="90"/>
      <c r="I56" s="90"/>
      <c r="J56" s="119">
        <f t="shared" si="4"/>
        <v>39.6</v>
      </c>
    </row>
    <row r="57" spans="1:13" ht="15.75" thickBot="1" x14ac:dyDescent="0.3">
      <c r="A57" s="311"/>
      <c r="B57" s="309"/>
      <c r="C57" s="89"/>
      <c r="D57" s="90"/>
      <c r="E57" s="90"/>
      <c r="F57" s="228"/>
      <c r="G57" s="120"/>
      <c r="H57" s="90"/>
      <c r="I57" s="90"/>
      <c r="J57" s="119">
        <f t="shared" si="4"/>
        <v>0</v>
      </c>
    </row>
    <row r="58" spans="1:13" ht="15.75" thickBot="1" x14ac:dyDescent="0.3">
      <c r="A58" s="311"/>
      <c r="B58" s="309"/>
      <c r="C58" s="309"/>
      <c r="D58" s="90"/>
      <c r="E58" s="90"/>
      <c r="F58" s="228"/>
      <c r="G58" s="120"/>
      <c r="H58" s="90"/>
      <c r="I58" s="90"/>
      <c r="J58" s="119">
        <f t="shared" si="4"/>
        <v>0</v>
      </c>
    </row>
    <row r="59" spans="1:13" ht="15.75" thickBot="1" x14ac:dyDescent="0.3">
      <c r="A59" s="311"/>
      <c r="B59" s="309"/>
      <c r="C59" s="89"/>
      <c r="D59" s="228"/>
      <c r="E59" s="228"/>
      <c r="F59" s="228"/>
      <c r="G59" s="120"/>
      <c r="H59" s="90"/>
      <c r="I59" s="90"/>
      <c r="J59" s="119">
        <f t="shared" si="4"/>
        <v>0</v>
      </c>
    </row>
    <row r="60" spans="1:13" ht="15.75" thickBot="1" x14ac:dyDescent="0.3">
      <c r="A60" s="311"/>
      <c r="B60" s="121"/>
      <c r="C60" s="89"/>
      <c r="D60" s="228"/>
      <c r="E60" s="228"/>
      <c r="F60" s="228"/>
      <c r="G60" s="120"/>
      <c r="H60" s="90"/>
      <c r="I60" s="90"/>
      <c r="J60" s="119">
        <f t="shared" si="4"/>
        <v>0</v>
      </c>
      <c r="L60" s="122" t="s">
        <v>43</v>
      </c>
      <c r="M60" s="123">
        <f>J61+J69</f>
        <v>1415.8999999999996</v>
      </c>
    </row>
    <row r="61" spans="1:13" ht="15.75" thickBot="1" x14ac:dyDescent="0.3">
      <c r="A61" s="86" t="s">
        <v>4</v>
      </c>
      <c r="B61" s="124"/>
      <c r="C61" s="90"/>
      <c r="D61" s="90">
        <f t="shared" ref="D61:H61" si="5">SUM(D47:D60)</f>
        <v>69.600000000000009</v>
      </c>
      <c r="E61" s="90">
        <f t="shared" si="5"/>
        <v>18</v>
      </c>
      <c r="F61" s="90">
        <f>SUM(F47:F60)</f>
        <v>1300</v>
      </c>
      <c r="G61" s="90">
        <f t="shared" si="5"/>
        <v>0</v>
      </c>
      <c r="H61" s="90">
        <f t="shared" si="5"/>
        <v>0</v>
      </c>
      <c r="I61" s="90">
        <f>SUM(I47:I60)</f>
        <v>28.3</v>
      </c>
      <c r="J61" s="94">
        <f>SUM(J47:J60)</f>
        <v>1415.8999999999996</v>
      </c>
    </row>
    <row r="62" spans="1:13" ht="15.75" thickBot="1" x14ac:dyDescent="0.3">
      <c r="A62" s="109"/>
      <c r="B62" s="127"/>
      <c r="C62" s="128"/>
      <c r="D62" s="129"/>
      <c r="E62" s="129"/>
      <c r="F62" s="129"/>
      <c r="G62" s="129"/>
      <c r="H62" s="129"/>
      <c r="I62" s="129"/>
      <c r="J62" s="130"/>
    </row>
    <row r="63" spans="1:13" ht="24" thickBot="1" x14ac:dyDescent="0.4">
      <c r="A63" s="112" t="s">
        <v>40</v>
      </c>
      <c r="B63" s="109"/>
      <c r="C63" s="110"/>
      <c r="D63" s="111"/>
      <c r="E63" s="111"/>
      <c r="F63" s="111"/>
      <c r="G63" s="111"/>
      <c r="H63" s="111"/>
      <c r="I63" s="111"/>
      <c r="J63" s="111"/>
    </row>
    <row r="64" spans="1:13" ht="30.75" thickBot="1" x14ac:dyDescent="0.3">
      <c r="A64" s="131" t="s">
        <v>44</v>
      </c>
      <c r="B64" s="86" t="s">
        <v>45</v>
      </c>
      <c r="C64" s="114" t="s">
        <v>41</v>
      </c>
      <c r="D64" s="114" t="s">
        <v>34</v>
      </c>
      <c r="E64" s="114" t="s">
        <v>35</v>
      </c>
      <c r="F64" s="114" t="s">
        <v>46</v>
      </c>
      <c r="G64" s="114" t="s">
        <v>47</v>
      </c>
      <c r="H64" s="114" t="s">
        <v>42</v>
      </c>
      <c r="I64" s="132" t="s">
        <v>48</v>
      </c>
      <c r="J64" s="115" t="s">
        <v>4</v>
      </c>
    </row>
    <row r="65" spans="1:13" ht="15.75" thickBot="1" x14ac:dyDescent="0.3">
      <c r="A65" s="133"/>
      <c r="B65" s="99"/>
      <c r="C65" s="89"/>
      <c r="D65" s="90"/>
      <c r="E65" s="90"/>
      <c r="F65" s="90"/>
      <c r="G65" s="90"/>
      <c r="H65" s="90"/>
      <c r="I65" s="90"/>
      <c r="J65" s="87">
        <f t="shared" ref="J65:J68" si="6">SUM(D65:I65)</f>
        <v>0</v>
      </c>
    </row>
    <row r="66" spans="1:13" ht="15.75" thickBot="1" x14ac:dyDescent="0.3">
      <c r="A66" s="95"/>
      <c r="B66" s="103"/>
      <c r="C66" s="89"/>
      <c r="D66" s="116"/>
      <c r="E66" s="116"/>
      <c r="F66" s="116"/>
      <c r="G66" s="116"/>
      <c r="H66" s="118"/>
      <c r="I66" s="118"/>
      <c r="J66" s="119">
        <f t="shared" si="6"/>
        <v>0</v>
      </c>
    </row>
    <row r="67" spans="1:13" ht="15.75" thickBot="1" x14ac:dyDescent="0.3">
      <c r="A67" s="311"/>
      <c r="B67" s="304"/>
      <c r="C67" s="89"/>
      <c r="D67" s="120"/>
      <c r="E67" s="120"/>
      <c r="F67" s="120"/>
      <c r="G67" s="120"/>
      <c r="H67" s="90"/>
      <c r="I67" s="90"/>
      <c r="J67" s="119">
        <f t="shared" si="6"/>
        <v>0</v>
      </c>
    </row>
    <row r="68" spans="1:13" ht="15.75" thickBot="1" x14ac:dyDescent="0.3">
      <c r="A68" s="86"/>
      <c r="B68" s="121"/>
      <c r="C68" s="89"/>
      <c r="D68" s="120"/>
      <c r="E68" s="120"/>
      <c r="F68" s="120"/>
      <c r="G68" s="120"/>
      <c r="H68" s="90"/>
      <c r="I68" s="90"/>
      <c r="J68" s="119">
        <f t="shared" si="6"/>
        <v>0</v>
      </c>
      <c r="L68" s="134"/>
      <c r="M68" s="135"/>
    </row>
    <row r="69" spans="1:13" ht="15.75" thickBot="1" x14ac:dyDescent="0.3">
      <c r="A69" s="86" t="s">
        <v>4</v>
      </c>
      <c r="B69" s="124"/>
      <c r="C69" s="125"/>
      <c r="D69" s="126"/>
      <c r="E69" s="126"/>
      <c r="F69" s="126"/>
      <c r="G69" s="126"/>
      <c r="H69" s="126"/>
      <c r="I69" s="126"/>
      <c r="J69" s="94">
        <f>SUM(J65:J68)</f>
        <v>0</v>
      </c>
    </row>
    <row r="70" spans="1:13" x14ac:dyDescent="0.25">
      <c r="A70" s="109"/>
      <c r="B70" s="127"/>
      <c r="C70" s="128"/>
      <c r="D70" s="129"/>
      <c r="E70" s="129"/>
      <c r="F70" s="129"/>
      <c r="G70" s="129"/>
      <c r="H70" s="129"/>
      <c r="I70" s="129"/>
      <c r="J70" s="130"/>
    </row>
    <row r="71" spans="1:13" x14ac:dyDescent="0.25">
      <c r="A71" s="109"/>
      <c r="B71" s="127"/>
      <c r="C71" s="128"/>
      <c r="D71" s="129"/>
      <c r="E71" s="129"/>
      <c r="F71" s="129"/>
      <c r="G71" s="129"/>
      <c r="H71" s="129"/>
      <c r="I71" s="129"/>
      <c r="J71" s="130"/>
    </row>
    <row r="72" spans="1:13" ht="15.75" thickBot="1" x14ac:dyDescent="0.3">
      <c r="A72" s="84"/>
      <c r="B72" s="84"/>
      <c r="C72" s="84"/>
      <c r="J72" s="85"/>
    </row>
    <row r="73" spans="1:13" ht="45.75" thickBot="1" x14ac:dyDescent="0.3">
      <c r="A73" s="114" t="s">
        <v>49</v>
      </c>
      <c r="B73" s="86" t="s">
        <v>45</v>
      </c>
      <c r="C73" s="114" t="s">
        <v>41</v>
      </c>
      <c r="D73" s="114" t="s">
        <v>34</v>
      </c>
      <c r="E73" s="114" t="s">
        <v>35</v>
      </c>
      <c r="F73" s="114" t="s">
        <v>46</v>
      </c>
      <c r="G73" s="114" t="s">
        <v>47</v>
      </c>
      <c r="H73" s="86" t="s">
        <v>48</v>
      </c>
      <c r="I73" s="132" t="s">
        <v>42</v>
      </c>
      <c r="J73" s="115" t="s">
        <v>4</v>
      </c>
    </row>
    <row r="74" spans="1:13" ht="15.75" thickBot="1" x14ac:dyDescent="0.3">
      <c r="A74" s="121"/>
      <c r="B74" s="103"/>
      <c r="C74" s="103"/>
      <c r="D74" s="118"/>
      <c r="E74" s="136"/>
      <c r="F74" s="118"/>
      <c r="G74" s="118"/>
      <c r="H74" s="118"/>
      <c r="I74" s="118"/>
      <c r="J74" s="119">
        <f>SUM(D74:I74)</f>
        <v>0</v>
      </c>
    </row>
    <row r="75" spans="1:13" ht="15.75" thickBot="1" x14ac:dyDescent="0.3">
      <c r="A75" s="121"/>
      <c r="B75" s="103"/>
      <c r="C75" s="103"/>
      <c r="D75" s="118"/>
      <c r="E75" s="118"/>
      <c r="F75" s="118"/>
      <c r="G75" s="118"/>
      <c r="H75" s="118"/>
      <c r="I75" s="118"/>
      <c r="J75" s="119">
        <f t="shared" ref="J75:J87" si="7">SUM(D75:I75)</f>
        <v>0</v>
      </c>
    </row>
    <row r="76" spans="1:13" ht="15.75" thickBot="1" x14ac:dyDescent="0.3">
      <c r="A76" s="304"/>
      <c r="B76" s="103"/>
      <c r="C76" s="103"/>
      <c r="D76" s="118"/>
      <c r="E76" s="118"/>
      <c r="F76" s="118"/>
      <c r="G76" s="118"/>
      <c r="H76" s="118"/>
      <c r="I76" s="118"/>
      <c r="J76" s="119">
        <f t="shared" si="7"/>
        <v>0</v>
      </c>
    </row>
    <row r="77" spans="1:13" ht="15.75" thickBot="1" x14ac:dyDescent="0.3">
      <c r="A77" s="121"/>
      <c r="B77" s="103"/>
      <c r="C77" s="103"/>
      <c r="D77" s="118"/>
      <c r="E77" s="118"/>
      <c r="F77" s="118"/>
      <c r="G77" s="118"/>
      <c r="H77" s="118"/>
      <c r="I77" s="118"/>
      <c r="J77" s="119">
        <f t="shared" si="7"/>
        <v>0</v>
      </c>
    </row>
    <row r="78" spans="1:13" ht="15.75" thickBot="1" x14ac:dyDescent="0.3">
      <c r="A78" s="121"/>
      <c r="B78" s="103"/>
      <c r="C78" s="103"/>
      <c r="D78" s="118"/>
      <c r="E78" s="118"/>
      <c r="F78" s="118"/>
      <c r="G78" s="118"/>
      <c r="H78" s="118"/>
      <c r="I78" s="118"/>
      <c r="J78" s="119">
        <f t="shared" si="7"/>
        <v>0</v>
      </c>
    </row>
    <row r="79" spans="1:13" ht="15.75" thickBot="1" x14ac:dyDescent="0.3">
      <c r="A79" s="304"/>
      <c r="B79" s="103"/>
      <c r="C79" s="103"/>
      <c r="D79" s="118"/>
      <c r="E79" s="118"/>
      <c r="F79" s="118"/>
      <c r="G79" s="118"/>
      <c r="H79" s="118"/>
      <c r="I79" s="118"/>
      <c r="J79" s="119">
        <f t="shared" si="7"/>
        <v>0</v>
      </c>
    </row>
    <row r="80" spans="1:13" ht="15.75" thickBot="1" x14ac:dyDescent="0.3">
      <c r="A80" s="304"/>
      <c r="B80" s="103"/>
      <c r="C80" s="103"/>
      <c r="D80" s="118"/>
      <c r="E80" s="118"/>
      <c r="F80" s="118"/>
      <c r="G80" s="118"/>
      <c r="H80" s="118"/>
      <c r="I80" s="118"/>
      <c r="J80" s="119">
        <f t="shared" si="7"/>
        <v>0</v>
      </c>
    </row>
    <row r="81" spans="1:10" ht="15.75" thickBot="1" x14ac:dyDescent="0.3">
      <c r="A81" s="304"/>
      <c r="B81" s="103"/>
      <c r="C81" s="103"/>
      <c r="D81" s="118"/>
      <c r="E81" s="118"/>
      <c r="F81" s="118"/>
      <c r="G81" s="118"/>
      <c r="H81" s="118"/>
      <c r="I81" s="118"/>
      <c r="J81" s="119">
        <f t="shared" si="7"/>
        <v>0</v>
      </c>
    </row>
    <row r="82" spans="1:10" ht="15.75" thickBot="1" x14ac:dyDescent="0.3">
      <c r="A82" s="304"/>
      <c r="B82" s="103"/>
      <c r="C82" s="103"/>
      <c r="D82" s="118"/>
      <c r="E82" s="118"/>
      <c r="F82" s="118"/>
      <c r="G82" s="118"/>
      <c r="H82" s="118"/>
      <c r="I82" s="118"/>
      <c r="J82" s="119">
        <f t="shared" si="7"/>
        <v>0</v>
      </c>
    </row>
    <row r="83" spans="1:10" ht="15.75" thickBot="1" x14ac:dyDescent="0.3">
      <c r="A83" s="304"/>
      <c r="B83" s="103"/>
      <c r="C83" s="103"/>
      <c r="D83" s="118"/>
      <c r="E83" s="118"/>
      <c r="F83" s="118"/>
      <c r="G83" s="118"/>
      <c r="H83" s="118"/>
      <c r="I83" s="118"/>
      <c r="J83" s="119">
        <f t="shared" si="7"/>
        <v>0</v>
      </c>
    </row>
    <row r="84" spans="1:10" ht="15.75" thickBot="1" x14ac:dyDescent="0.3">
      <c r="A84" s="137"/>
      <c r="B84" s="103"/>
      <c r="C84" s="103"/>
      <c r="D84" s="118"/>
      <c r="E84" s="118"/>
      <c r="F84" s="118"/>
      <c r="G84" s="118"/>
      <c r="H84" s="118"/>
      <c r="I84" s="118"/>
      <c r="J84" s="119">
        <f t="shared" si="7"/>
        <v>0</v>
      </c>
    </row>
    <row r="85" spans="1:10" ht="15.75" thickBot="1" x14ac:dyDescent="0.3">
      <c r="A85" s="121"/>
      <c r="B85" s="103"/>
      <c r="C85" s="103"/>
      <c r="D85" s="118"/>
      <c r="F85" s="118"/>
      <c r="G85" s="118"/>
      <c r="H85" s="118"/>
      <c r="I85" s="118"/>
      <c r="J85" s="119">
        <f t="shared" si="7"/>
        <v>0</v>
      </c>
    </row>
    <row r="86" spans="1:10" ht="15.75" thickBot="1" x14ac:dyDescent="0.3">
      <c r="A86" s="121"/>
      <c r="B86" s="103"/>
      <c r="C86" s="103"/>
      <c r="D86" s="118"/>
      <c r="E86" s="118"/>
      <c r="F86" s="118"/>
      <c r="G86" s="118"/>
      <c r="H86" s="118"/>
      <c r="I86" s="118"/>
      <c r="J86" s="119">
        <f t="shared" si="7"/>
        <v>0</v>
      </c>
    </row>
    <row r="87" spans="1:10" ht="15.75" thickBot="1" x14ac:dyDescent="0.3">
      <c r="A87" s="121"/>
      <c r="B87" s="103"/>
      <c r="C87" s="103"/>
      <c r="D87" s="138"/>
      <c r="E87" s="138"/>
      <c r="F87" s="138"/>
      <c r="G87" s="138"/>
      <c r="H87" s="138"/>
      <c r="I87" s="138"/>
      <c r="J87" s="119">
        <f t="shared" si="7"/>
        <v>0</v>
      </c>
    </row>
    <row r="88" spans="1:10" ht="19.5" thickBot="1" x14ac:dyDescent="0.35">
      <c r="A88" s="105" t="s">
        <v>4</v>
      </c>
      <c r="B88" s="86"/>
      <c r="C88" s="106"/>
      <c r="D88" s="107">
        <f t="shared" ref="D88:J88" si="8">SUM(D74:D87)</f>
        <v>0</v>
      </c>
      <c r="E88" s="107">
        <f t="shared" si="8"/>
        <v>0</v>
      </c>
      <c r="F88" s="107">
        <f t="shared" si="8"/>
        <v>0</v>
      </c>
      <c r="G88" s="107">
        <f t="shared" si="8"/>
        <v>0</v>
      </c>
      <c r="H88" s="107">
        <f t="shared" si="8"/>
        <v>0</v>
      </c>
      <c r="I88" s="107">
        <f t="shared" si="8"/>
        <v>0</v>
      </c>
      <c r="J88" s="107">
        <f t="shared" si="8"/>
        <v>0</v>
      </c>
    </row>
    <row r="89" spans="1:10" ht="15.75" x14ac:dyDescent="0.25">
      <c r="A89" s="139"/>
      <c r="B89" s="139"/>
      <c r="C89" s="140"/>
      <c r="D89" s="141"/>
      <c r="E89" s="141"/>
      <c r="F89" s="141"/>
      <c r="G89" s="141"/>
      <c r="H89" s="141"/>
      <c r="I89" s="141"/>
      <c r="J89" s="141"/>
    </row>
    <row r="90" spans="1:10" ht="16.5" thickBot="1" x14ac:dyDescent="0.3">
      <c r="A90" s="139"/>
      <c r="B90" s="139"/>
      <c r="C90" s="140"/>
      <c r="D90" s="141"/>
      <c r="E90" s="141"/>
      <c r="F90" s="141"/>
      <c r="G90" s="141"/>
      <c r="H90" s="141"/>
      <c r="I90" s="141"/>
      <c r="J90" s="141"/>
    </row>
    <row r="91" spans="1:10" ht="19.5" thickBot="1" x14ac:dyDescent="0.35">
      <c r="A91" s="492" t="s">
        <v>50</v>
      </c>
      <c r="B91" s="493"/>
      <c r="C91" s="142"/>
      <c r="D91" s="143"/>
      <c r="E91" s="143"/>
      <c r="F91" s="143"/>
      <c r="G91" s="143"/>
      <c r="H91" s="143"/>
      <c r="I91" s="143"/>
      <c r="J91" s="108">
        <f>+J43+J88</f>
        <v>5796.2999999999984</v>
      </c>
    </row>
    <row r="92" spans="1:10" x14ac:dyDescent="0.25">
      <c r="A92" s="84"/>
      <c r="B92" s="84"/>
      <c r="C92" s="144"/>
      <c r="D92" s="85"/>
      <c r="E92" s="85"/>
      <c r="F92" s="85"/>
      <c r="G92" s="85"/>
      <c r="H92" s="85"/>
      <c r="I92" s="85"/>
      <c r="J92" s="85"/>
    </row>
    <row r="93" spans="1:10" x14ac:dyDescent="0.25">
      <c r="A93" s="84"/>
      <c r="B93" s="84"/>
      <c r="C93" s="144"/>
      <c r="D93" s="85"/>
      <c r="E93" s="85"/>
      <c r="F93" s="85"/>
      <c r="G93" s="85"/>
      <c r="H93" s="85"/>
      <c r="I93" s="85"/>
      <c r="J93" s="85"/>
    </row>
    <row r="94" spans="1:10" ht="16.5" thickBot="1" x14ac:dyDescent="0.3">
      <c r="A94" s="145" t="s">
        <v>51</v>
      </c>
      <c r="B94" s="84"/>
      <c r="C94" s="144"/>
      <c r="D94" s="85"/>
      <c r="E94" s="85"/>
      <c r="F94" s="85"/>
      <c r="G94" s="85"/>
      <c r="H94" s="85"/>
      <c r="I94" s="85"/>
      <c r="J94" s="85"/>
    </row>
    <row r="95" spans="1:10" ht="19.5" thickBot="1" x14ac:dyDescent="0.35">
      <c r="A95" s="146" t="s">
        <v>52</v>
      </c>
      <c r="B95" s="147"/>
      <c r="C95" s="148"/>
      <c r="D95" s="149"/>
      <c r="E95" s="149"/>
      <c r="F95" s="149"/>
      <c r="G95" s="149"/>
      <c r="H95" s="149"/>
      <c r="I95" s="149"/>
      <c r="J95" s="108"/>
    </row>
    <row r="96" spans="1:10" ht="19.5" thickBot="1" x14ac:dyDescent="0.35">
      <c r="A96" s="146" t="s">
        <v>53</v>
      </c>
      <c r="B96" s="147"/>
      <c r="C96" s="150"/>
      <c r="D96" s="149"/>
      <c r="E96" s="149"/>
      <c r="F96" s="149"/>
      <c r="G96" s="149"/>
      <c r="H96" s="149"/>
      <c r="I96" s="149"/>
      <c r="J96" s="108"/>
    </row>
    <row r="97" spans="1:10" ht="18.75" x14ac:dyDescent="0.3">
      <c r="A97" s="151"/>
      <c r="B97" s="151"/>
      <c r="C97" s="152"/>
      <c r="D97" s="153"/>
      <c r="E97" s="153"/>
      <c r="F97" s="153"/>
      <c r="G97" s="153"/>
      <c r="H97" s="153"/>
      <c r="I97" s="153"/>
      <c r="J97" s="111"/>
    </row>
    <row r="98" spans="1:10" ht="18.75" x14ac:dyDescent="0.3">
      <c r="A98" s="151"/>
      <c r="B98" s="151"/>
      <c r="C98" s="152"/>
      <c r="D98" s="153"/>
      <c r="E98" s="153"/>
      <c r="F98" s="153"/>
      <c r="G98" s="153"/>
      <c r="H98" s="153"/>
      <c r="I98" s="153"/>
      <c r="J98" s="111"/>
    </row>
    <row r="99" spans="1:10" ht="16.5" thickBot="1" x14ac:dyDescent="0.3">
      <c r="A99" s="154" t="s">
        <v>54</v>
      </c>
      <c r="B99" s="155"/>
      <c r="C99" s="144"/>
      <c r="D99" s="85"/>
      <c r="E99" s="85"/>
      <c r="F99" s="85"/>
      <c r="G99" s="85"/>
      <c r="H99" s="85"/>
      <c r="I99" s="85"/>
      <c r="J99" s="85"/>
    </row>
    <row r="100" spans="1:10" ht="19.5" thickBot="1" x14ac:dyDescent="0.35">
      <c r="A100" s="156" t="s">
        <v>55</v>
      </c>
      <c r="B100" s="157"/>
      <c r="C100" s="158"/>
      <c r="D100" s="159"/>
      <c r="E100" s="159"/>
      <c r="F100" s="159"/>
      <c r="G100" s="159"/>
      <c r="H100" s="159"/>
      <c r="I100" s="159"/>
      <c r="J100" s="160">
        <v>491</v>
      </c>
    </row>
    <row r="101" spans="1:10" x14ac:dyDescent="0.25">
      <c r="A101" s="161"/>
      <c r="B101" s="84"/>
      <c r="C101" s="144"/>
      <c r="D101" s="85"/>
      <c r="E101" s="85"/>
      <c r="F101" s="85"/>
      <c r="G101" s="85"/>
      <c r="H101" s="85"/>
      <c r="I101" s="85"/>
      <c r="J101" s="85"/>
    </row>
    <row r="102" spans="1:10" ht="16.5" thickBot="1" x14ac:dyDescent="0.3">
      <c r="A102" s="154"/>
      <c r="B102" s="155"/>
      <c r="C102" s="144"/>
      <c r="D102" s="85"/>
      <c r="E102" s="85"/>
      <c r="F102" s="85"/>
      <c r="G102" s="85"/>
      <c r="H102" s="85"/>
      <c r="I102" s="85"/>
      <c r="J102" s="85"/>
    </row>
    <row r="103" spans="1:10" ht="19.5" thickBot="1" x14ac:dyDescent="0.35">
      <c r="A103" s="156" t="s">
        <v>56</v>
      </c>
      <c r="B103" s="157"/>
      <c r="C103" s="162"/>
      <c r="D103" s="159"/>
      <c r="E103" s="159"/>
      <c r="F103" s="159"/>
      <c r="G103" s="159"/>
      <c r="H103" s="159"/>
      <c r="I103" s="159"/>
      <c r="J103" s="163"/>
    </row>
    <row r="104" spans="1:10" ht="15.75" thickBot="1" x14ac:dyDescent="0.3">
      <c r="A104" s="161"/>
      <c r="B104" s="84"/>
      <c r="C104" s="144"/>
      <c r="D104" s="85"/>
      <c r="E104" s="85"/>
      <c r="F104" s="85"/>
      <c r="G104" s="85"/>
      <c r="H104" s="85"/>
      <c r="I104" s="85"/>
      <c r="J104" s="85"/>
    </row>
    <row r="105" spans="1:10" ht="21.75" thickBot="1" x14ac:dyDescent="0.4">
      <c r="A105" s="494" t="s">
        <v>57</v>
      </c>
      <c r="B105" s="495"/>
      <c r="C105" s="164"/>
      <c r="D105" s="165"/>
      <c r="E105" s="165"/>
      <c r="F105" s="165"/>
      <c r="G105" s="165"/>
      <c r="H105" s="165"/>
      <c r="I105" s="165"/>
      <c r="J105" s="166">
        <f>SUM(J91:J104)</f>
        <v>6287.2999999999984</v>
      </c>
    </row>
    <row r="106" spans="1:10" x14ac:dyDescent="0.25">
      <c r="A106" s="84"/>
      <c r="B106" s="84"/>
      <c r="C106" s="144"/>
      <c r="D106" s="85"/>
      <c r="E106" s="85"/>
      <c r="F106" s="85"/>
      <c r="G106" s="85"/>
      <c r="H106" s="85"/>
      <c r="I106" s="85"/>
      <c r="J106" s="85"/>
    </row>
    <row r="107" spans="1:10" ht="21" x14ac:dyDescent="0.35">
      <c r="A107" s="491" t="s">
        <v>394</v>
      </c>
      <c r="B107" s="491"/>
      <c r="C107" s="491"/>
      <c r="D107" s="491"/>
      <c r="E107" s="491"/>
      <c r="F107" s="491"/>
      <c r="G107" s="491"/>
      <c r="H107" s="491"/>
      <c r="I107" s="491"/>
      <c r="J107" s="491"/>
    </row>
    <row r="108" spans="1:10" ht="21.75" thickBot="1" x14ac:dyDescent="0.4">
      <c r="A108" s="306" t="s">
        <v>10</v>
      </c>
      <c r="B108" s="306"/>
      <c r="C108" s="306"/>
      <c r="D108" s="306"/>
      <c r="E108" s="306"/>
      <c r="F108" s="306"/>
      <c r="G108" s="306"/>
      <c r="H108" s="306"/>
      <c r="I108" s="306"/>
      <c r="J108" s="168"/>
    </row>
    <row r="109" spans="1:10" ht="15.75" thickBot="1" x14ac:dyDescent="0.3">
      <c r="A109" s="169" t="s">
        <v>58</v>
      </c>
      <c r="B109" s="170" t="s">
        <v>59</v>
      </c>
      <c r="C109" s="496" t="s">
        <v>33</v>
      </c>
      <c r="D109" s="497"/>
      <c r="E109" s="497"/>
      <c r="F109" s="497"/>
      <c r="G109" s="497"/>
      <c r="H109" s="497"/>
      <c r="I109" s="498"/>
      <c r="J109" s="171" t="s">
        <v>4</v>
      </c>
    </row>
    <row r="110" spans="1:10" ht="16.5" thickBot="1" x14ac:dyDescent="0.3">
      <c r="A110" s="325" t="s">
        <v>437</v>
      </c>
      <c r="B110" s="173">
        <v>1637</v>
      </c>
      <c r="C110" s="488" t="s">
        <v>344</v>
      </c>
      <c r="D110" s="489"/>
      <c r="E110" s="489"/>
      <c r="F110" s="489"/>
      <c r="G110" s="489"/>
      <c r="H110" s="489"/>
      <c r="I110" s="490"/>
      <c r="J110" s="321">
        <v>600</v>
      </c>
    </row>
    <row r="111" spans="1:10" ht="16.5" thickBot="1" x14ac:dyDescent="0.3">
      <c r="A111" s="326" t="s">
        <v>438</v>
      </c>
      <c r="B111" s="173">
        <v>2808</v>
      </c>
      <c r="C111" s="488" t="s">
        <v>344</v>
      </c>
      <c r="D111" s="489"/>
      <c r="E111" s="489"/>
      <c r="F111" s="489"/>
      <c r="G111" s="489"/>
      <c r="H111" s="489"/>
      <c r="I111" s="490"/>
      <c r="J111" s="322">
        <v>600</v>
      </c>
    </row>
    <row r="112" spans="1:10" ht="16.5" thickBot="1" x14ac:dyDescent="0.3">
      <c r="A112" s="327" t="s">
        <v>439</v>
      </c>
      <c r="B112" s="173">
        <v>2809</v>
      </c>
      <c r="C112" s="488" t="s">
        <v>344</v>
      </c>
      <c r="D112" s="489"/>
      <c r="E112" s="489"/>
      <c r="F112" s="489"/>
      <c r="G112" s="489"/>
      <c r="H112" s="489"/>
      <c r="I112" s="490"/>
      <c r="J112" s="322">
        <v>600</v>
      </c>
    </row>
    <row r="113" spans="1:10" ht="16.5" thickBot="1" x14ac:dyDescent="0.3">
      <c r="A113" s="328" t="s">
        <v>440</v>
      </c>
      <c r="B113" s="173">
        <v>2810</v>
      </c>
      <c r="C113" s="488" t="s">
        <v>344</v>
      </c>
      <c r="D113" s="489"/>
      <c r="E113" s="489"/>
      <c r="F113" s="489"/>
      <c r="G113" s="489"/>
      <c r="H113" s="489"/>
      <c r="I113" s="490"/>
      <c r="J113" s="323">
        <v>600</v>
      </c>
    </row>
    <row r="114" spans="1:10" ht="16.5" thickBot="1" x14ac:dyDescent="0.3">
      <c r="A114" s="328" t="s">
        <v>441</v>
      </c>
      <c r="B114" s="173">
        <v>2811</v>
      </c>
      <c r="C114" s="488" t="s">
        <v>344</v>
      </c>
      <c r="D114" s="489"/>
      <c r="E114" s="489"/>
      <c r="F114" s="489"/>
      <c r="G114" s="489"/>
      <c r="H114" s="489"/>
      <c r="I114" s="490"/>
      <c r="J114" s="322">
        <v>600</v>
      </c>
    </row>
    <row r="115" spans="1:10" ht="16.5" thickBot="1" x14ac:dyDescent="0.3">
      <c r="A115" s="327" t="s">
        <v>442</v>
      </c>
      <c r="B115" s="173">
        <v>2812</v>
      </c>
      <c r="C115" s="488" t="s">
        <v>344</v>
      </c>
      <c r="D115" s="489"/>
      <c r="E115" s="489"/>
      <c r="F115" s="489"/>
      <c r="G115" s="489"/>
      <c r="H115" s="489"/>
      <c r="I115" s="490"/>
      <c r="J115" s="323">
        <v>600</v>
      </c>
    </row>
    <row r="116" spans="1:10" ht="16.5" thickBot="1" x14ac:dyDescent="0.3">
      <c r="A116" s="328" t="s">
        <v>24</v>
      </c>
      <c r="B116" s="173">
        <v>2813</v>
      </c>
      <c r="C116" s="488" t="s">
        <v>344</v>
      </c>
      <c r="D116" s="489"/>
      <c r="E116" s="489"/>
      <c r="F116" s="489"/>
      <c r="G116" s="489"/>
      <c r="H116" s="489"/>
      <c r="I116" s="490"/>
      <c r="J116" s="322">
        <v>450</v>
      </c>
    </row>
    <row r="117" spans="1:10" ht="16.5" thickBot="1" x14ac:dyDescent="0.3">
      <c r="A117" s="329" t="s">
        <v>20</v>
      </c>
      <c r="B117" s="173">
        <v>7454</v>
      </c>
      <c r="C117" s="488" t="s">
        <v>344</v>
      </c>
      <c r="D117" s="489"/>
      <c r="E117" s="489"/>
      <c r="F117" s="489"/>
      <c r="G117" s="489"/>
      <c r="H117" s="489"/>
      <c r="I117" s="490"/>
      <c r="J117" s="323">
        <v>600</v>
      </c>
    </row>
    <row r="118" spans="1:10" ht="16.5" thickBot="1" x14ac:dyDescent="0.3">
      <c r="A118" s="328" t="s">
        <v>443</v>
      </c>
      <c r="B118" s="173">
        <v>2814</v>
      </c>
      <c r="C118" s="488" t="s">
        <v>344</v>
      </c>
      <c r="D118" s="489"/>
      <c r="E118" s="489"/>
      <c r="F118" s="489"/>
      <c r="G118" s="489"/>
      <c r="H118" s="489"/>
      <c r="I118" s="490"/>
      <c r="J118" s="322">
        <v>500</v>
      </c>
    </row>
    <row r="119" spans="1:10" ht="16.5" thickBot="1" x14ac:dyDescent="0.3">
      <c r="A119" s="329" t="s">
        <v>343</v>
      </c>
      <c r="B119" s="173">
        <v>2815</v>
      </c>
      <c r="C119" s="488" t="s">
        <v>344</v>
      </c>
      <c r="D119" s="489"/>
      <c r="E119" s="489"/>
      <c r="F119" s="489"/>
      <c r="G119" s="489"/>
      <c r="H119" s="489"/>
      <c r="I119" s="490"/>
      <c r="J119" s="323">
        <v>450</v>
      </c>
    </row>
    <row r="120" spans="1:10" ht="16.5" thickBot="1" x14ac:dyDescent="0.3">
      <c r="A120" s="328" t="s">
        <v>444</v>
      </c>
      <c r="B120" s="173">
        <v>2816</v>
      </c>
      <c r="C120" s="488" t="s">
        <v>344</v>
      </c>
      <c r="D120" s="489"/>
      <c r="E120" s="489"/>
      <c r="F120" s="489"/>
      <c r="G120" s="489"/>
      <c r="H120" s="489"/>
      <c r="I120" s="490"/>
      <c r="J120" s="322">
        <v>500</v>
      </c>
    </row>
    <row r="121" spans="1:10" ht="15.75" thickBot="1" x14ac:dyDescent="0.3">
      <c r="A121" s="121" t="s">
        <v>445</v>
      </c>
      <c r="B121" s="173" t="s">
        <v>446</v>
      </c>
      <c r="C121" s="488" t="s">
        <v>447</v>
      </c>
      <c r="D121" s="489"/>
      <c r="E121" s="489"/>
      <c r="F121" s="489"/>
      <c r="G121" s="489"/>
      <c r="H121" s="490"/>
      <c r="I121" s="490"/>
      <c r="J121" s="118">
        <v>600</v>
      </c>
    </row>
    <row r="122" spans="1:10" ht="15.75" thickBot="1" x14ac:dyDescent="0.3">
      <c r="A122" s="121" t="s">
        <v>451</v>
      </c>
      <c r="B122" s="173" t="s">
        <v>450</v>
      </c>
      <c r="C122" s="488" t="s">
        <v>452</v>
      </c>
      <c r="D122" s="489"/>
      <c r="E122" s="489"/>
      <c r="F122" s="489"/>
      <c r="G122" s="489"/>
      <c r="H122" s="490"/>
      <c r="I122" s="490"/>
      <c r="J122" s="118">
        <v>50</v>
      </c>
    </row>
    <row r="123" spans="1:10" ht="15.75" thickBot="1" x14ac:dyDescent="0.3">
      <c r="A123" s="121"/>
      <c r="B123" s="173"/>
      <c r="C123" s="488"/>
      <c r="D123" s="489"/>
      <c r="E123" s="489"/>
      <c r="F123" s="489"/>
      <c r="G123" s="489"/>
      <c r="H123" s="490"/>
      <c r="I123" s="490"/>
      <c r="J123" s="118"/>
    </row>
    <row r="124" spans="1:10" ht="19.5" thickBot="1" x14ac:dyDescent="0.35">
      <c r="A124" s="175" t="s">
        <v>60</v>
      </c>
      <c r="B124" s="492"/>
      <c r="C124" s="499"/>
      <c r="D124" s="499"/>
      <c r="E124" s="499"/>
      <c r="F124" s="499"/>
      <c r="G124" s="499"/>
      <c r="H124" s="499"/>
      <c r="I124" s="499"/>
      <c r="J124" s="176">
        <f>SUM(J110:J123)</f>
        <v>6750</v>
      </c>
    </row>
    <row r="125" spans="1:10" ht="18.75" x14ac:dyDescent="0.3">
      <c r="A125" s="2"/>
      <c r="B125" s="2"/>
      <c r="C125" s="177"/>
      <c r="D125" s="177"/>
      <c r="E125" s="177"/>
      <c r="F125" s="178"/>
      <c r="G125" s="177"/>
      <c r="H125" s="177"/>
      <c r="I125" s="177"/>
      <c r="J125" s="111"/>
    </row>
    <row r="126" spans="1:10" ht="18.75" x14ac:dyDescent="0.3">
      <c r="A126" s="2"/>
      <c r="B126" s="2"/>
      <c r="C126" s="177"/>
      <c r="D126" s="177"/>
      <c r="E126" s="177"/>
      <c r="F126" s="178"/>
      <c r="G126" s="177"/>
      <c r="H126" s="177"/>
      <c r="I126" s="177"/>
      <c r="J126" s="111"/>
    </row>
    <row r="127" spans="1:10" ht="18.75" x14ac:dyDescent="0.3">
      <c r="A127" s="139" t="s">
        <v>61</v>
      </c>
      <c r="B127" s="2"/>
      <c r="C127" s="84"/>
      <c r="D127" s="85"/>
      <c r="F127" s="85"/>
      <c r="J127" s="85"/>
    </row>
    <row r="128" spans="1:10" x14ac:dyDescent="0.25">
      <c r="A128" s="84" t="s">
        <v>62</v>
      </c>
      <c r="B128" s="144">
        <f>+J105</f>
        <v>6287.2999999999984</v>
      </c>
      <c r="C128" s="179"/>
      <c r="D128" s="85"/>
      <c r="F128" s="85"/>
      <c r="J128" s="85"/>
    </row>
    <row r="129" spans="1:10" ht="15.75" thickBot="1" x14ac:dyDescent="0.3">
      <c r="A129" s="84" t="s">
        <v>60</v>
      </c>
      <c r="B129" s="180">
        <f>+J124</f>
        <v>6750</v>
      </c>
      <c r="C129" s="181"/>
      <c r="D129" s="85"/>
      <c r="F129" s="85"/>
      <c r="G129" s="182"/>
      <c r="H129" s="182"/>
      <c r="I129" s="183"/>
      <c r="J129" s="183"/>
    </row>
    <row r="130" spans="1:10" ht="17.25" thickTop="1" thickBot="1" x14ac:dyDescent="0.3">
      <c r="A130" s="139" t="s">
        <v>8</v>
      </c>
      <c r="B130" s="184">
        <f>++B128-B129</f>
        <v>-462.70000000000164</v>
      </c>
      <c r="C130" s="185"/>
      <c r="D130" s="186"/>
      <c r="E130" s="41"/>
      <c r="F130" s="186"/>
      <c r="G130" s="187"/>
      <c r="H130" s="187"/>
      <c r="I130" s="85"/>
    </row>
    <row r="131" spans="1:10" ht="15.75" thickTop="1" x14ac:dyDescent="0.25"/>
  </sheetData>
  <mergeCells count="38">
    <mergeCell ref="A37:A39"/>
    <mergeCell ref="B37:B39"/>
    <mergeCell ref="B32:B33"/>
    <mergeCell ref="A32:A33"/>
    <mergeCell ref="B34:B35"/>
    <mergeCell ref="A34:A35"/>
    <mergeCell ref="A19:A20"/>
    <mergeCell ref="B19:B20"/>
    <mergeCell ref="B21:B23"/>
    <mergeCell ref="A21:A23"/>
    <mergeCell ref="B124:I124"/>
    <mergeCell ref="A47:A48"/>
    <mergeCell ref="B47:B48"/>
    <mergeCell ref="B53:B54"/>
    <mergeCell ref="A53:A54"/>
    <mergeCell ref="C122:I122"/>
    <mergeCell ref="C117:I117"/>
    <mergeCell ref="C118:I118"/>
    <mergeCell ref="C119:I119"/>
    <mergeCell ref="C120:I120"/>
    <mergeCell ref="C121:I121"/>
    <mergeCell ref="C123:I123"/>
    <mergeCell ref="C116:I116"/>
    <mergeCell ref="A1:J1"/>
    <mergeCell ref="A91:B91"/>
    <mergeCell ref="A105:B105"/>
    <mergeCell ref="A107:J107"/>
    <mergeCell ref="C109:I109"/>
    <mergeCell ref="C110:I110"/>
    <mergeCell ref="B30:B31"/>
    <mergeCell ref="A30:A31"/>
    <mergeCell ref="B12:B13"/>
    <mergeCell ref="A12:A13"/>
    <mergeCell ref="C111:I111"/>
    <mergeCell ref="C112:I112"/>
    <mergeCell ref="C113:I113"/>
    <mergeCell ref="C114:I114"/>
    <mergeCell ref="C115:I115"/>
  </mergeCells>
  <phoneticPr fontId="15" type="noConversion"/>
  <pageMargins left="0.17" right="0.17" top="1.42" bottom="0.17" header="0.17" footer="0.17"/>
  <pageSetup paperSize="9" scale="21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62E4-2544-4366-8007-94AD6B0E53A4}">
  <sheetPr>
    <pageSetUpPr fitToPage="1"/>
  </sheetPr>
  <dimension ref="A1:M88"/>
  <sheetViews>
    <sheetView workbookViewId="0">
      <selection activeCell="K74" sqref="K74"/>
    </sheetView>
  </sheetViews>
  <sheetFormatPr baseColWidth="10" defaultRowHeight="15" x14ac:dyDescent="0.25"/>
  <cols>
    <col min="1" max="1" width="34.7109375" bestFit="1" customWidth="1"/>
    <col min="2" max="2" width="15.42578125" bestFit="1" customWidth="1"/>
    <col min="6" max="6" width="13" bestFit="1" customWidth="1"/>
    <col min="10" max="10" width="14" bestFit="1" customWidth="1"/>
  </cols>
  <sheetData>
    <row r="1" spans="1:10" ht="21" x14ac:dyDescent="0.35">
      <c r="A1" s="491" t="s">
        <v>454</v>
      </c>
      <c r="B1" s="491"/>
      <c r="C1" s="491"/>
      <c r="D1" s="491"/>
      <c r="E1" s="491"/>
      <c r="F1" s="491"/>
      <c r="G1" s="491"/>
      <c r="H1" s="491"/>
      <c r="I1" s="491"/>
      <c r="J1" s="491"/>
    </row>
    <row r="2" spans="1:10" ht="15.75" thickBot="1" x14ac:dyDescent="0.3">
      <c r="A2" s="83"/>
      <c r="B2" s="84"/>
      <c r="C2" s="84"/>
      <c r="J2" s="85"/>
    </row>
    <row r="3" spans="1:10" ht="1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87" t="s">
        <v>4</v>
      </c>
    </row>
    <row r="4" spans="1:10" ht="15.75" thickBot="1" x14ac:dyDescent="0.3">
      <c r="A4" s="88" t="s">
        <v>78</v>
      </c>
      <c r="B4" s="88" t="s">
        <v>457</v>
      </c>
      <c r="C4" s="89">
        <v>46113</v>
      </c>
      <c r="D4" s="90"/>
      <c r="E4" s="90"/>
      <c r="F4" s="90"/>
      <c r="G4" s="90"/>
      <c r="H4" s="90"/>
      <c r="I4" s="90">
        <v>10</v>
      </c>
      <c r="J4" s="87">
        <f>SUM(D4:I4)</f>
        <v>10</v>
      </c>
    </row>
    <row r="5" spans="1:10" ht="15.75" thickBot="1" x14ac:dyDescent="0.3">
      <c r="A5" s="88"/>
      <c r="B5" s="88"/>
      <c r="C5" s="89"/>
      <c r="D5" s="90"/>
      <c r="E5" s="90"/>
      <c r="F5" s="90"/>
      <c r="G5" s="90"/>
      <c r="H5" s="90"/>
      <c r="I5" s="90"/>
      <c r="J5" s="87">
        <f t="shared" ref="J5:J16" si="0">SUM(D5:I5)</f>
        <v>0</v>
      </c>
    </row>
    <row r="6" spans="1:10" ht="15.75" thickBot="1" x14ac:dyDescent="0.3">
      <c r="A6" s="88" t="s">
        <v>203</v>
      </c>
      <c r="B6" s="88" t="s">
        <v>456</v>
      </c>
      <c r="C6" s="89">
        <v>46054</v>
      </c>
      <c r="D6" s="90"/>
      <c r="E6" s="90"/>
      <c r="F6" s="90">
        <v>300</v>
      </c>
      <c r="G6" s="90"/>
      <c r="H6" s="90"/>
      <c r="I6" s="90"/>
      <c r="J6" s="87">
        <f t="shared" si="0"/>
        <v>300</v>
      </c>
    </row>
    <row r="7" spans="1:10" ht="15.75" thickBot="1" x14ac:dyDescent="0.3">
      <c r="A7" s="88" t="s">
        <v>458</v>
      </c>
      <c r="B7" s="93" t="s">
        <v>459</v>
      </c>
      <c r="C7" s="89">
        <v>46082</v>
      </c>
      <c r="D7" s="90"/>
      <c r="E7" s="90"/>
      <c r="F7" s="90">
        <v>500</v>
      </c>
      <c r="G7" s="90"/>
      <c r="H7" s="90"/>
      <c r="I7" s="90"/>
      <c r="J7" s="87">
        <f t="shared" si="0"/>
        <v>500</v>
      </c>
    </row>
    <row r="8" spans="1:10" ht="15.75" thickBot="1" x14ac:dyDescent="0.3">
      <c r="A8" s="88" t="s">
        <v>460</v>
      </c>
      <c r="B8" s="88" t="s">
        <v>461</v>
      </c>
      <c r="C8" s="89">
        <v>46082</v>
      </c>
      <c r="D8" s="90"/>
      <c r="E8" s="90"/>
      <c r="F8" s="90">
        <v>1200</v>
      </c>
      <c r="G8" s="90"/>
      <c r="H8" s="90"/>
      <c r="I8" s="90"/>
      <c r="J8" s="87">
        <f t="shared" si="0"/>
        <v>1200</v>
      </c>
    </row>
    <row r="9" spans="1:10" ht="15.75" thickBot="1" x14ac:dyDescent="0.3">
      <c r="A9" s="88" t="s">
        <v>475</v>
      </c>
      <c r="B9" s="88" t="s">
        <v>477</v>
      </c>
      <c r="C9" s="89">
        <v>46082</v>
      </c>
      <c r="D9" s="90" t="s">
        <v>179</v>
      </c>
      <c r="E9" s="90"/>
      <c r="F9" s="90">
        <v>700</v>
      </c>
      <c r="G9" s="90"/>
      <c r="H9" s="90"/>
      <c r="I9" s="90"/>
      <c r="J9" s="87">
        <f t="shared" si="0"/>
        <v>700</v>
      </c>
    </row>
    <row r="10" spans="1:10" ht="15.75" thickBot="1" x14ac:dyDescent="0.3">
      <c r="A10" s="88" t="s">
        <v>38</v>
      </c>
      <c r="B10" s="88" t="s">
        <v>483</v>
      </c>
      <c r="C10" s="89">
        <v>46113</v>
      </c>
      <c r="D10" s="90"/>
      <c r="E10" s="90"/>
      <c r="F10" s="90"/>
      <c r="G10" s="90"/>
      <c r="H10" s="90">
        <v>68</v>
      </c>
      <c r="I10" s="90"/>
      <c r="J10" s="87">
        <f t="shared" si="0"/>
        <v>68</v>
      </c>
    </row>
    <row r="11" spans="1:10" ht="15.75" thickBot="1" x14ac:dyDescent="0.3">
      <c r="A11" s="317"/>
      <c r="B11" s="88"/>
      <c r="C11" s="89"/>
      <c r="D11" s="90"/>
      <c r="E11" s="90"/>
      <c r="F11" s="90"/>
      <c r="G11" s="90"/>
      <c r="H11" s="90"/>
      <c r="I11" s="90"/>
      <c r="J11" s="87">
        <f t="shared" si="0"/>
        <v>0</v>
      </c>
    </row>
    <row r="12" spans="1:10" ht="15.75" thickBot="1" x14ac:dyDescent="0.3">
      <c r="A12" s="317"/>
      <c r="B12" s="315"/>
      <c r="C12" s="89"/>
      <c r="D12" s="90"/>
      <c r="E12" s="90"/>
      <c r="F12" s="90"/>
      <c r="G12" s="90"/>
      <c r="H12" s="90"/>
      <c r="I12" s="93"/>
      <c r="J12" s="94">
        <f t="shared" si="0"/>
        <v>0</v>
      </c>
    </row>
    <row r="13" spans="1:10" ht="15.75" thickBot="1" x14ac:dyDescent="0.3">
      <c r="A13" s="88"/>
      <c r="B13" s="88"/>
      <c r="C13" s="89"/>
      <c r="D13" s="90"/>
      <c r="E13" s="90"/>
      <c r="F13" s="90"/>
      <c r="G13" s="90"/>
      <c r="H13" s="90"/>
      <c r="I13" s="90"/>
      <c r="J13" s="87">
        <f t="shared" si="0"/>
        <v>0</v>
      </c>
    </row>
    <row r="14" spans="1:10" ht="15.75" thickBot="1" x14ac:dyDescent="0.3">
      <c r="A14" s="95"/>
      <c r="B14" s="316"/>
      <c r="C14" s="89"/>
      <c r="D14" s="90"/>
      <c r="E14" s="90"/>
      <c r="F14" s="90"/>
      <c r="G14" s="90"/>
      <c r="H14" s="90"/>
      <c r="I14" s="90"/>
      <c r="J14" s="87">
        <f t="shared" si="0"/>
        <v>0</v>
      </c>
    </row>
    <row r="15" spans="1:10" ht="15.75" thickBot="1" x14ac:dyDescent="0.3">
      <c r="A15" s="97"/>
      <c r="B15" s="95"/>
      <c r="C15" s="89"/>
      <c r="D15" s="90"/>
      <c r="E15" s="90"/>
      <c r="F15" s="90"/>
      <c r="G15" s="90"/>
      <c r="H15" s="90"/>
      <c r="I15" s="90"/>
      <c r="J15" s="87">
        <f t="shared" si="0"/>
        <v>0</v>
      </c>
    </row>
    <row r="16" spans="1:10" ht="15.75" thickBot="1" x14ac:dyDescent="0.3">
      <c r="A16" s="313"/>
      <c r="B16" s="319"/>
      <c r="C16" s="103"/>
      <c r="D16" s="104"/>
      <c r="E16" s="104"/>
      <c r="F16" s="104"/>
      <c r="G16" s="104"/>
      <c r="H16" s="104"/>
      <c r="I16" s="104"/>
      <c r="J16" s="87">
        <f t="shared" si="0"/>
        <v>0</v>
      </c>
    </row>
    <row r="17" spans="1:13" ht="19.5" thickBot="1" x14ac:dyDescent="0.35">
      <c r="A17" s="105" t="s">
        <v>4</v>
      </c>
      <c r="B17" s="86"/>
      <c r="C17" s="106"/>
      <c r="D17" s="107">
        <f>SUM(D4:D16)</f>
        <v>0</v>
      </c>
      <c r="E17" s="107">
        <f>SUM(E4:E16)</f>
        <v>0</v>
      </c>
      <c r="F17" s="107">
        <f>SUM(F4:F16)</f>
        <v>2700</v>
      </c>
      <c r="G17" s="107"/>
      <c r="H17" s="107">
        <f>SUM(H4:H16)</f>
        <v>68</v>
      </c>
      <c r="I17" s="107">
        <f>SUM(I4:I16)</f>
        <v>10</v>
      </c>
      <c r="J17" s="108">
        <f>SUM(J4:J16)</f>
        <v>2778</v>
      </c>
    </row>
    <row r="18" spans="1:13" ht="19.5" thickBot="1" x14ac:dyDescent="0.35">
      <c r="A18" s="2"/>
      <c r="B18" s="109"/>
      <c r="C18" s="110"/>
      <c r="D18" s="111"/>
      <c r="E18" s="111"/>
      <c r="F18" s="111"/>
      <c r="G18" s="111"/>
      <c r="H18" s="111"/>
      <c r="I18" s="111"/>
      <c r="J18" s="111"/>
    </row>
    <row r="19" spans="1:13" ht="24" thickBot="1" x14ac:dyDescent="0.4">
      <c r="A19" s="112" t="s">
        <v>40</v>
      </c>
      <c r="B19" s="109"/>
      <c r="C19" s="110"/>
      <c r="D19" s="111"/>
      <c r="E19" s="111"/>
      <c r="F19" s="111"/>
      <c r="G19" s="111"/>
      <c r="H19" s="111"/>
      <c r="I19" s="111"/>
      <c r="J19" s="111"/>
    </row>
    <row r="20" spans="1:13" ht="15.75" thickBot="1" x14ac:dyDescent="0.3">
      <c r="A20" s="113" t="s">
        <v>3</v>
      </c>
      <c r="B20" s="86" t="s">
        <v>32</v>
      </c>
      <c r="C20" s="114" t="s">
        <v>41</v>
      </c>
      <c r="D20" s="114" t="s">
        <v>34</v>
      </c>
      <c r="E20" s="114" t="s">
        <v>35</v>
      </c>
      <c r="F20" s="86" t="s">
        <v>36</v>
      </c>
      <c r="G20" s="86" t="s">
        <v>37</v>
      </c>
      <c r="H20" s="86" t="s">
        <v>42</v>
      </c>
      <c r="I20" s="86" t="s">
        <v>39</v>
      </c>
      <c r="J20" s="115" t="s">
        <v>4</v>
      </c>
    </row>
    <row r="21" spans="1:13" ht="15.75" thickBot="1" x14ac:dyDescent="0.3">
      <c r="A21" s="320" t="s">
        <v>462</v>
      </c>
      <c r="B21" s="103" t="s">
        <v>463</v>
      </c>
      <c r="C21" s="89">
        <v>46113</v>
      </c>
      <c r="D21" s="116"/>
      <c r="E21" s="117"/>
      <c r="F21" s="116"/>
      <c r="G21" s="116">
        <v>60</v>
      </c>
      <c r="H21" s="118"/>
      <c r="I21" s="118"/>
      <c r="J21" s="119">
        <f>SUM(D21:I21)</f>
        <v>60</v>
      </c>
    </row>
    <row r="22" spans="1:13" ht="15.75" thickBot="1" x14ac:dyDescent="0.3">
      <c r="A22" s="320" t="s">
        <v>292</v>
      </c>
      <c r="B22" s="103" t="s">
        <v>476</v>
      </c>
      <c r="C22" s="89">
        <v>46082</v>
      </c>
      <c r="D22" s="116"/>
      <c r="E22" s="116"/>
      <c r="F22" s="116"/>
      <c r="G22" s="116">
        <v>100</v>
      </c>
      <c r="H22" s="118"/>
      <c r="I22" s="118"/>
      <c r="J22" s="119">
        <f t="shared" ref="J22:J24" si="1">SUM(D22:I22)</f>
        <v>100</v>
      </c>
    </row>
    <row r="23" spans="1:13" ht="15.75" thickBot="1" x14ac:dyDescent="0.3">
      <c r="A23" s="320"/>
      <c r="B23" s="313"/>
      <c r="C23" s="89"/>
      <c r="D23" s="120"/>
      <c r="E23" s="120"/>
      <c r="F23" s="120"/>
      <c r="G23" s="120"/>
      <c r="H23" s="90"/>
      <c r="I23" s="90"/>
      <c r="J23" s="119">
        <f t="shared" si="1"/>
        <v>0</v>
      </c>
    </row>
    <row r="24" spans="1:13" ht="15.75" thickBot="1" x14ac:dyDescent="0.3">
      <c r="A24" s="86"/>
      <c r="B24" s="121"/>
      <c r="C24" s="89"/>
      <c r="D24" s="120"/>
      <c r="E24" s="120"/>
      <c r="F24" s="120"/>
      <c r="G24" s="120"/>
      <c r="H24" s="90"/>
      <c r="I24" s="90"/>
      <c r="J24" s="119">
        <f t="shared" si="1"/>
        <v>0</v>
      </c>
      <c r="L24" s="122" t="s">
        <v>43</v>
      </c>
      <c r="M24" s="123">
        <f>J25+J33</f>
        <v>550.20000000000005</v>
      </c>
    </row>
    <row r="25" spans="1:13" ht="15.75" thickBot="1" x14ac:dyDescent="0.3">
      <c r="A25" s="86" t="s">
        <v>4</v>
      </c>
      <c r="B25" s="124"/>
      <c r="C25" s="125"/>
      <c r="D25" s="126"/>
      <c r="E25" s="126"/>
      <c r="F25" s="126"/>
      <c r="G25" s="126"/>
      <c r="H25" s="126"/>
      <c r="I25" s="126"/>
      <c r="J25" s="94">
        <f>SUM(J21:J24)</f>
        <v>160</v>
      </c>
    </row>
    <row r="26" spans="1:13" ht="15.75" thickBot="1" x14ac:dyDescent="0.3">
      <c r="A26" s="109"/>
      <c r="B26" s="127"/>
      <c r="C26" s="128"/>
      <c r="D26" s="129"/>
      <c r="E26" s="129"/>
      <c r="F26" s="129"/>
      <c r="G26" s="129"/>
      <c r="H26" s="129"/>
      <c r="I26" s="129"/>
      <c r="J26" s="130"/>
    </row>
    <row r="27" spans="1:13" ht="24" thickBot="1" x14ac:dyDescent="0.4">
      <c r="A27" s="112" t="s">
        <v>40</v>
      </c>
      <c r="B27" s="109"/>
      <c r="C27" s="110"/>
      <c r="D27" s="111"/>
      <c r="E27" s="111"/>
      <c r="F27" s="111"/>
      <c r="G27" s="111"/>
      <c r="H27" s="111"/>
      <c r="I27" s="111"/>
      <c r="J27" s="111"/>
    </row>
    <row r="28" spans="1:13" ht="45.75" thickBot="1" x14ac:dyDescent="0.3">
      <c r="A28" s="131" t="s">
        <v>44</v>
      </c>
      <c r="B28" s="86" t="s">
        <v>45</v>
      </c>
      <c r="C28" s="114" t="s">
        <v>41</v>
      </c>
      <c r="D28" s="114" t="s">
        <v>34</v>
      </c>
      <c r="E28" s="114" t="s">
        <v>35</v>
      </c>
      <c r="F28" s="114" t="s">
        <v>46</v>
      </c>
      <c r="G28" s="114" t="s">
        <v>47</v>
      </c>
      <c r="H28" s="114" t="s">
        <v>42</v>
      </c>
      <c r="I28" s="132" t="s">
        <v>48</v>
      </c>
      <c r="J28" s="115" t="s">
        <v>4</v>
      </c>
    </row>
    <row r="29" spans="1:13" ht="15.75" thickBot="1" x14ac:dyDescent="0.3">
      <c r="A29" s="500" t="s">
        <v>467</v>
      </c>
      <c r="B29" s="500" t="s">
        <v>468</v>
      </c>
      <c r="C29" s="89">
        <v>46023</v>
      </c>
      <c r="D29" s="90"/>
      <c r="E29" s="90"/>
      <c r="F29" s="90"/>
      <c r="G29" s="90"/>
      <c r="H29" s="90">
        <v>97.2</v>
      </c>
      <c r="I29" s="90"/>
      <c r="J29" s="87">
        <f t="shared" ref="J29:J32" si="2">SUM(D29:I29)</f>
        <v>97.2</v>
      </c>
    </row>
    <row r="30" spans="1:13" ht="15.75" thickBot="1" x14ac:dyDescent="0.3">
      <c r="A30" s="501"/>
      <c r="B30" s="501"/>
      <c r="C30" s="89">
        <v>46054</v>
      </c>
      <c r="D30" s="116">
        <v>22</v>
      </c>
      <c r="E30" s="116">
        <v>10</v>
      </c>
      <c r="F30" s="116">
        <v>56</v>
      </c>
      <c r="G30" s="116">
        <v>5</v>
      </c>
      <c r="H30" s="118">
        <v>200</v>
      </c>
      <c r="I30" s="118"/>
      <c r="J30" s="119">
        <f t="shared" si="2"/>
        <v>293</v>
      </c>
    </row>
    <row r="31" spans="1:13" ht="15.75" thickBot="1" x14ac:dyDescent="0.3">
      <c r="A31" s="320"/>
      <c r="B31" s="313"/>
      <c r="C31" s="89"/>
      <c r="D31" s="120"/>
      <c r="E31" s="120"/>
      <c r="F31" s="120"/>
      <c r="G31" s="120"/>
      <c r="H31" s="90"/>
      <c r="I31" s="90"/>
      <c r="J31" s="119">
        <f t="shared" si="2"/>
        <v>0</v>
      </c>
    </row>
    <row r="32" spans="1:13" ht="15.75" thickBot="1" x14ac:dyDescent="0.3">
      <c r="A32" s="86"/>
      <c r="B32" s="121"/>
      <c r="C32" s="89"/>
      <c r="D32" s="120"/>
      <c r="E32" s="120"/>
      <c r="F32" s="120"/>
      <c r="G32" s="120"/>
      <c r="H32" s="90"/>
      <c r="I32" s="90"/>
      <c r="J32" s="119">
        <f t="shared" si="2"/>
        <v>0</v>
      </c>
      <c r="L32" s="134"/>
      <c r="M32" s="135"/>
    </row>
    <row r="33" spans="1:10" ht="15.75" thickBot="1" x14ac:dyDescent="0.3">
      <c r="A33" s="86" t="s">
        <v>4</v>
      </c>
      <c r="B33" s="124"/>
      <c r="C33" s="125"/>
      <c r="D33" s="126"/>
      <c r="E33" s="126"/>
      <c r="F33" s="126"/>
      <c r="G33" s="126"/>
      <c r="H33" s="126"/>
      <c r="I33" s="126"/>
      <c r="J33" s="94">
        <f>SUM(J29:J32)</f>
        <v>390.2</v>
      </c>
    </row>
    <row r="34" spans="1:10" x14ac:dyDescent="0.25">
      <c r="A34" s="109"/>
      <c r="B34" s="127"/>
      <c r="C34" s="128"/>
      <c r="D34" s="129"/>
      <c r="E34" s="129"/>
      <c r="F34" s="129"/>
      <c r="G34" s="129"/>
      <c r="H34" s="129"/>
      <c r="I34" s="129"/>
      <c r="J34" s="130"/>
    </row>
    <row r="35" spans="1:10" x14ac:dyDescent="0.25">
      <c r="A35" s="109"/>
      <c r="B35" s="127"/>
      <c r="C35" s="128"/>
      <c r="D35" s="129"/>
      <c r="E35" s="129"/>
      <c r="F35" s="129"/>
      <c r="G35" s="129"/>
      <c r="H35" s="129"/>
      <c r="I35" s="129"/>
      <c r="J35" s="130"/>
    </row>
    <row r="36" spans="1:10" ht="15.75" thickBot="1" x14ac:dyDescent="0.3">
      <c r="A36" s="84"/>
      <c r="B36" s="84"/>
      <c r="C36" s="84"/>
      <c r="J36" s="85"/>
    </row>
    <row r="37" spans="1:10" ht="45.75" thickBot="1" x14ac:dyDescent="0.3">
      <c r="A37" s="114" t="s">
        <v>49</v>
      </c>
      <c r="B37" s="86" t="s">
        <v>45</v>
      </c>
      <c r="C37" s="114" t="s">
        <v>41</v>
      </c>
      <c r="D37" s="114" t="s">
        <v>34</v>
      </c>
      <c r="E37" s="114" t="s">
        <v>35</v>
      </c>
      <c r="F37" s="114" t="s">
        <v>46</v>
      </c>
      <c r="G37" s="114" t="s">
        <v>47</v>
      </c>
      <c r="H37" s="86" t="s">
        <v>48</v>
      </c>
      <c r="I37" s="132" t="s">
        <v>42</v>
      </c>
      <c r="J37" s="115" t="s">
        <v>4</v>
      </c>
    </row>
    <row r="38" spans="1:10" ht="15.75" thickBot="1" x14ac:dyDescent="0.3">
      <c r="A38" s="121" t="s">
        <v>471</v>
      </c>
      <c r="B38" s="103" t="s">
        <v>472</v>
      </c>
      <c r="C38" s="103">
        <v>46082</v>
      </c>
      <c r="D38" s="118"/>
      <c r="E38" s="136"/>
      <c r="F38" s="118">
        <v>60</v>
      </c>
      <c r="G38" s="118">
        <v>5</v>
      </c>
      <c r="H38" s="118"/>
      <c r="I38" s="118"/>
      <c r="J38" s="119">
        <f>SUM(D38:I38)</f>
        <v>65</v>
      </c>
    </row>
    <row r="39" spans="1:10" ht="15.75" thickBot="1" x14ac:dyDescent="0.3">
      <c r="A39" s="121" t="s">
        <v>473</v>
      </c>
      <c r="B39" s="103" t="s">
        <v>474</v>
      </c>
      <c r="C39" s="103">
        <v>46082</v>
      </c>
      <c r="D39" s="118"/>
      <c r="E39" s="118"/>
      <c r="F39" s="118">
        <v>20</v>
      </c>
      <c r="G39" s="118">
        <v>5</v>
      </c>
      <c r="H39" s="118"/>
      <c r="I39" s="118"/>
      <c r="J39" s="119">
        <f t="shared" ref="J39:J48" si="3">SUM(D39:I39)</f>
        <v>25</v>
      </c>
    </row>
    <row r="40" spans="1:10" ht="15.75" thickBot="1" x14ac:dyDescent="0.3">
      <c r="A40" s="313"/>
      <c r="B40" s="103"/>
      <c r="C40" s="103"/>
      <c r="D40" s="118"/>
      <c r="E40" s="118"/>
      <c r="F40" s="118"/>
      <c r="G40" s="118"/>
      <c r="H40" s="118"/>
      <c r="I40" s="118"/>
      <c r="J40" s="119">
        <f t="shared" si="3"/>
        <v>0</v>
      </c>
    </row>
    <row r="41" spans="1:10" ht="15.75" thickBot="1" x14ac:dyDescent="0.3">
      <c r="A41" s="121"/>
      <c r="B41" s="103"/>
      <c r="C41" s="103"/>
      <c r="D41" s="118"/>
      <c r="E41" s="118"/>
      <c r="F41" s="118"/>
      <c r="G41" s="118"/>
      <c r="H41" s="118"/>
      <c r="I41" s="118"/>
      <c r="J41" s="119">
        <f t="shared" si="3"/>
        <v>0</v>
      </c>
    </row>
    <row r="42" spans="1:10" ht="15.75" thickBot="1" x14ac:dyDescent="0.3">
      <c r="A42" s="121"/>
      <c r="B42" s="103"/>
      <c r="C42" s="103"/>
      <c r="D42" s="118"/>
      <c r="E42" s="118"/>
      <c r="F42" s="118"/>
      <c r="G42" s="118"/>
      <c r="H42" s="118"/>
      <c r="I42" s="118"/>
      <c r="J42" s="119">
        <f t="shared" si="3"/>
        <v>0</v>
      </c>
    </row>
    <row r="43" spans="1:10" ht="15.75" thickBot="1" x14ac:dyDescent="0.3">
      <c r="A43" s="313"/>
      <c r="B43" s="103"/>
      <c r="C43" s="103"/>
      <c r="D43" s="118"/>
      <c r="E43" s="118"/>
      <c r="F43" s="118"/>
      <c r="G43" s="118"/>
      <c r="H43" s="118"/>
      <c r="I43" s="118"/>
      <c r="J43" s="119">
        <f t="shared" si="3"/>
        <v>0</v>
      </c>
    </row>
    <row r="44" spans="1:10" ht="15.75" thickBot="1" x14ac:dyDescent="0.3">
      <c r="A44" s="313"/>
      <c r="B44" s="103"/>
      <c r="C44" s="103"/>
      <c r="D44" s="118"/>
      <c r="E44" s="118"/>
      <c r="F44" s="118"/>
      <c r="G44" s="118"/>
      <c r="H44" s="118"/>
      <c r="I44" s="118"/>
      <c r="J44" s="119">
        <f t="shared" si="3"/>
        <v>0</v>
      </c>
    </row>
    <row r="45" spans="1:10" ht="15.75" thickBot="1" x14ac:dyDescent="0.3">
      <c r="A45" s="137"/>
      <c r="B45" s="103"/>
      <c r="C45" s="103"/>
      <c r="D45" s="118"/>
      <c r="E45" s="118"/>
      <c r="F45" s="118"/>
      <c r="G45" s="118"/>
      <c r="H45" s="118"/>
      <c r="I45" s="118"/>
      <c r="J45" s="119">
        <f t="shared" si="3"/>
        <v>0</v>
      </c>
    </row>
    <row r="46" spans="1:10" ht="15.75" thickBot="1" x14ac:dyDescent="0.3">
      <c r="A46" s="121"/>
      <c r="B46" s="103"/>
      <c r="C46" s="103"/>
      <c r="D46" s="118"/>
      <c r="F46" s="118"/>
      <c r="G46" s="118"/>
      <c r="H46" s="118"/>
      <c r="I46" s="118"/>
      <c r="J46" s="119">
        <f t="shared" si="3"/>
        <v>0</v>
      </c>
    </row>
    <row r="47" spans="1:10" ht="15.75" thickBot="1" x14ac:dyDescent="0.3">
      <c r="A47" s="121"/>
      <c r="B47" s="103"/>
      <c r="C47" s="103"/>
      <c r="D47" s="118"/>
      <c r="E47" s="118"/>
      <c r="F47" s="118"/>
      <c r="G47" s="118"/>
      <c r="H47" s="118"/>
      <c r="I47" s="118"/>
      <c r="J47" s="119">
        <f t="shared" si="3"/>
        <v>0</v>
      </c>
    </row>
    <row r="48" spans="1:10" ht="15.75" thickBot="1" x14ac:dyDescent="0.3">
      <c r="A48" s="121"/>
      <c r="B48" s="103"/>
      <c r="C48" s="103"/>
      <c r="D48" s="138"/>
      <c r="E48" s="138"/>
      <c r="F48" s="138"/>
      <c r="G48" s="138"/>
      <c r="H48" s="138"/>
      <c r="I48" s="138"/>
      <c r="J48" s="119">
        <f t="shared" si="3"/>
        <v>0</v>
      </c>
    </row>
    <row r="49" spans="1:10" ht="19.5" thickBot="1" x14ac:dyDescent="0.35">
      <c r="A49" s="105" t="s">
        <v>4</v>
      </c>
      <c r="B49" s="86"/>
      <c r="C49" s="106"/>
      <c r="D49" s="107">
        <f t="shared" ref="D49:J49" si="4">SUM(D38:D48)</f>
        <v>0</v>
      </c>
      <c r="E49" s="107">
        <f t="shared" si="4"/>
        <v>0</v>
      </c>
      <c r="F49" s="107">
        <f t="shared" si="4"/>
        <v>80</v>
      </c>
      <c r="G49" s="107">
        <f t="shared" si="4"/>
        <v>10</v>
      </c>
      <c r="H49" s="107">
        <f t="shared" si="4"/>
        <v>0</v>
      </c>
      <c r="I49" s="107">
        <f t="shared" si="4"/>
        <v>0</v>
      </c>
      <c r="J49" s="107">
        <f t="shared" si="4"/>
        <v>90</v>
      </c>
    </row>
    <row r="50" spans="1:10" ht="15.75" x14ac:dyDescent="0.25">
      <c r="A50" s="139"/>
      <c r="B50" s="139"/>
      <c r="C50" s="140"/>
      <c r="D50" s="141"/>
      <c r="E50" s="141"/>
      <c r="F50" s="141"/>
      <c r="G50" s="141"/>
      <c r="H50" s="141"/>
      <c r="I50" s="141"/>
      <c r="J50" s="141"/>
    </row>
    <row r="51" spans="1:10" ht="16.5" thickBot="1" x14ac:dyDescent="0.3">
      <c r="A51" s="139"/>
      <c r="B51" s="139"/>
      <c r="C51" s="140"/>
      <c r="D51" s="141"/>
      <c r="E51" s="141"/>
      <c r="F51" s="141"/>
      <c r="G51" s="141"/>
      <c r="H51" s="141"/>
      <c r="I51" s="141"/>
      <c r="J51" s="141"/>
    </row>
    <row r="52" spans="1:10" ht="19.5" thickBot="1" x14ac:dyDescent="0.35">
      <c r="A52" s="492" t="s">
        <v>50</v>
      </c>
      <c r="B52" s="493"/>
      <c r="C52" s="142"/>
      <c r="D52" s="143"/>
      <c r="E52" s="143"/>
      <c r="F52" s="143"/>
      <c r="G52" s="143"/>
      <c r="H52" s="143"/>
      <c r="I52" s="143"/>
      <c r="J52" s="108">
        <f>+J17+J49</f>
        <v>2868</v>
      </c>
    </row>
    <row r="53" spans="1:10" x14ac:dyDescent="0.25">
      <c r="A53" s="84"/>
      <c r="B53" s="84"/>
      <c r="C53" s="144"/>
      <c r="D53" s="85"/>
      <c r="E53" s="85"/>
      <c r="F53" s="85"/>
      <c r="G53" s="85"/>
      <c r="H53" s="85"/>
      <c r="I53" s="85"/>
      <c r="J53" s="85"/>
    </row>
    <row r="54" spans="1:10" x14ac:dyDescent="0.25">
      <c r="A54" s="84"/>
      <c r="B54" s="84"/>
      <c r="C54" s="144"/>
      <c r="D54" s="85"/>
      <c r="E54" s="85"/>
      <c r="F54" s="85"/>
      <c r="G54" s="85"/>
      <c r="H54" s="85"/>
      <c r="I54" s="85"/>
      <c r="J54" s="85"/>
    </row>
    <row r="55" spans="1:10" ht="16.5" thickBot="1" x14ac:dyDescent="0.3">
      <c r="A55" s="145" t="s">
        <v>51</v>
      </c>
      <c r="B55" s="84"/>
      <c r="C55" s="144"/>
      <c r="D55" s="85"/>
      <c r="E55" s="85"/>
      <c r="F55" s="85"/>
      <c r="G55" s="85"/>
      <c r="H55" s="85"/>
      <c r="I55" s="85"/>
      <c r="J55" s="85"/>
    </row>
    <row r="56" spans="1:10" ht="19.5" thickBot="1" x14ac:dyDescent="0.35">
      <c r="A56" s="146" t="s">
        <v>52</v>
      </c>
      <c r="B56" s="147"/>
      <c r="C56" s="148"/>
      <c r="D56" s="149"/>
      <c r="E56" s="149"/>
      <c r="F56" s="149"/>
      <c r="G56" s="149"/>
      <c r="H56" s="149"/>
      <c r="I56" s="149"/>
      <c r="J56" s="108"/>
    </row>
    <row r="57" spans="1:10" ht="19.5" thickBot="1" x14ac:dyDescent="0.35">
      <c r="A57" s="146" t="s">
        <v>53</v>
      </c>
      <c r="B57" s="147"/>
      <c r="C57" s="150"/>
      <c r="D57" s="149"/>
      <c r="E57" s="149"/>
      <c r="F57" s="149"/>
      <c r="G57" s="149"/>
      <c r="H57" s="149"/>
      <c r="I57" s="149"/>
      <c r="J57" s="108"/>
    </row>
    <row r="58" spans="1:10" ht="18.75" x14ac:dyDescent="0.3">
      <c r="A58" s="151"/>
      <c r="B58" s="151"/>
      <c r="C58" s="152"/>
      <c r="D58" s="153"/>
      <c r="E58" s="153"/>
      <c r="F58" s="153"/>
      <c r="G58" s="153"/>
      <c r="H58" s="153"/>
      <c r="I58" s="153"/>
      <c r="J58" s="111"/>
    </row>
    <row r="59" spans="1:10" ht="18.75" x14ac:dyDescent="0.3">
      <c r="A59" s="151"/>
      <c r="B59" s="151"/>
      <c r="C59" s="152"/>
      <c r="D59" s="153"/>
      <c r="E59" s="153"/>
      <c r="F59" s="153"/>
      <c r="G59" s="153"/>
      <c r="H59" s="153"/>
      <c r="I59" s="153"/>
      <c r="J59" s="111"/>
    </row>
    <row r="60" spans="1:10" ht="16.5" thickBot="1" x14ac:dyDescent="0.3">
      <c r="A60" s="154" t="s">
        <v>54</v>
      </c>
      <c r="B60" s="155"/>
      <c r="C60" s="144"/>
      <c r="D60" s="85"/>
      <c r="E60" s="85"/>
      <c r="F60" s="85"/>
      <c r="G60" s="85"/>
      <c r="H60" s="85"/>
      <c r="I60" s="85"/>
      <c r="J60" s="85"/>
    </row>
    <row r="61" spans="1:10" ht="19.5" thickBot="1" x14ac:dyDescent="0.35">
      <c r="A61" s="156" t="s">
        <v>55</v>
      </c>
      <c r="B61" s="157"/>
      <c r="C61" s="158"/>
      <c r="D61" s="159"/>
      <c r="E61" s="159"/>
      <c r="F61" s="159"/>
      <c r="G61" s="159"/>
      <c r="H61" s="159"/>
      <c r="I61" s="159"/>
      <c r="J61" s="160">
        <v>486</v>
      </c>
    </row>
    <row r="62" spans="1:10" x14ac:dyDescent="0.25">
      <c r="A62" s="161"/>
      <c r="B62" s="84"/>
      <c r="C62" s="144"/>
      <c r="D62" s="85"/>
      <c r="E62" s="85"/>
      <c r="F62" s="85"/>
      <c r="G62" s="85"/>
      <c r="H62" s="85"/>
      <c r="I62" s="85"/>
      <c r="J62" s="85"/>
    </row>
    <row r="63" spans="1:10" ht="16.5" thickBot="1" x14ac:dyDescent="0.3">
      <c r="A63" s="154"/>
      <c r="B63" s="155"/>
      <c r="C63" s="144"/>
      <c r="D63" s="85"/>
      <c r="E63" s="85"/>
      <c r="F63" s="85"/>
      <c r="G63" s="85"/>
      <c r="H63" s="85"/>
      <c r="I63" s="85"/>
      <c r="J63" s="85"/>
    </row>
    <row r="64" spans="1:10" ht="19.5" thickBot="1" x14ac:dyDescent="0.35">
      <c r="A64" s="156" t="s">
        <v>56</v>
      </c>
      <c r="B64" s="157"/>
      <c r="C64" s="162"/>
      <c r="D64" s="159"/>
      <c r="E64" s="159"/>
      <c r="F64" s="159"/>
      <c r="G64" s="159"/>
      <c r="H64" s="159"/>
      <c r="I64" s="159"/>
      <c r="J64" s="163"/>
    </row>
    <row r="65" spans="1:10" ht="15.75" thickBot="1" x14ac:dyDescent="0.3">
      <c r="A65" s="161"/>
      <c r="B65" s="84"/>
      <c r="C65" s="144"/>
      <c r="D65" s="85"/>
      <c r="E65" s="85"/>
      <c r="F65" s="85"/>
      <c r="G65" s="85"/>
      <c r="H65" s="85"/>
      <c r="I65" s="85"/>
      <c r="J65" s="85"/>
    </row>
    <row r="66" spans="1:10" ht="21.75" thickBot="1" x14ac:dyDescent="0.4">
      <c r="A66" s="494" t="s">
        <v>57</v>
      </c>
      <c r="B66" s="495"/>
      <c r="C66" s="164"/>
      <c r="D66" s="165"/>
      <c r="E66" s="165"/>
      <c r="F66" s="165"/>
      <c r="G66" s="165"/>
      <c r="H66" s="165"/>
      <c r="I66" s="165"/>
      <c r="J66" s="166">
        <f>SUM(J52:J65)</f>
        <v>3354</v>
      </c>
    </row>
    <row r="67" spans="1:10" x14ac:dyDescent="0.25">
      <c r="A67" s="84"/>
      <c r="B67" s="84"/>
      <c r="C67" s="144"/>
      <c r="D67" s="85"/>
      <c r="E67" s="85"/>
      <c r="F67" s="85"/>
      <c r="G67" s="85"/>
      <c r="H67" s="85"/>
      <c r="I67" s="85"/>
      <c r="J67" s="85"/>
    </row>
    <row r="68" spans="1:10" ht="21" x14ac:dyDescent="0.35">
      <c r="A68" s="491" t="s">
        <v>455</v>
      </c>
      <c r="B68" s="491"/>
      <c r="C68" s="491"/>
      <c r="D68" s="491"/>
      <c r="E68" s="491"/>
      <c r="F68" s="491"/>
      <c r="G68" s="491"/>
      <c r="H68" s="491"/>
      <c r="I68" s="491"/>
      <c r="J68" s="491"/>
    </row>
    <row r="69" spans="1:10" ht="21.75" thickBot="1" x14ac:dyDescent="0.4">
      <c r="A69" s="314" t="s">
        <v>10</v>
      </c>
      <c r="B69" s="314"/>
      <c r="C69" s="314"/>
      <c r="D69" s="314"/>
      <c r="E69" s="314"/>
      <c r="F69" s="314"/>
      <c r="G69" s="314"/>
      <c r="H69" s="314"/>
      <c r="I69" s="314"/>
      <c r="J69" s="168"/>
    </row>
    <row r="70" spans="1:10" ht="15.75" thickBot="1" x14ac:dyDescent="0.3">
      <c r="A70" s="169" t="s">
        <v>58</v>
      </c>
      <c r="B70" s="170" t="s">
        <v>59</v>
      </c>
      <c r="C70" s="496" t="s">
        <v>33</v>
      </c>
      <c r="D70" s="497"/>
      <c r="E70" s="497"/>
      <c r="F70" s="497"/>
      <c r="G70" s="497"/>
      <c r="H70" s="497"/>
      <c r="I70" s="498"/>
      <c r="J70" s="171" t="s">
        <v>4</v>
      </c>
    </row>
    <row r="71" spans="1:10" ht="15.75" thickBot="1" x14ac:dyDescent="0.3">
      <c r="A71" s="172" t="s">
        <v>478</v>
      </c>
      <c r="B71" s="173" t="s">
        <v>479</v>
      </c>
      <c r="C71" s="488" t="s">
        <v>480</v>
      </c>
      <c r="D71" s="489"/>
      <c r="E71" s="489"/>
      <c r="F71" s="489"/>
      <c r="G71" s="489"/>
      <c r="H71" s="489"/>
      <c r="I71" s="489"/>
      <c r="J71" s="104">
        <v>15</v>
      </c>
    </row>
    <row r="72" spans="1:10" ht="15.75" thickBot="1" x14ac:dyDescent="0.3">
      <c r="A72" s="121" t="s">
        <v>464</v>
      </c>
      <c r="B72" s="173" t="s">
        <v>465</v>
      </c>
      <c r="C72" s="488" t="s">
        <v>466</v>
      </c>
      <c r="D72" s="489"/>
      <c r="E72" s="489"/>
      <c r="F72" s="489"/>
      <c r="G72" s="489"/>
      <c r="H72" s="490"/>
      <c r="I72" s="490"/>
      <c r="J72" s="104">
        <v>11.9</v>
      </c>
    </row>
    <row r="73" spans="1:10" ht="30.75" thickBot="1" x14ac:dyDescent="0.3">
      <c r="A73" s="121" t="s">
        <v>469</v>
      </c>
      <c r="B73" s="173">
        <v>7765832788</v>
      </c>
      <c r="C73" s="504" t="s">
        <v>470</v>
      </c>
      <c r="D73" s="505"/>
      <c r="E73" s="505"/>
      <c r="F73" s="505"/>
      <c r="G73" s="505"/>
      <c r="H73" s="505"/>
      <c r="I73" s="505"/>
      <c r="J73" s="174">
        <v>113</v>
      </c>
    </row>
    <row r="74" spans="1:10" ht="15.75" thickBot="1" x14ac:dyDescent="0.3">
      <c r="A74" s="121" t="s">
        <v>481</v>
      </c>
      <c r="B74" s="173">
        <v>887</v>
      </c>
      <c r="C74" s="488" t="s">
        <v>482</v>
      </c>
      <c r="D74" s="489"/>
      <c r="E74" s="489"/>
      <c r="F74" s="489"/>
      <c r="G74" s="489"/>
      <c r="H74" s="490"/>
      <c r="I74" s="490"/>
      <c r="J74" s="104">
        <v>11</v>
      </c>
    </row>
    <row r="75" spans="1:10" ht="15.75" thickBot="1" x14ac:dyDescent="0.3">
      <c r="A75" s="121"/>
      <c r="B75" s="173"/>
      <c r="C75" s="488"/>
      <c r="D75" s="489"/>
      <c r="E75" s="489"/>
      <c r="F75" s="489"/>
      <c r="G75" s="489"/>
      <c r="H75" s="490"/>
      <c r="I75" s="490"/>
      <c r="J75" s="104"/>
    </row>
    <row r="76" spans="1:10" ht="15.75" thickBot="1" x14ac:dyDescent="0.3">
      <c r="A76" s="121"/>
      <c r="B76" s="173"/>
      <c r="C76" s="488"/>
      <c r="D76" s="489"/>
      <c r="E76" s="489"/>
      <c r="F76" s="489"/>
      <c r="G76" s="489"/>
      <c r="H76" s="490"/>
      <c r="I76" s="490"/>
      <c r="J76" s="104"/>
    </row>
    <row r="77" spans="1:10" ht="15.75" thickBot="1" x14ac:dyDescent="0.3">
      <c r="A77" s="121"/>
      <c r="B77" s="173"/>
      <c r="C77" s="488"/>
      <c r="D77" s="489"/>
      <c r="E77" s="489"/>
      <c r="F77" s="489"/>
      <c r="G77" s="489"/>
      <c r="H77" s="490"/>
      <c r="I77" s="490"/>
      <c r="J77" s="104"/>
    </row>
    <row r="78" spans="1:10" ht="15.75" thickBot="1" x14ac:dyDescent="0.3">
      <c r="A78" s="121"/>
      <c r="B78" s="173"/>
      <c r="C78" s="488"/>
      <c r="D78" s="489"/>
      <c r="E78" s="489"/>
      <c r="F78" s="489"/>
      <c r="G78" s="489"/>
      <c r="H78" s="490"/>
      <c r="I78" s="490"/>
      <c r="J78" s="118"/>
    </row>
    <row r="79" spans="1:10" ht="15.75" thickBot="1" x14ac:dyDescent="0.3">
      <c r="A79" s="121"/>
      <c r="B79" s="173"/>
      <c r="C79" s="488"/>
      <c r="D79" s="489"/>
      <c r="E79" s="489"/>
      <c r="F79" s="489"/>
      <c r="G79" s="489"/>
      <c r="H79" s="490"/>
      <c r="I79" s="490"/>
      <c r="J79" s="118"/>
    </row>
    <row r="80" spans="1:10" ht="15.75" thickBot="1" x14ac:dyDescent="0.3">
      <c r="A80" s="121"/>
      <c r="B80" s="173"/>
      <c r="C80" s="488"/>
      <c r="D80" s="489"/>
      <c r="E80" s="489"/>
      <c r="F80" s="489"/>
      <c r="G80" s="489"/>
      <c r="H80" s="490"/>
      <c r="I80" s="490"/>
      <c r="J80" s="118"/>
    </row>
    <row r="81" spans="1:10" ht="19.5" thickBot="1" x14ac:dyDescent="0.35">
      <c r="A81" s="175" t="s">
        <v>60</v>
      </c>
      <c r="B81" s="492"/>
      <c r="C81" s="499"/>
      <c r="D81" s="499"/>
      <c r="E81" s="499"/>
      <c r="F81" s="499"/>
      <c r="G81" s="499"/>
      <c r="H81" s="499"/>
      <c r="I81" s="499"/>
      <c r="J81" s="176">
        <f>SUM(J71:J80)</f>
        <v>150.9</v>
      </c>
    </row>
    <row r="82" spans="1:10" ht="18.75" x14ac:dyDescent="0.3">
      <c r="A82" s="2"/>
      <c r="B82" s="2"/>
      <c r="C82" s="177"/>
      <c r="D82" s="177"/>
      <c r="E82" s="177"/>
      <c r="F82" s="178"/>
      <c r="G82" s="177"/>
      <c r="H82" s="177"/>
      <c r="I82" s="177"/>
      <c r="J82" s="111"/>
    </row>
    <row r="83" spans="1:10" ht="19.5" thickBot="1" x14ac:dyDescent="0.35">
      <c r="A83" s="2"/>
      <c r="B83" s="2"/>
      <c r="C83" s="177"/>
      <c r="D83" s="177"/>
      <c r="E83" s="177"/>
      <c r="F83" s="178"/>
      <c r="G83" s="177"/>
      <c r="H83" s="177"/>
      <c r="I83" s="177"/>
      <c r="J83" s="111"/>
    </row>
    <row r="84" spans="1:10" ht="18.75" x14ac:dyDescent="0.3">
      <c r="A84" s="139" t="s">
        <v>61</v>
      </c>
      <c r="B84" s="2"/>
      <c r="C84" s="84"/>
      <c r="D84" s="85"/>
      <c r="F84" s="85"/>
      <c r="J84" s="85"/>
    </row>
    <row r="85" spans="1:10" x14ac:dyDescent="0.25">
      <c r="A85" s="84" t="s">
        <v>62</v>
      </c>
      <c r="B85" s="144">
        <f>+J66</f>
        <v>3354</v>
      </c>
      <c r="C85" s="179"/>
      <c r="D85" s="85"/>
      <c r="F85" s="85"/>
      <c r="J85" s="85"/>
    </row>
    <row r="86" spans="1:10" ht="15.75" thickBot="1" x14ac:dyDescent="0.3">
      <c r="A86" s="84" t="s">
        <v>60</v>
      </c>
      <c r="B86" s="180">
        <f>+J81</f>
        <v>150.9</v>
      </c>
      <c r="C86" s="181"/>
      <c r="D86" s="85"/>
      <c r="F86" s="85"/>
      <c r="G86" s="182"/>
      <c r="H86" s="182"/>
      <c r="I86" s="183"/>
      <c r="J86" s="183"/>
    </row>
    <row r="87" spans="1:10" ht="17.25" thickTop="1" thickBot="1" x14ac:dyDescent="0.3">
      <c r="A87" s="139" t="s">
        <v>8</v>
      </c>
      <c r="B87" s="184">
        <f>++B85-B86</f>
        <v>3203.1</v>
      </c>
      <c r="C87" s="185"/>
      <c r="D87" s="186"/>
      <c r="E87" s="41"/>
      <c r="F87" s="186"/>
      <c r="G87" s="187"/>
      <c r="H87" s="187"/>
      <c r="I87" s="85"/>
    </row>
    <row r="88" spans="1:10" ht="15.75" thickTop="1" x14ac:dyDescent="0.25"/>
  </sheetData>
  <mergeCells count="18">
    <mergeCell ref="A1:J1"/>
    <mergeCell ref="A52:B52"/>
    <mergeCell ref="A66:B66"/>
    <mergeCell ref="A68:J68"/>
    <mergeCell ref="C70:I70"/>
    <mergeCell ref="B81:I81"/>
    <mergeCell ref="B29:B30"/>
    <mergeCell ref="A29:A30"/>
    <mergeCell ref="C78:I78"/>
    <mergeCell ref="C79:I79"/>
    <mergeCell ref="C80:I80"/>
    <mergeCell ref="C72:I72"/>
    <mergeCell ref="C73:I73"/>
    <mergeCell ref="C74:I74"/>
    <mergeCell ref="C75:I75"/>
    <mergeCell ref="C76:I76"/>
    <mergeCell ref="C77:I77"/>
    <mergeCell ref="C71:I71"/>
  </mergeCells>
  <phoneticPr fontId="15" type="noConversion"/>
  <pageMargins left="0.17" right="0.17" top="0.17" bottom="0.17" header="0.17" footer="0.17"/>
  <pageSetup paperSize="9" scale="55" fitToWidth="0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30DA-5934-400E-96C4-20BD18C83C62}">
  <sheetPr>
    <pageSetUpPr fitToPage="1"/>
  </sheetPr>
  <dimension ref="A1:O97"/>
  <sheetViews>
    <sheetView topLeftCell="A67" workbookViewId="0">
      <selection activeCell="K46" activeCellId="2" sqref="K44 K45 K46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11" max="11" width="14" bestFit="1" customWidth="1"/>
  </cols>
  <sheetData>
    <row r="1" spans="1:11" ht="21" x14ac:dyDescent="0.35">
      <c r="A1" s="491" t="s">
        <v>486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</row>
    <row r="2" spans="1:11" ht="15.75" thickBot="1" x14ac:dyDescent="0.3">
      <c r="A2" s="83"/>
      <c r="B2" s="84"/>
      <c r="C2" s="84"/>
      <c r="K2" s="85"/>
    </row>
    <row r="3" spans="1:11" ht="4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347" t="s">
        <v>489</v>
      </c>
      <c r="K3" s="87" t="s">
        <v>4</v>
      </c>
    </row>
    <row r="4" spans="1:11" ht="15.75" thickBot="1" x14ac:dyDescent="0.3">
      <c r="A4" s="88"/>
      <c r="B4" s="88"/>
      <c r="C4" s="89"/>
      <c r="D4" s="90"/>
      <c r="E4" s="90"/>
      <c r="F4" s="90"/>
      <c r="G4" s="90"/>
      <c r="H4" s="90"/>
      <c r="I4" s="90"/>
      <c r="J4" s="348"/>
      <c r="K4" s="87">
        <f>SUM(D4:J4)</f>
        <v>0</v>
      </c>
    </row>
    <row r="5" spans="1:11" ht="15.75" thickBot="1" x14ac:dyDescent="0.3">
      <c r="A5" s="88"/>
      <c r="B5" s="88"/>
      <c r="C5" s="89"/>
      <c r="D5" s="90"/>
      <c r="E5" s="90"/>
      <c r="F5" s="90"/>
      <c r="G5" s="90"/>
      <c r="H5" s="90"/>
      <c r="I5" s="90"/>
      <c r="J5" s="348"/>
      <c r="K5" s="87">
        <f t="shared" ref="K5:K22" si="0">SUM(D5:J5)</f>
        <v>0</v>
      </c>
    </row>
    <row r="6" spans="1:11" ht="15.75" thickBot="1" x14ac:dyDescent="0.3">
      <c r="A6" s="88" t="s">
        <v>168</v>
      </c>
      <c r="B6" s="88" t="s">
        <v>488</v>
      </c>
      <c r="C6" s="89">
        <v>46113</v>
      </c>
      <c r="D6" s="90"/>
      <c r="E6" s="90"/>
      <c r="F6" s="90"/>
      <c r="G6" s="90"/>
      <c r="H6" s="90"/>
      <c r="I6" s="90"/>
      <c r="J6" s="348">
        <v>100</v>
      </c>
      <c r="K6" s="87">
        <f t="shared" si="0"/>
        <v>100</v>
      </c>
    </row>
    <row r="7" spans="1:11" ht="15.75" thickBot="1" x14ac:dyDescent="0.3">
      <c r="A7" s="88" t="s">
        <v>492</v>
      </c>
      <c r="B7" s="88" t="s">
        <v>493</v>
      </c>
      <c r="C7" s="89">
        <v>46082</v>
      </c>
      <c r="D7" s="90"/>
      <c r="E7" s="90"/>
      <c r="F7" s="90">
        <v>300</v>
      </c>
      <c r="G7" s="90"/>
      <c r="H7" s="90"/>
      <c r="I7" s="90"/>
      <c r="J7" s="348"/>
      <c r="K7" s="87">
        <f t="shared" si="0"/>
        <v>300</v>
      </c>
    </row>
    <row r="8" spans="1:11" ht="15.75" thickBot="1" x14ac:dyDescent="0.3">
      <c r="A8" s="88" t="s">
        <v>38</v>
      </c>
      <c r="B8" s="88" t="s">
        <v>501</v>
      </c>
      <c r="C8" s="89">
        <v>46113</v>
      </c>
      <c r="D8" s="90"/>
      <c r="E8" s="90"/>
      <c r="F8" s="90"/>
      <c r="G8" s="90"/>
      <c r="H8" s="90">
        <v>54.6</v>
      </c>
      <c r="I8" s="90"/>
      <c r="J8" s="348"/>
      <c r="K8" s="87">
        <f t="shared" si="0"/>
        <v>54.6</v>
      </c>
    </row>
    <row r="9" spans="1:11" ht="15.75" thickBot="1" x14ac:dyDescent="0.3">
      <c r="A9" s="88"/>
      <c r="B9" s="88"/>
      <c r="C9" s="89"/>
      <c r="D9" s="90"/>
      <c r="E9" s="90"/>
      <c r="F9" s="90"/>
      <c r="G9" s="90"/>
      <c r="H9" s="90"/>
      <c r="I9" s="90"/>
      <c r="J9" s="348"/>
      <c r="K9" s="87">
        <f t="shared" si="0"/>
        <v>0</v>
      </c>
    </row>
    <row r="10" spans="1:11" ht="30.75" thickBot="1" x14ac:dyDescent="0.3">
      <c r="A10" s="336" t="s">
        <v>286</v>
      </c>
      <c r="B10" s="103" t="s">
        <v>494</v>
      </c>
      <c r="C10" s="103">
        <v>46113</v>
      </c>
      <c r="D10" s="116"/>
      <c r="E10" s="116"/>
      <c r="F10" s="116"/>
      <c r="G10" s="116">
        <v>30</v>
      </c>
      <c r="H10" s="90"/>
      <c r="I10" s="90"/>
      <c r="J10" s="348"/>
      <c r="K10" s="87">
        <f t="shared" si="0"/>
        <v>30</v>
      </c>
    </row>
    <row r="11" spans="1:11" ht="15.75" thickBot="1" x14ac:dyDescent="0.3">
      <c r="A11" s="88"/>
      <c r="B11" s="88"/>
      <c r="C11" s="89"/>
      <c r="D11" s="90"/>
      <c r="E11" s="90"/>
      <c r="F11" s="90"/>
      <c r="G11" s="90"/>
      <c r="H11" s="90"/>
      <c r="I11" s="90"/>
      <c r="J11" s="348"/>
      <c r="K11" s="87">
        <f t="shared" si="0"/>
        <v>0</v>
      </c>
    </row>
    <row r="12" spans="1:11" ht="15.75" thickBot="1" x14ac:dyDescent="0.3">
      <c r="A12" s="332"/>
      <c r="B12" s="88"/>
      <c r="C12" s="89"/>
      <c r="D12" s="90"/>
      <c r="E12" s="90"/>
      <c r="F12" s="90"/>
      <c r="G12" s="90"/>
      <c r="H12" s="90"/>
      <c r="I12" s="90"/>
      <c r="J12" s="348"/>
      <c r="K12" s="87">
        <f t="shared" si="0"/>
        <v>0</v>
      </c>
    </row>
    <row r="13" spans="1:11" ht="15.75" thickBot="1" x14ac:dyDescent="0.3">
      <c r="A13" s="332"/>
      <c r="B13" s="330"/>
      <c r="C13" s="89"/>
      <c r="D13" s="90"/>
      <c r="E13" s="90"/>
      <c r="F13" s="90"/>
      <c r="G13" s="90"/>
      <c r="H13" s="90"/>
      <c r="I13" s="93"/>
      <c r="J13" s="99"/>
      <c r="K13" s="87">
        <f t="shared" si="0"/>
        <v>0</v>
      </c>
    </row>
    <row r="14" spans="1:11" ht="15.75" thickBot="1" x14ac:dyDescent="0.3">
      <c r="A14" s="88"/>
      <c r="B14" s="88"/>
      <c r="C14" s="89"/>
      <c r="D14" s="90"/>
      <c r="E14" s="90"/>
      <c r="F14" s="90"/>
      <c r="G14" s="90"/>
      <c r="H14" s="90"/>
      <c r="I14" s="90"/>
      <c r="J14" s="348"/>
      <c r="K14" s="87">
        <f t="shared" si="0"/>
        <v>0</v>
      </c>
    </row>
    <row r="15" spans="1:11" ht="15.75" thickBot="1" x14ac:dyDescent="0.3">
      <c r="A15" s="95"/>
      <c r="B15" s="331"/>
      <c r="C15" s="89"/>
      <c r="D15" s="90"/>
      <c r="E15" s="90"/>
      <c r="F15" s="90"/>
      <c r="G15" s="90"/>
      <c r="H15" s="90"/>
      <c r="I15" s="90"/>
      <c r="J15" s="348"/>
      <c r="K15" s="87">
        <f t="shared" si="0"/>
        <v>0</v>
      </c>
    </row>
    <row r="16" spans="1:11" ht="15.75" thickBot="1" x14ac:dyDescent="0.3">
      <c r="A16" s="97"/>
      <c r="B16" s="95"/>
      <c r="C16" s="89"/>
      <c r="D16" s="90"/>
      <c r="E16" s="90"/>
      <c r="F16" s="90"/>
      <c r="G16" s="90"/>
      <c r="H16" s="90"/>
      <c r="I16" s="90"/>
      <c r="J16" s="348"/>
      <c r="K16" s="87">
        <f t="shared" si="0"/>
        <v>0</v>
      </c>
    </row>
    <row r="17" spans="1:14" ht="15.75" thickBot="1" x14ac:dyDescent="0.3">
      <c r="A17" s="333"/>
      <c r="B17" s="333"/>
      <c r="C17" s="89"/>
      <c r="D17" s="90"/>
      <c r="E17" s="90"/>
      <c r="F17" s="90"/>
      <c r="G17" s="90"/>
      <c r="H17" s="90"/>
      <c r="I17" s="90"/>
      <c r="J17" s="348"/>
      <c r="K17" s="87">
        <f t="shared" si="0"/>
        <v>0</v>
      </c>
    </row>
    <row r="18" spans="1:14" ht="15.75" thickBot="1" x14ac:dyDescent="0.3">
      <c r="A18" s="99"/>
      <c r="B18" s="333"/>
      <c r="C18" s="89"/>
      <c r="D18" s="90"/>
      <c r="E18" s="90"/>
      <c r="F18" s="90"/>
      <c r="G18" s="90"/>
      <c r="H18" s="90"/>
      <c r="I18" s="90"/>
      <c r="J18" s="348"/>
      <c r="K18" s="87">
        <f t="shared" si="0"/>
        <v>0</v>
      </c>
    </row>
    <row r="19" spans="1:14" ht="15.75" thickBot="1" x14ac:dyDescent="0.3">
      <c r="A19" s="99"/>
      <c r="B19" s="333"/>
      <c r="C19" s="89"/>
      <c r="D19" s="90"/>
      <c r="E19" s="90"/>
      <c r="F19" s="90"/>
      <c r="G19" s="90"/>
      <c r="H19" s="90"/>
      <c r="I19" s="90"/>
      <c r="J19" s="348"/>
      <c r="K19" s="87">
        <f t="shared" si="0"/>
        <v>0</v>
      </c>
    </row>
    <row r="20" spans="1:14" ht="15.75" thickBot="1" x14ac:dyDescent="0.3">
      <c r="A20" s="100"/>
      <c r="B20" s="333"/>
      <c r="C20" s="89"/>
      <c r="D20" s="90"/>
      <c r="E20" s="90"/>
      <c r="F20" s="90"/>
      <c r="G20" s="90"/>
      <c r="H20" s="90"/>
      <c r="I20" s="90"/>
      <c r="J20" s="348"/>
      <c r="K20" s="87">
        <f t="shared" si="0"/>
        <v>0</v>
      </c>
    </row>
    <row r="21" spans="1:14" ht="15.75" thickBot="1" x14ac:dyDescent="0.3">
      <c r="A21" s="336"/>
      <c r="B21" s="336"/>
      <c r="C21" s="89"/>
      <c r="D21" s="90"/>
      <c r="E21" s="90"/>
      <c r="F21" s="90"/>
      <c r="G21" s="90"/>
      <c r="H21" s="90"/>
      <c r="I21" s="90"/>
      <c r="J21" s="348"/>
      <c r="K21" s="87">
        <f t="shared" si="0"/>
        <v>0</v>
      </c>
    </row>
    <row r="22" spans="1:14" ht="15.75" thickBot="1" x14ac:dyDescent="0.3">
      <c r="A22" s="333"/>
      <c r="B22" s="335"/>
      <c r="C22" s="103"/>
      <c r="D22" s="104"/>
      <c r="E22" s="104"/>
      <c r="F22" s="104"/>
      <c r="G22" s="104"/>
      <c r="H22" s="104"/>
      <c r="I22" s="104"/>
      <c r="J22" s="349"/>
      <c r="K22" s="87">
        <f t="shared" si="0"/>
        <v>0</v>
      </c>
    </row>
    <row r="23" spans="1:14" ht="19.5" thickBot="1" x14ac:dyDescent="0.35">
      <c r="A23" s="105" t="s">
        <v>4</v>
      </c>
      <c r="B23" s="86"/>
      <c r="C23" s="106"/>
      <c r="D23" s="108">
        <f t="shared" ref="D23:J23" si="1">SUM(D4:D22)</f>
        <v>0</v>
      </c>
      <c r="E23" s="108">
        <f t="shared" si="1"/>
        <v>0</v>
      </c>
      <c r="F23" s="108">
        <f t="shared" si="1"/>
        <v>300</v>
      </c>
      <c r="G23" s="108">
        <f t="shared" si="1"/>
        <v>30</v>
      </c>
      <c r="H23" s="108">
        <f t="shared" si="1"/>
        <v>54.6</v>
      </c>
      <c r="I23" s="108">
        <f t="shared" si="1"/>
        <v>0</v>
      </c>
      <c r="J23" s="108">
        <f t="shared" si="1"/>
        <v>100</v>
      </c>
      <c r="K23" s="108">
        <f>SUM(K4:K22)</f>
        <v>484.6</v>
      </c>
    </row>
    <row r="24" spans="1:14" ht="19.5" thickBot="1" x14ac:dyDescent="0.35">
      <c r="A24" s="2"/>
      <c r="B24" s="109"/>
      <c r="C24" s="110"/>
      <c r="D24" s="111"/>
      <c r="E24" s="111"/>
      <c r="F24" s="111"/>
      <c r="G24" s="111"/>
      <c r="H24" s="111"/>
      <c r="I24" s="111"/>
      <c r="J24" s="111"/>
      <c r="K24" s="111"/>
    </row>
    <row r="25" spans="1:14" ht="24" thickBot="1" x14ac:dyDescent="0.4">
      <c r="A25" s="112" t="s">
        <v>40</v>
      </c>
      <c r="B25" s="109"/>
      <c r="C25" s="110"/>
      <c r="D25" s="111"/>
      <c r="E25" s="111"/>
      <c r="F25" s="111"/>
      <c r="G25" s="111"/>
      <c r="H25" s="111"/>
      <c r="I25" s="111"/>
      <c r="J25" s="111"/>
      <c r="K25" s="111"/>
    </row>
    <row r="26" spans="1:14" ht="15.75" thickBot="1" x14ac:dyDescent="0.3">
      <c r="A26" s="113" t="s">
        <v>3</v>
      </c>
      <c r="B26" s="86" t="s">
        <v>32</v>
      </c>
      <c r="C26" s="114" t="s">
        <v>41</v>
      </c>
      <c r="D26" s="114" t="s">
        <v>34</v>
      </c>
      <c r="E26" s="114" t="s">
        <v>35</v>
      </c>
      <c r="F26" s="86" t="s">
        <v>36</v>
      </c>
      <c r="G26" s="86" t="s">
        <v>37</v>
      </c>
      <c r="H26" s="86" t="s">
        <v>42</v>
      </c>
      <c r="I26" s="86" t="s">
        <v>39</v>
      </c>
      <c r="J26" s="86"/>
      <c r="K26" s="115" t="s">
        <v>4</v>
      </c>
    </row>
    <row r="27" spans="1:14" ht="30.75" thickBot="1" x14ac:dyDescent="0.3">
      <c r="A27" s="336" t="s">
        <v>490</v>
      </c>
      <c r="B27" s="103" t="s">
        <v>491</v>
      </c>
      <c r="C27" s="103">
        <v>46113</v>
      </c>
      <c r="D27" s="116"/>
      <c r="E27" s="117"/>
      <c r="F27" s="116"/>
      <c r="G27" s="116">
        <v>30</v>
      </c>
      <c r="H27" s="118"/>
      <c r="I27" s="118"/>
      <c r="J27" s="118"/>
      <c r="K27" s="119">
        <f>SUM(D27:I27)</f>
        <v>30</v>
      </c>
    </row>
    <row r="28" spans="1:14" ht="15.75" thickBot="1" x14ac:dyDescent="0.3">
      <c r="A28" s="336"/>
      <c r="B28" s="335"/>
      <c r="C28" s="103"/>
      <c r="D28" s="116"/>
      <c r="E28" s="117"/>
      <c r="F28" s="116"/>
      <c r="G28" s="116"/>
      <c r="H28" s="118"/>
      <c r="I28" s="118"/>
      <c r="J28" s="118"/>
      <c r="K28" s="119"/>
    </row>
    <row r="29" spans="1:14" ht="15.75" thickBot="1" x14ac:dyDescent="0.3">
      <c r="A29" s="336"/>
      <c r="B29" s="333"/>
      <c r="C29" s="89"/>
      <c r="D29" s="120"/>
      <c r="E29" s="120"/>
      <c r="F29" s="120"/>
      <c r="G29" s="120"/>
      <c r="H29" s="90"/>
      <c r="I29" s="90"/>
      <c r="J29" s="90"/>
      <c r="K29" s="119">
        <f t="shared" ref="K29:K30" si="2">SUM(D29:I29)</f>
        <v>0</v>
      </c>
    </row>
    <row r="30" spans="1:14" ht="15.75" thickBot="1" x14ac:dyDescent="0.3">
      <c r="A30" s="86"/>
      <c r="B30" s="121"/>
      <c r="C30" s="89"/>
      <c r="D30" s="120"/>
      <c r="E30" s="120"/>
      <c r="F30" s="120"/>
      <c r="G30" s="120"/>
      <c r="H30" s="90"/>
      <c r="I30" s="90"/>
      <c r="J30" s="90"/>
      <c r="K30" s="119">
        <f t="shared" si="2"/>
        <v>0</v>
      </c>
      <c r="M30" s="122" t="s">
        <v>43</v>
      </c>
      <c r="N30" s="123">
        <f>K31+K39</f>
        <v>30</v>
      </c>
    </row>
    <row r="31" spans="1:14" ht="15.75" thickBot="1" x14ac:dyDescent="0.3">
      <c r="A31" s="86" t="s">
        <v>4</v>
      </c>
      <c r="B31" s="124"/>
      <c r="C31" s="125"/>
      <c r="D31" s="116">
        <f>SUM(D27:D30)</f>
        <v>0</v>
      </c>
      <c r="E31" s="116">
        <f t="shared" ref="E31:J31" si="3">SUM(E27:E30)</f>
        <v>0</v>
      </c>
      <c r="F31" s="116">
        <f t="shared" si="3"/>
        <v>0</v>
      </c>
      <c r="G31" s="116">
        <f t="shared" si="3"/>
        <v>30</v>
      </c>
      <c r="H31" s="116">
        <f t="shared" si="3"/>
        <v>0</v>
      </c>
      <c r="I31" s="116">
        <f t="shared" si="3"/>
        <v>0</v>
      </c>
      <c r="J31" s="116">
        <f t="shared" si="3"/>
        <v>0</v>
      </c>
      <c r="K31" s="94">
        <f>SUM(K27:K30)</f>
        <v>30</v>
      </c>
    </row>
    <row r="32" spans="1:14" ht="15.75" thickBot="1" x14ac:dyDescent="0.3">
      <c r="A32" s="109"/>
      <c r="B32" s="127"/>
      <c r="C32" s="128"/>
      <c r="D32" s="129"/>
      <c r="E32" s="129"/>
      <c r="F32" s="129"/>
      <c r="G32" s="129"/>
      <c r="H32" s="129"/>
      <c r="I32" s="129"/>
      <c r="J32" s="129"/>
      <c r="K32" s="130"/>
    </row>
    <row r="33" spans="1:14" ht="24" thickBot="1" x14ac:dyDescent="0.4">
      <c r="A33" s="112" t="s">
        <v>40</v>
      </c>
      <c r="B33" s="109"/>
      <c r="C33" s="110"/>
      <c r="D33" s="111"/>
      <c r="E33" s="111"/>
      <c r="F33" s="111"/>
      <c r="G33" s="111"/>
      <c r="H33" s="111"/>
      <c r="I33" s="111"/>
      <c r="J33" s="111"/>
      <c r="K33" s="111"/>
    </row>
    <row r="34" spans="1:14" ht="45.75" thickBot="1" x14ac:dyDescent="0.3">
      <c r="A34" s="131" t="s">
        <v>44</v>
      </c>
      <c r="B34" s="86" t="s">
        <v>45</v>
      </c>
      <c r="C34" s="114" t="s">
        <v>41</v>
      </c>
      <c r="D34" s="114" t="s">
        <v>34</v>
      </c>
      <c r="E34" s="114" t="s">
        <v>35</v>
      </c>
      <c r="F34" s="114" t="s">
        <v>46</v>
      </c>
      <c r="G34" s="114" t="s">
        <v>47</v>
      </c>
      <c r="H34" s="114" t="s">
        <v>42</v>
      </c>
      <c r="I34" s="132" t="s">
        <v>48</v>
      </c>
      <c r="J34" s="86"/>
      <c r="K34" s="115" t="s">
        <v>4</v>
      </c>
    </row>
    <row r="35" spans="1:14" ht="15.75" thickBot="1" x14ac:dyDescent="0.3">
      <c r="A35" s="133"/>
      <c r="B35" s="99"/>
      <c r="C35" s="89"/>
      <c r="D35" s="90"/>
      <c r="E35" s="90"/>
      <c r="F35" s="90"/>
      <c r="G35" s="90"/>
      <c r="H35" s="90"/>
      <c r="I35" s="90"/>
      <c r="J35" s="348"/>
      <c r="K35" s="87">
        <f t="shared" ref="K35:K38" si="4">SUM(D35:I35)</f>
        <v>0</v>
      </c>
    </row>
    <row r="36" spans="1:14" ht="15.75" thickBot="1" x14ac:dyDescent="0.3">
      <c r="A36" s="95"/>
      <c r="B36" s="103"/>
      <c r="C36" s="89"/>
      <c r="D36" s="116"/>
      <c r="E36" s="116"/>
      <c r="F36" s="116"/>
      <c r="G36" s="116"/>
      <c r="H36" s="118"/>
      <c r="I36" s="118"/>
      <c r="J36" s="118"/>
      <c r="K36" s="119">
        <f t="shared" si="4"/>
        <v>0</v>
      </c>
    </row>
    <row r="37" spans="1:14" ht="15.75" thickBot="1" x14ac:dyDescent="0.3">
      <c r="A37" s="336"/>
      <c r="B37" s="333"/>
      <c r="C37" s="89"/>
      <c r="D37" s="120"/>
      <c r="E37" s="120"/>
      <c r="F37" s="120"/>
      <c r="G37" s="120"/>
      <c r="H37" s="90"/>
      <c r="I37" s="90"/>
      <c r="J37" s="90"/>
      <c r="K37" s="119">
        <f t="shared" si="4"/>
        <v>0</v>
      </c>
    </row>
    <row r="38" spans="1:14" ht="15.75" thickBot="1" x14ac:dyDescent="0.3">
      <c r="A38" s="86"/>
      <c r="B38" s="121"/>
      <c r="C38" s="89"/>
      <c r="D38" s="120"/>
      <c r="E38" s="120"/>
      <c r="F38" s="120"/>
      <c r="G38" s="120"/>
      <c r="H38" s="90"/>
      <c r="I38" s="90"/>
      <c r="J38" s="90"/>
      <c r="K38" s="119">
        <f t="shared" si="4"/>
        <v>0</v>
      </c>
      <c r="M38" s="134"/>
      <c r="N38" s="135"/>
    </row>
    <row r="39" spans="1:14" ht="15.75" thickBot="1" x14ac:dyDescent="0.3">
      <c r="A39" s="86" t="s">
        <v>4</v>
      </c>
      <c r="B39" s="124"/>
      <c r="C39" s="125"/>
      <c r="D39" s="116">
        <f>SUM(D35:D38)</f>
        <v>0</v>
      </c>
      <c r="E39" s="116">
        <f t="shared" ref="E39:J39" si="5">SUM(E35:E38)</f>
        <v>0</v>
      </c>
      <c r="F39" s="116">
        <f t="shared" si="5"/>
        <v>0</v>
      </c>
      <c r="G39" s="116">
        <f t="shared" si="5"/>
        <v>0</v>
      </c>
      <c r="H39" s="116">
        <f t="shared" si="5"/>
        <v>0</v>
      </c>
      <c r="I39" s="116">
        <f t="shared" si="5"/>
        <v>0</v>
      </c>
      <c r="J39" s="116">
        <f t="shared" si="5"/>
        <v>0</v>
      </c>
      <c r="K39" s="94">
        <f>SUM(K35:K38)</f>
        <v>0</v>
      </c>
    </row>
    <row r="40" spans="1:14" x14ac:dyDescent="0.25">
      <c r="A40" s="109"/>
      <c r="B40" s="127"/>
      <c r="C40" s="128"/>
      <c r="D40" s="129"/>
      <c r="E40" s="129"/>
      <c r="F40" s="129"/>
      <c r="G40" s="129"/>
      <c r="H40" s="129"/>
      <c r="I40" s="129"/>
      <c r="J40" s="129"/>
      <c r="K40" s="130"/>
    </row>
    <row r="41" spans="1:14" x14ac:dyDescent="0.25">
      <c r="A41" s="109"/>
      <c r="B41" s="127"/>
      <c r="C41" s="128"/>
      <c r="D41" s="129"/>
      <c r="E41" s="129"/>
      <c r="F41" s="129"/>
      <c r="G41" s="129"/>
      <c r="H41" s="129"/>
      <c r="I41" s="129"/>
      <c r="J41" s="129"/>
      <c r="K41" s="130"/>
    </row>
    <row r="42" spans="1:14" ht="15.75" thickBot="1" x14ac:dyDescent="0.3">
      <c r="A42" s="84"/>
      <c r="B42" s="84"/>
      <c r="C42" s="84"/>
      <c r="K42" s="85"/>
    </row>
    <row r="43" spans="1:14" ht="45.75" thickBot="1" x14ac:dyDescent="0.3">
      <c r="A43" s="114" t="s">
        <v>49</v>
      </c>
      <c r="B43" s="86" t="s">
        <v>45</v>
      </c>
      <c r="C43" s="114" t="s">
        <v>41</v>
      </c>
      <c r="D43" s="114" t="s">
        <v>34</v>
      </c>
      <c r="E43" s="114" t="s">
        <v>35</v>
      </c>
      <c r="F43" s="114" t="s">
        <v>46</v>
      </c>
      <c r="G43" s="114" t="s">
        <v>47</v>
      </c>
      <c r="H43" s="86" t="s">
        <v>48</v>
      </c>
      <c r="I43" s="132" t="s">
        <v>42</v>
      </c>
      <c r="J43" s="86" t="s">
        <v>497</v>
      </c>
      <c r="K43" s="115" t="s">
        <v>4</v>
      </c>
    </row>
    <row r="44" spans="1:14" ht="15.75" thickBot="1" x14ac:dyDescent="0.3">
      <c r="A44" s="485" t="s">
        <v>495</v>
      </c>
      <c r="B44" s="512" t="s">
        <v>496</v>
      </c>
      <c r="C44" s="103">
        <v>45962</v>
      </c>
      <c r="D44" s="118"/>
      <c r="E44" s="136"/>
      <c r="F44" s="118"/>
      <c r="G44" s="118"/>
      <c r="H44" s="118"/>
      <c r="I44" s="118"/>
      <c r="J44" s="118">
        <v>113</v>
      </c>
      <c r="K44" s="119">
        <f t="shared" ref="K44:K57" si="6">SUM(D44:J44)</f>
        <v>113</v>
      </c>
    </row>
    <row r="45" spans="1:14" ht="15.75" thickBot="1" x14ac:dyDescent="0.3">
      <c r="A45" s="486"/>
      <c r="B45" s="519"/>
      <c r="C45" s="103">
        <v>46054</v>
      </c>
      <c r="D45" s="118">
        <v>172.6</v>
      </c>
      <c r="E45" s="118">
        <v>13.3</v>
      </c>
      <c r="F45" s="118"/>
      <c r="G45" s="118"/>
      <c r="H45" s="118"/>
      <c r="I45" s="118"/>
      <c r="J45" s="118"/>
      <c r="K45" s="119">
        <f t="shared" si="6"/>
        <v>185.9</v>
      </c>
    </row>
    <row r="46" spans="1:14" ht="15.75" thickBot="1" x14ac:dyDescent="0.3">
      <c r="A46" s="487"/>
      <c r="B46" s="513"/>
      <c r="C46" s="103">
        <v>46082</v>
      </c>
      <c r="D46" s="118"/>
      <c r="E46" s="118"/>
      <c r="F46" s="118"/>
      <c r="G46" s="118"/>
      <c r="H46" s="118"/>
      <c r="I46" s="118"/>
      <c r="J46" s="118">
        <v>113</v>
      </c>
      <c r="K46" s="119">
        <f t="shared" si="6"/>
        <v>113</v>
      </c>
    </row>
    <row r="47" spans="1:14" ht="15.75" thickBot="1" x14ac:dyDescent="0.3">
      <c r="A47" s="121" t="s">
        <v>498</v>
      </c>
      <c r="B47" s="103" t="s">
        <v>499</v>
      </c>
      <c r="C47" s="103">
        <v>46082</v>
      </c>
      <c r="D47" s="118"/>
      <c r="E47" s="118"/>
      <c r="F47" s="118">
        <v>60</v>
      </c>
      <c r="G47" s="118">
        <v>5</v>
      </c>
      <c r="H47" s="118"/>
      <c r="I47" s="118"/>
      <c r="J47" s="118"/>
      <c r="K47" s="119">
        <f t="shared" si="6"/>
        <v>65</v>
      </c>
    </row>
    <row r="48" spans="1:14" ht="15.75" thickBot="1" x14ac:dyDescent="0.3">
      <c r="A48" s="121"/>
      <c r="B48" s="103"/>
      <c r="C48" s="103"/>
      <c r="D48" s="118"/>
      <c r="E48" s="118"/>
      <c r="F48" s="118"/>
      <c r="G48" s="118"/>
      <c r="H48" s="118"/>
      <c r="I48" s="118"/>
      <c r="J48" s="118"/>
      <c r="K48" s="119">
        <f t="shared" si="6"/>
        <v>0</v>
      </c>
    </row>
    <row r="49" spans="1:11" ht="15.75" thickBot="1" x14ac:dyDescent="0.3">
      <c r="A49" s="333"/>
      <c r="B49" s="103"/>
      <c r="C49" s="103"/>
      <c r="D49" s="118"/>
      <c r="E49" s="118"/>
      <c r="F49" s="118"/>
      <c r="G49" s="118"/>
      <c r="H49" s="118"/>
      <c r="I49" s="118"/>
      <c r="J49" s="118"/>
      <c r="K49" s="119">
        <f t="shared" si="6"/>
        <v>0</v>
      </c>
    </row>
    <row r="50" spans="1:11" ht="15.75" thickBot="1" x14ac:dyDescent="0.3">
      <c r="A50" s="333"/>
      <c r="B50" s="103"/>
      <c r="C50" s="103"/>
      <c r="D50" s="118"/>
      <c r="E50" s="118"/>
      <c r="F50" s="118"/>
      <c r="G50" s="118"/>
      <c r="H50" s="118"/>
      <c r="I50" s="118"/>
      <c r="J50" s="118"/>
      <c r="K50" s="119">
        <f t="shared" si="6"/>
        <v>0</v>
      </c>
    </row>
    <row r="51" spans="1:11" ht="15.75" thickBot="1" x14ac:dyDescent="0.3">
      <c r="A51" s="333"/>
      <c r="B51" s="103"/>
      <c r="C51" s="103"/>
      <c r="D51" s="118"/>
      <c r="E51" s="118"/>
      <c r="F51" s="118"/>
      <c r="G51" s="118"/>
      <c r="H51" s="118"/>
      <c r="I51" s="118"/>
      <c r="J51" s="118"/>
      <c r="K51" s="119">
        <f t="shared" si="6"/>
        <v>0</v>
      </c>
    </row>
    <row r="52" spans="1:11" ht="15.75" thickBot="1" x14ac:dyDescent="0.3">
      <c r="A52" s="333"/>
      <c r="B52" s="103"/>
      <c r="C52" s="103"/>
      <c r="D52" s="118"/>
      <c r="E52" s="118"/>
      <c r="F52" s="118"/>
      <c r="G52" s="118"/>
      <c r="H52" s="118"/>
      <c r="I52" s="118"/>
      <c r="J52" s="118"/>
      <c r="K52" s="119">
        <f t="shared" si="6"/>
        <v>0</v>
      </c>
    </row>
    <row r="53" spans="1:11" ht="15.75" thickBot="1" x14ac:dyDescent="0.3">
      <c r="A53" s="333"/>
      <c r="B53" s="103"/>
      <c r="C53" s="103"/>
      <c r="D53" s="118"/>
      <c r="E53" s="118"/>
      <c r="F53" s="118"/>
      <c r="G53" s="118"/>
      <c r="H53" s="118"/>
      <c r="I53" s="118"/>
      <c r="J53" s="118"/>
      <c r="K53" s="119">
        <f t="shared" si="6"/>
        <v>0</v>
      </c>
    </row>
    <row r="54" spans="1:11" ht="15.75" thickBot="1" x14ac:dyDescent="0.3">
      <c r="A54" s="137"/>
      <c r="B54" s="103"/>
      <c r="C54" s="103"/>
      <c r="D54" s="118"/>
      <c r="E54" s="118"/>
      <c r="F54" s="118"/>
      <c r="G54" s="118"/>
      <c r="H54" s="118"/>
      <c r="I54" s="118"/>
      <c r="J54" s="118"/>
      <c r="K54" s="119">
        <f t="shared" si="6"/>
        <v>0</v>
      </c>
    </row>
    <row r="55" spans="1:11" ht="15.75" thickBot="1" x14ac:dyDescent="0.3">
      <c r="A55" s="121"/>
      <c r="B55" s="103"/>
      <c r="C55" s="103"/>
      <c r="D55" s="118"/>
      <c r="F55" s="118"/>
      <c r="G55" s="118"/>
      <c r="H55" s="118"/>
      <c r="I55" s="118"/>
      <c r="J55" s="118"/>
      <c r="K55" s="119">
        <f t="shared" si="6"/>
        <v>0</v>
      </c>
    </row>
    <row r="56" spans="1:11" ht="15.75" thickBot="1" x14ac:dyDescent="0.3">
      <c r="A56" s="121"/>
      <c r="B56" s="103"/>
      <c r="C56" s="103"/>
      <c r="D56" s="118"/>
      <c r="E56" s="118"/>
      <c r="F56" s="118"/>
      <c r="G56" s="118"/>
      <c r="H56" s="118"/>
      <c r="I56" s="118"/>
      <c r="J56" s="118"/>
      <c r="K56" s="119">
        <f t="shared" si="6"/>
        <v>0</v>
      </c>
    </row>
    <row r="57" spans="1:11" ht="15.75" thickBot="1" x14ac:dyDescent="0.3">
      <c r="A57" s="121"/>
      <c r="B57" s="103"/>
      <c r="C57" s="103"/>
      <c r="D57" s="138"/>
      <c r="E57" s="138"/>
      <c r="F57" s="138"/>
      <c r="G57" s="138"/>
      <c r="H57" s="138"/>
      <c r="I57" s="138"/>
      <c r="J57" s="138"/>
      <c r="K57" s="119">
        <f t="shared" si="6"/>
        <v>0</v>
      </c>
    </row>
    <row r="58" spans="1:11" ht="19.5" thickBot="1" x14ac:dyDescent="0.35">
      <c r="A58" s="105" t="s">
        <v>4</v>
      </c>
      <c r="B58" s="86"/>
      <c r="C58" s="106"/>
      <c r="D58" s="107">
        <f t="shared" ref="D58:K58" si="7">SUM(D44:D57)</f>
        <v>172.6</v>
      </c>
      <c r="E58" s="107">
        <f t="shared" si="7"/>
        <v>13.3</v>
      </c>
      <c r="F58" s="107">
        <f t="shared" si="7"/>
        <v>60</v>
      </c>
      <c r="G58" s="107">
        <f t="shared" si="7"/>
        <v>5</v>
      </c>
      <c r="H58" s="107">
        <f t="shared" si="7"/>
        <v>0</v>
      </c>
      <c r="I58" s="107">
        <f t="shared" si="7"/>
        <v>0</v>
      </c>
      <c r="J58" s="107"/>
      <c r="K58" s="107">
        <f t="shared" si="7"/>
        <v>476.9</v>
      </c>
    </row>
    <row r="59" spans="1:11" ht="15.75" x14ac:dyDescent="0.25">
      <c r="A59" s="139"/>
      <c r="B59" s="139"/>
      <c r="C59" s="140"/>
      <c r="D59" s="141"/>
      <c r="E59" s="141"/>
      <c r="F59" s="141"/>
      <c r="G59" s="141"/>
      <c r="H59" s="141"/>
      <c r="I59" s="141"/>
      <c r="J59" s="141"/>
      <c r="K59" s="141"/>
    </row>
    <row r="60" spans="1:11" ht="16.5" thickBot="1" x14ac:dyDescent="0.3">
      <c r="A60" s="139"/>
      <c r="B60" s="139"/>
      <c r="C60" s="140"/>
      <c r="D60" s="141"/>
      <c r="E60" s="141"/>
      <c r="F60" s="141"/>
      <c r="G60" s="141"/>
      <c r="H60" s="141"/>
      <c r="I60" s="141"/>
      <c r="J60" s="141"/>
      <c r="K60" s="141"/>
    </row>
    <row r="61" spans="1:11" ht="19.5" thickBot="1" x14ac:dyDescent="0.35">
      <c r="A61" s="492" t="s">
        <v>50</v>
      </c>
      <c r="B61" s="493"/>
      <c r="C61" s="142"/>
      <c r="D61" s="143"/>
      <c r="E61" s="143"/>
      <c r="F61" s="143"/>
      <c r="G61" s="143"/>
      <c r="H61" s="143"/>
      <c r="I61" s="143"/>
      <c r="J61" s="143"/>
      <c r="K61" s="108">
        <f>+K23+K58</f>
        <v>961.5</v>
      </c>
    </row>
    <row r="62" spans="1:11" x14ac:dyDescent="0.25">
      <c r="A62" s="84"/>
      <c r="B62" s="84"/>
      <c r="C62" s="144"/>
      <c r="D62" s="85"/>
      <c r="E62" s="85"/>
      <c r="F62" s="85"/>
      <c r="G62" s="85"/>
      <c r="H62" s="85"/>
      <c r="I62" s="85"/>
      <c r="J62" s="85"/>
      <c r="K62" s="85"/>
    </row>
    <row r="63" spans="1:11" x14ac:dyDescent="0.25">
      <c r="A63" s="84"/>
      <c r="B63" s="84"/>
      <c r="C63" s="144"/>
      <c r="D63" s="85"/>
      <c r="E63" s="85"/>
      <c r="F63" s="85"/>
      <c r="G63" s="85"/>
      <c r="H63" s="85"/>
      <c r="I63" s="85"/>
      <c r="J63" s="85"/>
      <c r="K63" s="85"/>
    </row>
    <row r="64" spans="1:11" ht="16.5" thickBot="1" x14ac:dyDescent="0.3">
      <c r="A64" s="145" t="s">
        <v>500</v>
      </c>
      <c r="B64" s="84"/>
      <c r="C64" s="144"/>
      <c r="D64" s="85"/>
      <c r="E64" s="85"/>
      <c r="F64" s="85"/>
      <c r="G64" s="85"/>
      <c r="H64" s="85"/>
      <c r="I64" s="85"/>
      <c r="J64" s="85"/>
      <c r="K64" s="85"/>
    </row>
    <row r="65" spans="1:15" ht="19.5" thickBot="1" x14ac:dyDescent="0.35">
      <c r="A65" s="146" t="s">
        <v>52</v>
      </c>
      <c r="B65" s="147"/>
      <c r="C65" s="148"/>
      <c r="D65" s="149"/>
      <c r="E65" s="149"/>
      <c r="F65" s="149"/>
      <c r="G65" s="149"/>
      <c r="H65" s="149"/>
      <c r="I65" s="149"/>
      <c r="J65" s="149"/>
      <c r="K65" s="108">
        <v>1834</v>
      </c>
    </row>
    <row r="66" spans="1:15" ht="19.5" thickBot="1" x14ac:dyDescent="0.35">
      <c r="A66" s="146" t="s">
        <v>53</v>
      </c>
      <c r="B66" s="147"/>
      <c r="C66" s="150"/>
      <c r="D66" s="149"/>
      <c r="E66" s="149"/>
      <c r="F66" s="149"/>
      <c r="G66" s="149"/>
      <c r="H66" s="149"/>
      <c r="I66" s="149"/>
      <c r="J66" s="149"/>
      <c r="K66" s="108">
        <v>2745</v>
      </c>
      <c r="L66" s="41">
        <f>K65+K66</f>
        <v>4579</v>
      </c>
    </row>
    <row r="67" spans="1:15" ht="18.75" x14ac:dyDescent="0.3">
      <c r="A67" s="151"/>
      <c r="B67" s="151"/>
      <c r="C67" s="152"/>
      <c r="D67" s="153"/>
      <c r="E67" s="153"/>
      <c r="F67" s="153"/>
      <c r="G67" s="153"/>
      <c r="H67" s="153"/>
      <c r="I67" s="153"/>
      <c r="J67" s="153"/>
      <c r="K67" s="111"/>
      <c r="L67">
        <v>100</v>
      </c>
    </row>
    <row r="68" spans="1:15" ht="18.75" x14ac:dyDescent="0.3">
      <c r="A68" s="151"/>
      <c r="B68" s="151"/>
      <c r="C68" s="152"/>
      <c r="D68" s="153"/>
      <c r="E68" s="153"/>
      <c r="F68" s="153"/>
      <c r="G68" s="153"/>
      <c r="H68" s="153"/>
      <c r="I68" s="153"/>
      <c r="J68" s="153"/>
      <c r="K68" s="111"/>
      <c r="L68" s="41">
        <f>L66+L67</f>
        <v>4679</v>
      </c>
    </row>
    <row r="69" spans="1:15" ht="16.5" thickBot="1" x14ac:dyDescent="0.3">
      <c r="A69" s="154" t="s">
        <v>54</v>
      </c>
      <c r="B69" s="155"/>
      <c r="C69" s="144"/>
      <c r="D69" s="85"/>
      <c r="E69" s="85"/>
      <c r="F69" s="85"/>
      <c r="G69" s="85"/>
      <c r="H69" s="85"/>
      <c r="I69" s="85"/>
      <c r="J69" s="85"/>
      <c r="K69" s="85"/>
      <c r="M69">
        <v>100</v>
      </c>
      <c r="N69">
        <v>17</v>
      </c>
      <c r="O69">
        <f>N69*M69</f>
        <v>1700</v>
      </c>
    </row>
    <row r="70" spans="1:15" ht="19.5" thickBot="1" x14ac:dyDescent="0.35">
      <c r="A70" s="156" t="s">
        <v>55</v>
      </c>
      <c r="B70" s="157"/>
      <c r="C70" s="158"/>
      <c r="D70" s="159"/>
      <c r="E70" s="159"/>
      <c r="F70" s="159"/>
      <c r="G70" s="159"/>
      <c r="H70" s="159"/>
      <c r="I70" s="159"/>
      <c r="J70" s="159"/>
      <c r="K70" s="160">
        <v>521</v>
      </c>
      <c r="M70">
        <v>50</v>
      </c>
      <c r="N70">
        <v>37</v>
      </c>
      <c r="O70">
        <f t="shared" ref="O70:O75" si="8">N70*M70</f>
        <v>1850</v>
      </c>
    </row>
    <row r="71" spans="1:15" x14ac:dyDescent="0.25">
      <c r="A71" s="161"/>
      <c r="B71" s="84"/>
      <c r="C71" s="144"/>
      <c r="D71" s="85"/>
      <c r="E71" s="85"/>
      <c r="F71" s="85"/>
      <c r="G71" s="85"/>
      <c r="H71" s="85"/>
      <c r="I71" s="85"/>
      <c r="J71" s="85"/>
      <c r="K71" s="85"/>
      <c r="M71">
        <v>20</v>
      </c>
      <c r="N71">
        <v>49</v>
      </c>
      <c r="O71">
        <f t="shared" si="8"/>
        <v>980</v>
      </c>
    </row>
    <row r="72" spans="1:15" ht="16.5" thickBot="1" x14ac:dyDescent="0.3">
      <c r="A72" s="154"/>
      <c r="B72" s="155"/>
      <c r="C72" s="144"/>
      <c r="D72" s="85"/>
      <c r="E72" s="85"/>
      <c r="F72" s="85"/>
      <c r="G72" s="85"/>
      <c r="H72" s="85"/>
      <c r="I72" s="85"/>
      <c r="J72" s="85"/>
      <c r="K72" s="85"/>
      <c r="M72">
        <v>10</v>
      </c>
      <c r="N72">
        <v>12</v>
      </c>
      <c r="O72">
        <f t="shared" si="8"/>
        <v>120</v>
      </c>
    </row>
    <row r="73" spans="1:15" ht="19.5" thickBot="1" x14ac:dyDescent="0.35">
      <c r="A73" s="156" t="s">
        <v>56</v>
      </c>
      <c r="B73" s="157"/>
      <c r="C73" s="162"/>
      <c r="D73" s="159"/>
      <c r="E73" s="159"/>
      <c r="F73" s="159"/>
      <c r="G73" s="159"/>
      <c r="H73" s="159"/>
      <c r="I73" s="159"/>
      <c r="J73" s="159"/>
      <c r="K73" s="163"/>
      <c r="M73">
        <v>5</v>
      </c>
      <c r="N73">
        <v>1</v>
      </c>
      <c r="O73">
        <f t="shared" si="8"/>
        <v>5</v>
      </c>
    </row>
    <row r="74" spans="1:15" ht="15.75" thickBot="1" x14ac:dyDescent="0.3">
      <c r="A74" s="161"/>
      <c r="B74" s="84"/>
      <c r="C74" s="144"/>
      <c r="D74" s="85"/>
      <c r="E74" s="85"/>
      <c r="F74" s="85"/>
      <c r="G74" s="85"/>
      <c r="H74" s="85"/>
      <c r="I74" s="85"/>
      <c r="J74" s="85"/>
      <c r="K74" s="85"/>
      <c r="M74">
        <v>2</v>
      </c>
      <c r="N74">
        <v>7</v>
      </c>
      <c r="O74">
        <f t="shared" si="8"/>
        <v>14</v>
      </c>
    </row>
    <row r="75" spans="1:15" ht="21.75" thickBot="1" x14ac:dyDescent="0.4">
      <c r="A75" s="494" t="s">
        <v>57</v>
      </c>
      <c r="B75" s="495"/>
      <c r="C75" s="164"/>
      <c r="D75" s="165"/>
      <c r="E75" s="165"/>
      <c r="F75" s="165"/>
      <c r="G75" s="165"/>
      <c r="H75" s="165"/>
      <c r="I75" s="165"/>
      <c r="J75" s="165"/>
      <c r="K75" s="166">
        <f>SUM(K61:K74)</f>
        <v>6061.5</v>
      </c>
      <c r="M75">
        <v>1</v>
      </c>
      <c r="N75">
        <v>10</v>
      </c>
      <c r="O75">
        <f t="shared" si="8"/>
        <v>10</v>
      </c>
    </row>
    <row r="76" spans="1:15" x14ac:dyDescent="0.25">
      <c r="A76" s="84"/>
      <c r="B76" s="84"/>
      <c r="C76" s="144"/>
      <c r="D76" s="85"/>
      <c r="E76" s="85"/>
      <c r="F76" s="85"/>
      <c r="G76" s="85"/>
      <c r="H76" s="85"/>
      <c r="I76" s="85"/>
      <c r="J76" s="85"/>
      <c r="K76" s="85"/>
      <c r="O76">
        <f>SUM(O69:O75)</f>
        <v>4679</v>
      </c>
    </row>
    <row r="77" spans="1:15" ht="21" x14ac:dyDescent="0.35">
      <c r="A77" s="491" t="s">
        <v>487</v>
      </c>
      <c r="B77" s="491"/>
      <c r="C77" s="491"/>
      <c r="D77" s="491"/>
      <c r="E77" s="491"/>
      <c r="F77" s="491"/>
      <c r="G77" s="491"/>
      <c r="H77" s="491"/>
      <c r="I77" s="491"/>
      <c r="J77" s="491"/>
      <c r="K77" s="491"/>
    </row>
    <row r="78" spans="1:15" ht="21.75" thickBot="1" x14ac:dyDescent="0.4">
      <c r="A78" s="334" t="s">
        <v>10</v>
      </c>
      <c r="B78" s="334"/>
      <c r="C78" s="334"/>
      <c r="D78" s="334"/>
      <c r="E78" s="334"/>
      <c r="F78" s="334"/>
      <c r="G78" s="334"/>
      <c r="H78" s="334"/>
      <c r="I78" s="334"/>
      <c r="J78" s="334"/>
      <c r="K78" s="168"/>
    </row>
    <row r="79" spans="1:15" ht="15.75" thickBot="1" x14ac:dyDescent="0.3">
      <c r="A79" s="169" t="s">
        <v>58</v>
      </c>
      <c r="B79" s="170" t="s">
        <v>59</v>
      </c>
      <c r="C79" s="496" t="s">
        <v>33</v>
      </c>
      <c r="D79" s="497"/>
      <c r="E79" s="497"/>
      <c r="F79" s="497"/>
      <c r="G79" s="497"/>
      <c r="H79" s="497"/>
      <c r="I79" s="497"/>
      <c r="J79" s="498"/>
      <c r="K79" s="171" t="s">
        <v>4</v>
      </c>
    </row>
    <row r="80" spans="1:15" ht="15.75" thickBot="1" x14ac:dyDescent="0.3">
      <c r="A80" s="172"/>
      <c r="B80" s="173"/>
      <c r="C80" s="525"/>
      <c r="D80" s="526"/>
      <c r="E80" s="526"/>
      <c r="F80" s="526"/>
      <c r="G80" s="526"/>
      <c r="H80" s="526"/>
      <c r="I80" s="526"/>
      <c r="J80" s="527"/>
      <c r="K80" s="104"/>
    </row>
    <row r="81" spans="1:11" ht="15.75" thickBot="1" x14ac:dyDescent="0.3">
      <c r="A81" s="121"/>
      <c r="B81" s="173"/>
      <c r="C81" s="525"/>
      <c r="D81" s="526"/>
      <c r="E81" s="526"/>
      <c r="F81" s="526"/>
      <c r="G81" s="526"/>
      <c r="H81" s="526"/>
      <c r="I81" s="526"/>
      <c r="J81" s="527"/>
      <c r="K81" s="104"/>
    </row>
    <row r="82" spans="1:11" ht="15.75" thickBot="1" x14ac:dyDescent="0.3">
      <c r="A82" s="121"/>
      <c r="B82" s="173"/>
      <c r="C82" s="525"/>
      <c r="D82" s="526"/>
      <c r="E82" s="526"/>
      <c r="F82" s="526"/>
      <c r="G82" s="526"/>
      <c r="H82" s="526"/>
      <c r="I82" s="526"/>
      <c r="J82" s="527"/>
      <c r="K82" s="174"/>
    </row>
    <row r="83" spans="1:11" ht="15.75" thickBot="1" x14ac:dyDescent="0.3">
      <c r="A83" s="121"/>
      <c r="B83" s="173"/>
      <c r="C83" s="525"/>
      <c r="D83" s="526"/>
      <c r="E83" s="526"/>
      <c r="F83" s="526"/>
      <c r="G83" s="526"/>
      <c r="H83" s="526"/>
      <c r="I83" s="526"/>
      <c r="J83" s="527"/>
      <c r="K83" s="104"/>
    </row>
    <row r="84" spans="1:11" ht="15.75" thickBot="1" x14ac:dyDescent="0.3">
      <c r="A84" s="121"/>
      <c r="B84" s="173"/>
      <c r="C84" s="525"/>
      <c r="D84" s="526"/>
      <c r="E84" s="526"/>
      <c r="F84" s="526"/>
      <c r="G84" s="526"/>
      <c r="H84" s="526"/>
      <c r="I84" s="526"/>
      <c r="J84" s="527"/>
      <c r="K84" s="104"/>
    </row>
    <row r="85" spans="1:11" ht="15.75" thickBot="1" x14ac:dyDescent="0.3">
      <c r="A85" s="121"/>
      <c r="B85" s="173"/>
      <c r="C85" s="525"/>
      <c r="D85" s="526"/>
      <c r="E85" s="526"/>
      <c r="F85" s="526"/>
      <c r="G85" s="526"/>
      <c r="H85" s="526"/>
      <c r="I85" s="526"/>
      <c r="J85" s="527"/>
      <c r="K85" s="104"/>
    </row>
    <row r="86" spans="1:11" ht="15.75" thickBot="1" x14ac:dyDescent="0.3">
      <c r="A86" s="121"/>
      <c r="B86" s="173"/>
      <c r="C86" s="525"/>
      <c r="D86" s="526"/>
      <c r="E86" s="526"/>
      <c r="F86" s="526"/>
      <c r="G86" s="526"/>
      <c r="H86" s="526"/>
      <c r="I86" s="526"/>
      <c r="J86" s="527"/>
      <c r="K86" s="118"/>
    </row>
    <row r="87" spans="1:11" ht="15.75" thickBot="1" x14ac:dyDescent="0.3">
      <c r="A87" s="121"/>
      <c r="B87" s="173"/>
      <c r="C87" s="525"/>
      <c r="D87" s="526"/>
      <c r="E87" s="526"/>
      <c r="F87" s="526"/>
      <c r="G87" s="526"/>
      <c r="H87" s="526"/>
      <c r="I87" s="526"/>
      <c r="J87" s="527"/>
      <c r="K87" s="118"/>
    </row>
    <row r="88" spans="1:11" ht="15.75" thickBot="1" x14ac:dyDescent="0.3">
      <c r="A88" s="121"/>
      <c r="B88" s="173"/>
      <c r="C88" s="525"/>
      <c r="D88" s="526"/>
      <c r="E88" s="526"/>
      <c r="F88" s="526"/>
      <c r="G88" s="526"/>
      <c r="H88" s="526"/>
      <c r="I88" s="526"/>
      <c r="J88" s="527"/>
      <c r="K88" s="118"/>
    </row>
    <row r="89" spans="1:11" ht="15.75" thickBot="1" x14ac:dyDescent="0.3">
      <c r="A89" s="121"/>
      <c r="B89" s="173"/>
      <c r="C89" s="525"/>
      <c r="D89" s="526"/>
      <c r="E89" s="526"/>
      <c r="F89" s="526"/>
      <c r="G89" s="526"/>
      <c r="H89" s="526"/>
      <c r="I89" s="526"/>
      <c r="J89" s="527"/>
      <c r="K89" s="118"/>
    </row>
    <row r="90" spans="1:11" ht="19.5" thickBot="1" x14ac:dyDescent="0.35">
      <c r="A90" s="175" t="s">
        <v>60</v>
      </c>
      <c r="B90" s="492"/>
      <c r="C90" s="499"/>
      <c r="D90" s="499"/>
      <c r="E90" s="499"/>
      <c r="F90" s="499"/>
      <c r="G90" s="499"/>
      <c r="H90" s="499"/>
      <c r="I90" s="499"/>
      <c r="J90" s="337"/>
      <c r="K90" s="176">
        <f>SUM(K80:K89)</f>
        <v>0</v>
      </c>
    </row>
    <row r="91" spans="1:11" ht="18.75" x14ac:dyDescent="0.3">
      <c r="A91" s="2"/>
      <c r="B91" s="2"/>
      <c r="C91" s="177"/>
      <c r="D91" s="177"/>
      <c r="E91" s="177"/>
      <c r="F91" s="178"/>
      <c r="G91" s="177"/>
      <c r="H91" s="177"/>
      <c r="I91" s="177"/>
      <c r="J91" s="177"/>
      <c r="K91" s="111"/>
    </row>
    <row r="92" spans="1:11" ht="18.75" x14ac:dyDescent="0.3">
      <c r="A92" s="2"/>
      <c r="B92" s="2"/>
      <c r="C92" s="177"/>
      <c r="D92" s="177"/>
      <c r="E92" s="177"/>
      <c r="F92" s="178"/>
      <c r="G92" s="177"/>
      <c r="H92" s="177"/>
      <c r="I92" s="177"/>
      <c r="J92" s="177"/>
      <c r="K92" s="111"/>
    </row>
    <row r="93" spans="1:11" ht="18.75" x14ac:dyDescent="0.3">
      <c r="A93" s="139" t="s">
        <v>61</v>
      </c>
      <c r="B93" s="2"/>
      <c r="C93" s="84"/>
      <c r="D93" s="85"/>
      <c r="F93" s="85"/>
      <c r="K93" s="85"/>
    </row>
    <row r="94" spans="1:11" x14ac:dyDescent="0.25">
      <c r="A94" s="84" t="s">
        <v>62</v>
      </c>
      <c r="B94" s="144">
        <f>+K75</f>
        <v>6061.5</v>
      </c>
      <c r="C94" s="179"/>
      <c r="D94" s="85"/>
      <c r="F94" s="85"/>
      <c r="K94" s="85"/>
    </row>
    <row r="95" spans="1:11" ht="15.75" thickBot="1" x14ac:dyDescent="0.3">
      <c r="A95" s="84" t="s">
        <v>60</v>
      </c>
      <c r="B95" s="180">
        <f>+K90</f>
        <v>0</v>
      </c>
      <c r="C95" s="181"/>
      <c r="D95" s="85"/>
      <c r="F95" s="85"/>
      <c r="G95" s="182"/>
      <c r="H95" s="182"/>
      <c r="I95" s="183"/>
      <c r="J95" s="183"/>
      <c r="K95" s="183"/>
    </row>
    <row r="96" spans="1:11" ht="17.25" thickTop="1" thickBot="1" x14ac:dyDescent="0.3">
      <c r="A96" s="139" t="s">
        <v>8</v>
      </c>
      <c r="B96" s="184">
        <f>++B94-B95</f>
        <v>6061.5</v>
      </c>
      <c r="C96" s="185"/>
      <c r="D96" s="186"/>
      <c r="E96" s="41"/>
      <c r="F96" s="186"/>
      <c r="G96" s="187"/>
      <c r="H96" s="187"/>
      <c r="I96" s="85"/>
      <c r="J96" s="85"/>
    </row>
    <row r="97" customFormat="1" ht="15.75" thickTop="1" x14ac:dyDescent="0.25"/>
  </sheetData>
  <mergeCells count="18">
    <mergeCell ref="B90:I90"/>
    <mergeCell ref="B44:B46"/>
    <mergeCell ref="A44:A46"/>
    <mergeCell ref="C80:J80"/>
    <mergeCell ref="C81:J81"/>
    <mergeCell ref="C82:J82"/>
    <mergeCell ref="C83:J83"/>
    <mergeCell ref="C84:J84"/>
    <mergeCell ref="C85:J85"/>
    <mergeCell ref="C86:J86"/>
    <mergeCell ref="C87:J87"/>
    <mergeCell ref="C88:J88"/>
    <mergeCell ref="C89:J89"/>
    <mergeCell ref="A1:K1"/>
    <mergeCell ref="A61:B61"/>
    <mergeCell ref="A75:B75"/>
    <mergeCell ref="A77:K77"/>
    <mergeCell ref="C79:J79"/>
  </mergeCells>
  <pageMargins left="0.17" right="0.17" top="0.17" bottom="0.17" header="0.17" footer="0.17"/>
  <pageSetup paperSize="9" scale="4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E7D74-6410-4E1F-B675-465AE4269967}">
  <sheetPr>
    <pageSetUpPr fitToPage="1"/>
  </sheetPr>
  <dimension ref="A1:N107"/>
  <sheetViews>
    <sheetView topLeftCell="A73" workbookViewId="0">
      <selection activeCell="D94" sqref="D94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11" max="11" width="14" bestFit="1" customWidth="1"/>
  </cols>
  <sheetData>
    <row r="1" spans="1:11" ht="21" x14ac:dyDescent="0.35">
      <c r="A1" s="491" t="s">
        <v>502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</row>
    <row r="2" spans="1:11" ht="15.75" thickBot="1" x14ac:dyDescent="0.3">
      <c r="A2" s="83"/>
      <c r="B2" s="84"/>
      <c r="C2" s="84"/>
      <c r="K2" s="85"/>
    </row>
    <row r="3" spans="1:11" ht="4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347" t="s">
        <v>489</v>
      </c>
      <c r="K3" s="87" t="s">
        <v>4</v>
      </c>
    </row>
    <row r="4" spans="1:11" ht="15.75" thickBot="1" x14ac:dyDescent="0.3">
      <c r="A4" s="88" t="s">
        <v>38</v>
      </c>
      <c r="B4" s="88" t="s">
        <v>512</v>
      </c>
      <c r="C4" s="89">
        <v>46113</v>
      </c>
      <c r="D4" s="90"/>
      <c r="E4" s="90"/>
      <c r="F4" s="90"/>
      <c r="G4" s="90"/>
      <c r="H4" s="90">
        <v>71.599999999999994</v>
      </c>
      <c r="I4" s="90"/>
      <c r="J4" s="348"/>
      <c r="K4" s="87">
        <f>SUM(D4:J4)</f>
        <v>71.599999999999994</v>
      </c>
    </row>
    <row r="5" spans="1:11" ht="15.75" thickBot="1" x14ac:dyDescent="0.3">
      <c r="A5" s="88"/>
      <c r="B5" s="88"/>
      <c r="C5" s="89"/>
      <c r="D5" s="90"/>
      <c r="E5" s="90"/>
      <c r="F5" s="90"/>
      <c r="G5" s="90"/>
      <c r="H5" s="90"/>
      <c r="I5" s="90"/>
      <c r="J5" s="348"/>
      <c r="K5" s="87">
        <f t="shared" ref="K5:K22" si="0">SUM(D5:J5)</f>
        <v>0</v>
      </c>
    </row>
    <row r="6" spans="1:11" ht="15.75" thickBot="1" x14ac:dyDescent="0.3">
      <c r="A6" s="88"/>
      <c r="B6" s="88"/>
      <c r="C6" s="89"/>
      <c r="D6" s="90"/>
      <c r="E6" s="90"/>
      <c r="F6" s="90"/>
      <c r="G6" s="90"/>
      <c r="H6" s="90"/>
      <c r="I6" s="90"/>
      <c r="J6" s="348"/>
      <c r="K6" s="87">
        <f t="shared" si="0"/>
        <v>0</v>
      </c>
    </row>
    <row r="7" spans="1:11" ht="15.75" thickBot="1" x14ac:dyDescent="0.3">
      <c r="A7" s="88"/>
      <c r="B7" s="88"/>
      <c r="C7" s="89"/>
      <c r="D7" s="90"/>
      <c r="E7" s="90"/>
      <c r="F7" s="90"/>
      <c r="G7" s="90"/>
      <c r="H7" s="90"/>
      <c r="I7" s="90"/>
      <c r="J7" s="348"/>
      <c r="K7" s="87">
        <f t="shared" si="0"/>
        <v>0</v>
      </c>
    </row>
    <row r="8" spans="1:11" ht="15.75" thickBot="1" x14ac:dyDescent="0.3">
      <c r="A8" s="88"/>
      <c r="B8" s="88"/>
      <c r="C8" s="89"/>
      <c r="D8" s="90"/>
      <c r="E8" s="90"/>
      <c r="F8" s="90"/>
      <c r="G8" s="90"/>
      <c r="H8" s="90"/>
      <c r="I8" s="90"/>
      <c r="J8" s="348"/>
      <c r="K8" s="87">
        <f t="shared" si="0"/>
        <v>0</v>
      </c>
    </row>
    <row r="9" spans="1:11" ht="15.75" thickBot="1" x14ac:dyDescent="0.3">
      <c r="A9" s="88"/>
      <c r="B9" s="88"/>
      <c r="C9" s="89"/>
      <c r="D9" s="90"/>
      <c r="E9" s="90"/>
      <c r="F9" s="90"/>
      <c r="G9" s="90"/>
      <c r="H9" s="90"/>
      <c r="I9" s="90"/>
      <c r="J9" s="348"/>
      <c r="K9" s="87">
        <f t="shared" si="0"/>
        <v>0</v>
      </c>
    </row>
    <row r="10" spans="1:11" ht="15.75" thickBot="1" x14ac:dyDescent="0.3">
      <c r="A10" s="345"/>
      <c r="B10" s="103"/>
      <c r="C10" s="103"/>
      <c r="D10" s="116"/>
      <c r="E10" s="116"/>
      <c r="F10" s="116"/>
      <c r="G10" s="116"/>
      <c r="H10" s="90"/>
      <c r="I10" s="90"/>
      <c r="J10" s="348"/>
      <c r="K10" s="87">
        <f t="shared" si="0"/>
        <v>0</v>
      </c>
    </row>
    <row r="11" spans="1:11" ht="15.75" thickBot="1" x14ac:dyDescent="0.3">
      <c r="A11" s="88"/>
      <c r="B11" s="88"/>
      <c r="C11" s="89"/>
      <c r="D11" s="90"/>
      <c r="E11" s="90"/>
      <c r="F11" s="90"/>
      <c r="G11" s="90"/>
      <c r="H11" s="90"/>
      <c r="I11" s="90"/>
      <c r="J11" s="348"/>
      <c r="K11" s="87">
        <f t="shared" si="0"/>
        <v>0</v>
      </c>
    </row>
    <row r="12" spans="1:11" ht="15.75" thickBot="1" x14ac:dyDescent="0.3">
      <c r="A12" s="343"/>
      <c r="B12" s="88"/>
      <c r="C12" s="89"/>
      <c r="D12" s="90"/>
      <c r="E12" s="90"/>
      <c r="F12" s="90"/>
      <c r="G12" s="90"/>
      <c r="H12" s="90"/>
      <c r="I12" s="90"/>
      <c r="J12" s="348"/>
      <c r="K12" s="87">
        <f t="shared" si="0"/>
        <v>0</v>
      </c>
    </row>
    <row r="13" spans="1:11" ht="15.75" thickBot="1" x14ac:dyDescent="0.3">
      <c r="A13" s="343"/>
      <c r="B13" s="341"/>
      <c r="C13" s="89"/>
      <c r="D13" s="90"/>
      <c r="E13" s="90"/>
      <c r="F13" s="90"/>
      <c r="G13" s="90"/>
      <c r="H13" s="90"/>
      <c r="I13" s="93"/>
      <c r="J13" s="99"/>
      <c r="K13" s="87">
        <f t="shared" si="0"/>
        <v>0</v>
      </c>
    </row>
    <row r="14" spans="1:11" ht="15.75" thickBot="1" x14ac:dyDescent="0.3">
      <c r="A14" s="88"/>
      <c r="B14" s="88"/>
      <c r="C14" s="89"/>
      <c r="D14" s="90"/>
      <c r="E14" s="90"/>
      <c r="F14" s="90"/>
      <c r="G14" s="90"/>
      <c r="H14" s="90"/>
      <c r="I14" s="90"/>
      <c r="J14" s="348"/>
      <c r="K14" s="87">
        <f t="shared" si="0"/>
        <v>0</v>
      </c>
    </row>
    <row r="15" spans="1:11" ht="15.75" thickBot="1" x14ac:dyDescent="0.3">
      <c r="A15" s="95"/>
      <c r="B15" s="342"/>
      <c r="C15" s="89"/>
      <c r="D15" s="90"/>
      <c r="E15" s="90"/>
      <c r="F15" s="90"/>
      <c r="G15" s="90"/>
      <c r="H15" s="90"/>
      <c r="I15" s="90"/>
      <c r="J15" s="348"/>
      <c r="K15" s="87">
        <f t="shared" si="0"/>
        <v>0</v>
      </c>
    </row>
    <row r="16" spans="1:11" ht="15.75" thickBot="1" x14ac:dyDescent="0.3">
      <c r="A16" s="97"/>
      <c r="B16" s="95"/>
      <c r="C16" s="89"/>
      <c r="D16" s="90"/>
      <c r="E16" s="90"/>
      <c r="F16" s="90"/>
      <c r="G16" s="90"/>
      <c r="H16" s="90"/>
      <c r="I16" s="90"/>
      <c r="J16" s="348"/>
      <c r="K16" s="87">
        <f t="shared" si="0"/>
        <v>0</v>
      </c>
    </row>
    <row r="17" spans="1:14" ht="15.75" thickBot="1" x14ac:dyDescent="0.3">
      <c r="A17" s="339"/>
      <c r="B17" s="339"/>
      <c r="C17" s="89"/>
      <c r="D17" s="90"/>
      <c r="E17" s="90"/>
      <c r="F17" s="90"/>
      <c r="G17" s="90"/>
      <c r="H17" s="90"/>
      <c r="I17" s="90"/>
      <c r="J17" s="348"/>
      <c r="K17" s="87">
        <f t="shared" si="0"/>
        <v>0</v>
      </c>
    </row>
    <row r="18" spans="1:14" ht="15.75" thickBot="1" x14ac:dyDescent="0.3">
      <c r="A18" s="99"/>
      <c r="B18" s="339"/>
      <c r="C18" s="89"/>
      <c r="D18" s="90"/>
      <c r="E18" s="90"/>
      <c r="F18" s="90"/>
      <c r="G18" s="90"/>
      <c r="H18" s="90"/>
      <c r="I18" s="90"/>
      <c r="J18" s="348"/>
      <c r="K18" s="87">
        <f t="shared" si="0"/>
        <v>0</v>
      </c>
    </row>
    <row r="19" spans="1:14" ht="15.75" thickBot="1" x14ac:dyDescent="0.3">
      <c r="A19" s="99"/>
      <c r="B19" s="339"/>
      <c r="C19" s="89"/>
      <c r="D19" s="90"/>
      <c r="E19" s="90"/>
      <c r="F19" s="90"/>
      <c r="G19" s="90"/>
      <c r="H19" s="90"/>
      <c r="I19" s="90"/>
      <c r="J19" s="348"/>
      <c r="K19" s="87">
        <f t="shared" si="0"/>
        <v>0</v>
      </c>
    </row>
    <row r="20" spans="1:14" ht="15.75" thickBot="1" x14ac:dyDescent="0.3">
      <c r="A20" s="100"/>
      <c r="B20" s="339"/>
      <c r="C20" s="89"/>
      <c r="D20" s="90"/>
      <c r="E20" s="90"/>
      <c r="F20" s="90"/>
      <c r="G20" s="90"/>
      <c r="H20" s="90"/>
      <c r="I20" s="90"/>
      <c r="J20" s="348"/>
      <c r="K20" s="87">
        <f t="shared" si="0"/>
        <v>0</v>
      </c>
    </row>
    <row r="21" spans="1:14" ht="15.75" thickBot="1" x14ac:dyDescent="0.3">
      <c r="A21" s="345"/>
      <c r="B21" s="345"/>
      <c r="C21" s="89"/>
      <c r="D21" s="90"/>
      <c r="E21" s="90"/>
      <c r="F21" s="90"/>
      <c r="G21" s="90"/>
      <c r="H21" s="90"/>
      <c r="I21" s="90"/>
      <c r="J21" s="348"/>
      <c r="K21" s="87">
        <f t="shared" si="0"/>
        <v>0</v>
      </c>
    </row>
    <row r="22" spans="1:14" ht="15.75" thickBot="1" x14ac:dyDescent="0.3">
      <c r="A22" s="339"/>
      <c r="B22" s="344"/>
      <c r="C22" s="103"/>
      <c r="D22" s="104"/>
      <c r="E22" s="104"/>
      <c r="F22" s="104"/>
      <c r="G22" s="104"/>
      <c r="H22" s="104"/>
      <c r="I22" s="104"/>
      <c r="J22" s="349"/>
      <c r="K22" s="87">
        <f t="shared" si="0"/>
        <v>0</v>
      </c>
    </row>
    <row r="23" spans="1:14" ht="19.5" thickBot="1" x14ac:dyDescent="0.35">
      <c r="A23" s="105" t="s">
        <v>4</v>
      </c>
      <c r="B23" s="86"/>
      <c r="C23" s="106"/>
      <c r="D23" s="108">
        <f t="shared" ref="D23:J23" si="1">SUM(D4:D22)</f>
        <v>0</v>
      </c>
      <c r="E23" s="108">
        <f t="shared" si="1"/>
        <v>0</v>
      </c>
      <c r="F23" s="108">
        <f t="shared" si="1"/>
        <v>0</v>
      </c>
      <c r="G23" s="108">
        <f t="shared" si="1"/>
        <v>0</v>
      </c>
      <c r="H23" s="108">
        <f t="shared" si="1"/>
        <v>71.599999999999994</v>
      </c>
      <c r="I23" s="108">
        <f t="shared" si="1"/>
        <v>0</v>
      </c>
      <c r="J23" s="108">
        <f t="shared" si="1"/>
        <v>0</v>
      </c>
      <c r="K23" s="108">
        <f>SUM(K4:K22)</f>
        <v>71.599999999999994</v>
      </c>
    </row>
    <row r="24" spans="1:14" ht="19.5" thickBot="1" x14ac:dyDescent="0.35">
      <c r="A24" s="2"/>
      <c r="B24" s="109"/>
      <c r="C24" s="110"/>
      <c r="D24" s="111"/>
      <c r="E24" s="111"/>
      <c r="F24" s="111"/>
      <c r="G24" s="111"/>
      <c r="H24" s="111"/>
      <c r="I24" s="111"/>
      <c r="J24" s="111"/>
      <c r="K24" s="111"/>
    </row>
    <row r="25" spans="1:14" ht="24" thickBot="1" x14ac:dyDescent="0.4">
      <c r="A25" s="112" t="s">
        <v>40</v>
      </c>
      <c r="B25" s="109"/>
      <c r="C25" s="110"/>
      <c r="D25" s="111"/>
      <c r="E25" s="111"/>
      <c r="F25" s="111"/>
      <c r="G25" s="111"/>
      <c r="H25" s="111"/>
      <c r="I25" s="111"/>
      <c r="J25" s="111"/>
      <c r="K25" s="111"/>
    </row>
    <row r="26" spans="1:14" ht="15.75" thickBot="1" x14ac:dyDescent="0.3">
      <c r="A26" s="113" t="s">
        <v>3</v>
      </c>
      <c r="B26" s="86" t="s">
        <v>32</v>
      </c>
      <c r="C26" s="114" t="s">
        <v>41</v>
      </c>
      <c r="D26" s="114" t="s">
        <v>34</v>
      </c>
      <c r="E26" s="114" t="s">
        <v>35</v>
      </c>
      <c r="F26" s="86" t="s">
        <v>36</v>
      </c>
      <c r="G26" s="86" t="s">
        <v>37</v>
      </c>
      <c r="H26" s="86" t="s">
        <v>42</v>
      </c>
      <c r="I26" s="86" t="s">
        <v>39</v>
      </c>
      <c r="J26" s="86"/>
      <c r="K26" s="115" t="s">
        <v>4</v>
      </c>
    </row>
    <row r="27" spans="1:14" ht="30.75" thickBot="1" x14ac:dyDescent="0.3">
      <c r="A27" s="345" t="s">
        <v>504</v>
      </c>
      <c r="B27" s="103" t="s">
        <v>505</v>
      </c>
      <c r="C27" s="103">
        <v>46113</v>
      </c>
      <c r="D27" s="116"/>
      <c r="E27" s="117"/>
      <c r="F27" s="116"/>
      <c r="G27" s="116">
        <v>30</v>
      </c>
      <c r="H27" s="118"/>
      <c r="I27" s="118"/>
      <c r="J27" s="118"/>
      <c r="K27" s="119">
        <f>SUM(D27:I27)</f>
        <v>30</v>
      </c>
    </row>
    <row r="28" spans="1:14" ht="15.75" thickBot="1" x14ac:dyDescent="0.3">
      <c r="A28" s="345"/>
      <c r="B28" s="344"/>
      <c r="C28" s="103"/>
      <c r="D28" s="116"/>
      <c r="E28" s="117"/>
      <c r="F28" s="116"/>
      <c r="G28" s="116"/>
      <c r="H28" s="118"/>
      <c r="I28" s="118"/>
      <c r="J28" s="118"/>
      <c r="K28" s="119"/>
    </row>
    <row r="29" spans="1:14" ht="15.75" thickBot="1" x14ac:dyDescent="0.3">
      <c r="A29" s="345"/>
      <c r="B29" s="339"/>
      <c r="C29" s="89"/>
      <c r="D29" s="120"/>
      <c r="E29" s="120"/>
      <c r="F29" s="120"/>
      <c r="G29" s="120"/>
      <c r="H29" s="90"/>
      <c r="I29" s="90"/>
      <c r="J29" s="90"/>
      <c r="K29" s="119">
        <f t="shared" ref="K29:K30" si="2">SUM(D29:I29)</f>
        <v>0</v>
      </c>
    </row>
    <row r="30" spans="1:14" ht="15.75" thickBot="1" x14ac:dyDescent="0.3">
      <c r="A30" s="86"/>
      <c r="B30" s="121"/>
      <c r="C30" s="89"/>
      <c r="D30" s="120"/>
      <c r="E30" s="120"/>
      <c r="F30" s="120"/>
      <c r="G30" s="120"/>
      <c r="H30" s="90"/>
      <c r="I30" s="90"/>
      <c r="J30" s="90"/>
      <c r="K30" s="119">
        <f t="shared" si="2"/>
        <v>0</v>
      </c>
      <c r="M30" s="122" t="s">
        <v>43</v>
      </c>
      <c r="N30" s="123">
        <f>K31+K39</f>
        <v>30</v>
      </c>
    </row>
    <row r="31" spans="1:14" ht="15.75" thickBot="1" x14ac:dyDescent="0.3">
      <c r="A31" s="86" t="s">
        <v>4</v>
      </c>
      <c r="B31" s="350"/>
      <c r="C31" s="125"/>
      <c r="D31" s="116">
        <f>SUM(D27:D30)</f>
        <v>0</v>
      </c>
      <c r="E31" s="116">
        <f t="shared" ref="E31:J31" si="3">SUM(E27:E30)</f>
        <v>0</v>
      </c>
      <c r="F31" s="116">
        <f t="shared" si="3"/>
        <v>0</v>
      </c>
      <c r="G31" s="116">
        <f t="shared" si="3"/>
        <v>30</v>
      </c>
      <c r="H31" s="116">
        <f t="shared" si="3"/>
        <v>0</v>
      </c>
      <c r="I31" s="116">
        <f t="shared" si="3"/>
        <v>0</v>
      </c>
      <c r="J31" s="116">
        <f t="shared" si="3"/>
        <v>0</v>
      </c>
      <c r="K31" s="94">
        <f>SUM(K27:K30)</f>
        <v>30</v>
      </c>
    </row>
    <row r="32" spans="1:14" ht="15.75" thickBot="1" x14ac:dyDescent="0.3">
      <c r="A32" s="109"/>
      <c r="B32" s="127"/>
      <c r="C32" s="128"/>
      <c r="D32" s="129"/>
      <c r="E32" s="129"/>
      <c r="F32" s="129"/>
      <c r="G32" s="129"/>
      <c r="H32" s="129"/>
      <c r="I32" s="129"/>
      <c r="J32" s="129"/>
      <c r="K32" s="130"/>
    </row>
    <row r="33" spans="1:14" ht="24" thickBot="1" x14ac:dyDescent="0.4">
      <c r="A33" s="112" t="s">
        <v>40</v>
      </c>
      <c r="B33" s="109"/>
      <c r="C33" s="110"/>
      <c r="D33" s="111"/>
      <c r="E33" s="111"/>
      <c r="F33" s="111"/>
      <c r="G33" s="111"/>
      <c r="H33" s="111"/>
      <c r="I33" s="111"/>
      <c r="J33" s="111"/>
      <c r="K33" s="111"/>
    </row>
    <row r="34" spans="1:14" ht="45.75" thickBot="1" x14ac:dyDescent="0.3">
      <c r="A34" s="131" t="s">
        <v>44</v>
      </c>
      <c r="B34" s="86" t="s">
        <v>45</v>
      </c>
      <c r="C34" s="114" t="s">
        <v>41</v>
      </c>
      <c r="D34" s="114" t="s">
        <v>34</v>
      </c>
      <c r="E34" s="114" t="s">
        <v>35</v>
      </c>
      <c r="F34" s="114" t="s">
        <v>46</v>
      </c>
      <c r="G34" s="114" t="s">
        <v>47</v>
      </c>
      <c r="H34" s="114" t="s">
        <v>42</v>
      </c>
      <c r="I34" s="132" t="s">
        <v>48</v>
      </c>
      <c r="J34" s="86"/>
      <c r="K34" s="115" t="s">
        <v>4</v>
      </c>
    </row>
    <row r="35" spans="1:14" ht="15.75" thickBot="1" x14ac:dyDescent="0.3">
      <c r="A35" s="133"/>
      <c r="B35" s="99"/>
      <c r="C35" s="89"/>
      <c r="D35" s="90"/>
      <c r="E35" s="90"/>
      <c r="F35" s="90"/>
      <c r="G35" s="90"/>
      <c r="H35" s="90"/>
      <c r="I35" s="90"/>
      <c r="J35" s="348"/>
      <c r="K35" s="87">
        <f t="shared" ref="K35:K38" si="4">SUM(D35:I35)</f>
        <v>0</v>
      </c>
    </row>
    <row r="36" spans="1:14" ht="15.75" thickBot="1" x14ac:dyDescent="0.3">
      <c r="A36" s="95"/>
      <c r="B36" s="103"/>
      <c r="C36" s="89"/>
      <c r="D36" s="116"/>
      <c r="E36" s="116"/>
      <c r="F36" s="116"/>
      <c r="G36" s="116"/>
      <c r="H36" s="118"/>
      <c r="I36" s="118"/>
      <c r="J36" s="118"/>
      <c r="K36" s="119">
        <f t="shared" si="4"/>
        <v>0</v>
      </c>
    </row>
    <row r="37" spans="1:14" ht="15.75" thickBot="1" x14ac:dyDescent="0.3">
      <c r="A37" s="345"/>
      <c r="B37" s="339"/>
      <c r="C37" s="89"/>
      <c r="D37" s="120"/>
      <c r="E37" s="120"/>
      <c r="F37" s="120"/>
      <c r="G37" s="120"/>
      <c r="H37" s="90"/>
      <c r="I37" s="90"/>
      <c r="J37" s="90"/>
      <c r="K37" s="119">
        <f t="shared" si="4"/>
        <v>0</v>
      </c>
    </row>
    <row r="38" spans="1:14" ht="15.75" thickBot="1" x14ac:dyDescent="0.3">
      <c r="A38" s="86"/>
      <c r="B38" s="121"/>
      <c r="C38" s="89"/>
      <c r="D38" s="120"/>
      <c r="E38" s="120"/>
      <c r="F38" s="120"/>
      <c r="G38" s="120"/>
      <c r="H38" s="90"/>
      <c r="I38" s="90"/>
      <c r="J38" s="90"/>
      <c r="K38" s="119">
        <f t="shared" si="4"/>
        <v>0</v>
      </c>
      <c r="M38" s="134"/>
      <c r="N38" s="135"/>
    </row>
    <row r="39" spans="1:14" ht="15.75" thickBot="1" x14ac:dyDescent="0.3">
      <c r="A39" s="86" t="s">
        <v>4</v>
      </c>
      <c r="B39" s="350"/>
      <c r="C39" s="125"/>
      <c r="D39" s="116">
        <f>SUM(D35:D38)</f>
        <v>0</v>
      </c>
      <c r="E39" s="116">
        <f t="shared" ref="E39:J39" si="5">SUM(E35:E38)</f>
        <v>0</v>
      </c>
      <c r="F39" s="116">
        <f t="shared" si="5"/>
        <v>0</v>
      </c>
      <c r="G39" s="116">
        <f t="shared" si="5"/>
        <v>0</v>
      </c>
      <c r="H39" s="116">
        <f t="shared" si="5"/>
        <v>0</v>
      </c>
      <c r="I39" s="116">
        <f t="shared" si="5"/>
        <v>0</v>
      </c>
      <c r="J39" s="116">
        <f t="shared" si="5"/>
        <v>0</v>
      </c>
      <c r="K39" s="94">
        <f>SUM(K35:K38)</f>
        <v>0</v>
      </c>
    </row>
    <row r="40" spans="1:14" x14ac:dyDescent="0.25">
      <c r="A40" s="109"/>
      <c r="B40" s="127"/>
      <c r="C40" s="128"/>
      <c r="D40" s="129"/>
      <c r="E40" s="129"/>
      <c r="F40" s="129"/>
      <c r="G40" s="129"/>
      <c r="H40" s="129"/>
      <c r="I40" s="129"/>
      <c r="J40" s="129"/>
      <c r="K40" s="130"/>
    </row>
    <row r="41" spans="1:14" x14ac:dyDescent="0.25">
      <c r="A41" s="109"/>
      <c r="B41" s="127"/>
      <c r="C41" s="128"/>
      <c r="D41" s="129"/>
      <c r="E41" s="129"/>
      <c r="F41" s="129"/>
      <c r="G41" s="129"/>
      <c r="H41" s="129"/>
      <c r="I41" s="129"/>
      <c r="J41" s="129"/>
      <c r="K41" s="130"/>
    </row>
    <row r="42" spans="1:14" ht="15.75" thickBot="1" x14ac:dyDescent="0.3">
      <c r="A42" s="84"/>
      <c r="B42" s="84"/>
      <c r="C42" s="84"/>
      <c r="K42" s="85"/>
    </row>
    <row r="43" spans="1:14" ht="45.75" thickBot="1" x14ac:dyDescent="0.3">
      <c r="A43" s="114" t="s">
        <v>49</v>
      </c>
      <c r="B43" s="86" t="s">
        <v>45</v>
      </c>
      <c r="C43" s="114" t="s">
        <v>41</v>
      </c>
      <c r="D43" s="114" t="s">
        <v>34</v>
      </c>
      <c r="E43" s="114" t="s">
        <v>35</v>
      </c>
      <c r="F43" s="114" t="s">
        <v>46</v>
      </c>
      <c r="G43" s="114" t="s">
        <v>47</v>
      </c>
      <c r="H43" s="86" t="s">
        <v>48</v>
      </c>
      <c r="I43" s="132" t="s">
        <v>42</v>
      </c>
      <c r="J43" s="86" t="s">
        <v>497</v>
      </c>
      <c r="K43" s="115" t="s">
        <v>4</v>
      </c>
    </row>
    <row r="44" spans="1:14" ht="15.75" thickBot="1" x14ac:dyDescent="0.3">
      <c r="A44" s="137"/>
      <c r="B44" s="360"/>
      <c r="C44" s="103"/>
      <c r="D44" s="118"/>
      <c r="E44" s="136"/>
      <c r="F44" s="118"/>
      <c r="G44" s="118"/>
      <c r="H44" s="118"/>
      <c r="I44" s="118"/>
      <c r="J44" s="118"/>
      <c r="K44" s="119"/>
    </row>
    <row r="45" spans="1:14" ht="15.75" thickBot="1" x14ac:dyDescent="0.3">
      <c r="A45" s="103"/>
      <c r="B45" s="118"/>
      <c r="C45" s="118"/>
      <c r="D45" s="118"/>
      <c r="E45" s="118"/>
      <c r="F45" s="118"/>
      <c r="G45" s="118"/>
      <c r="H45" s="118"/>
      <c r="I45" s="118"/>
      <c r="J45" s="118"/>
      <c r="K45" s="119"/>
    </row>
    <row r="46" spans="1:14" ht="15.75" thickBot="1" x14ac:dyDescent="0.3">
      <c r="A46" s="103"/>
      <c r="B46" s="118"/>
      <c r="C46" s="118"/>
      <c r="D46" s="118"/>
      <c r="E46" s="118"/>
      <c r="F46" s="118"/>
      <c r="G46" s="118"/>
      <c r="H46" s="118"/>
      <c r="I46" s="118"/>
      <c r="J46" s="118"/>
      <c r="K46" s="119"/>
    </row>
    <row r="47" spans="1:14" ht="15.75" thickBot="1" x14ac:dyDescent="0.3">
      <c r="A47" s="121"/>
      <c r="B47" s="103"/>
      <c r="C47" s="103"/>
      <c r="D47" s="118"/>
      <c r="E47" s="118"/>
      <c r="F47" s="118"/>
      <c r="G47" s="118"/>
      <c r="H47" s="118"/>
      <c r="I47" s="118"/>
      <c r="J47" s="118"/>
      <c r="K47" s="119"/>
    </row>
    <row r="48" spans="1:14" ht="15.75" thickBot="1" x14ac:dyDescent="0.3">
      <c r="A48" s="121"/>
      <c r="B48" s="103"/>
      <c r="C48" s="103"/>
      <c r="D48" s="118"/>
      <c r="E48" s="118"/>
      <c r="F48" s="118"/>
      <c r="G48" s="118"/>
      <c r="H48" s="118"/>
      <c r="I48" s="118"/>
      <c r="J48" s="118"/>
      <c r="K48" s="119"/>
    </row>
    <row r="49" spans="1:11" ht="15.75" thickBot="1" x14ac:dyDescent="0.3">
      <c r="A49" s="339"/>
      <c r="B49" s="103"/>
      <c r="C49" s="103"/>
      <c r="D49" s="118"/>
      <c r="E49" s="118"/>
      <c r="F49" s="118"/>
      <c r="G49" s="118"/>
      <c r="H49" s="118"/>
      <c r="I49" s="118"/>
      <c r="J49" s="118"/>
      <c r="K49" s="119"/>
    </row>
    <row r="50" spans="1:11" ht="15.75" thickBot="1" x14ac:dyDescent="0.3">
      <c r="A50" s="339"/>
      <c r="B50" s="103"/>
      <c r="C50" s="103"/>
      <c r="D50" s="118"/>
      <c r="E50" s="118"/>
      <c r="F50" s="118"/>
      <c r="G50" s="118"/>
      <c r="H50" s="118"/>
      <c r="I50" s="118"/>
      <c r="J50" s="118"/>
      <c r="K50" s="119">
        <f t="shared" ref="K50:K57" si="6">SUM(D50:J50)</f>
        <v>0</v>
      </c>
    </row>
    <row r="51" spans="1:11" ht="15.75" thickBot="1" x14ac:dyDescent="0.3">
      <c r="A51" s="339"/>
      <c r="B51" s="103"/>
      <c r="C51" s="103"/>
      <c r="D51" s="118"/>
      <c r="E51" s="118"/>
      <c r="F51" s="118"/>
      <c r="G51" s="118"/>
      <c r="H51" s="118"/>
      <c r="I51" s="118"/>
      <c r="J51" s="118"/>
      <c r="K51" s="119">
        <f t="shared" si="6"/>
        <v>0</v>
      </c>
    </row>
    <row r="52" spans="1:11" ht="15.75" thickBot="1" x14ac:dyDescent="0.3">
      <c r="A52" s="339"/>
      <c r="B52" s="103"/>
      <c r="C52" s="103"/>
      <c r="D52" s="118"/>
      <c r="E52" s="118"/>
      <c r="F52" s="118"/>
      <c r="G52" s="118"/>
      <c r="H52" s="118"/>
      <c r="I52" s="118"/>
      <c r="J52" s="118"/>
      <c r="K52" s="119">
        <f t="shared" si="6"/>
        <v>0</v>
      </c>
    </row>
    <row r="53" spans="1:11" ht="15.75" thickBot="1" x14ac:dyDescent="0.3">
      <c r="A53" s="339"/>
      <c r="B53" s="103"/>
      <c r="C53" s="103"/>
      <c r="D53" s="118"/>
      <c r="E53" s="118"/>
      <c r="F53" s="118"/>
      <c r="G53" s="118"/>
      <c r="H53" s="118"/>
      <c r="I53" s="118"/>
      <c r="J53" s="118"/>
      <c r="K53" s="119">
        <f t="shared" si="6"/>
        <v>0</v>
      </c>
    </row>
    <row r="54" spans="1:11" ht="15.75" thickBot="1" x14ac:dyDescent="0.3">
      <c r="A54" s="137"/>
      <c r="B54" s="103"/>
      <c r="C54" s="103"/>
      <c r="D54" s="118"/>
      <c r="E54" s="118"/>
      <c r="F54" s="118"/>
      <c r="G54" s="118"/>
      <c r="H54" s="118"/>
      <c r="I54" s="118"/>
      <c r="J54" s="118"/>
      <c r="K54" s="119">
        <f t="shared" si="6"/>
        <v>0</v>
      </c>
    </row>
    <row r="55" spans="1:11" ht="15.75" thickBot="1" x14ac:dyDescent="0.3">
      <c r="A55" s="121"/>
      <c r="B55" s="103"/>
      <c r="C55" s="103"/>
      <c r="D55" s="118"/>
      <c r="F55" s="118"/>
      <c r="G55" s="118"/>
      <c r="H55" s="118"/>
      <c r="I55" s="118"/>
      <c r="J55" s="118"/>
      <c r="K55" s="119">
        <f t="shared" si="6"/>
        <v>0</v>
      </c>
    </row>
    <row r="56" spans="1:11" ht="15.75" thickBot="1" x14ac:dyDescent="0.3">
      <c r="A56" s="121"/>
      <c r="B56" s="103"/>
      <c r="C56" s="103"/>
      <c r="D56" s="118"/>
      <c r="E56" s="118"/>
      <c r="F56" s="118"/>
      <c r="G56" s="118"/>
      <c r="H56" s="118"/>
      <c r="I56" s="118"/>
      <c r="J56" s="118"/>
      <c r="K56" s="119">
        <f t="shared" si="6"/>
        <v>0</v>
      </c>
    </row>
    <row r="57" spans="1:11" ht="15.75" thickBot="1" x14ac:dyDescent="0.3">
      <c r="A57" s="121"/>
      <c r="B57" s="103"/>
      <c r="C57" s="103"/>
      <c r="D57" s="138"/>
      <c r="E57" s="138"/>
      <c r="F57" s="138"/>
      <c r="G57" s="138"/>
      <c r="H57" s="138"/>
      <c r="I57" s="138"/>
      <c r="J57" s="138"/>
      <c r="K57" s="119">
        <f t="shared" si="6"/>
        <v>0</v>
      </c>
    </row>
    <row r="58" spans="1:11" ht="19.5" thickBot="1" x14ac:dyDescent="0.35">
      <c r="A58" s="105" t="s">
        <v>4</v>
      </c>
      <c r="B58" s="86"/>
      <c r="C58" s="106"/>
      <c r="D58" s="107">
        <f t="shared" ref="D58:K58" si="7">SUM(D44:D57)</f>
        <v>0</v>
      </c>
      <c r="E58" s="107">
        <f t="shared" si="7"/>
        <v>0</v>
      </c>
      <c r="F58" s="107">
        <f t="shared" si="7"/>
        <v>0</v>
      </c>
      <c r="G58" s="107">
        <f t="shared" si="7"/>
        <v>0</v>
      </c>
      <c r="H58" s="107">
        <f t="shared" si="7"/>
        <v>0</v>
      </c>
      <c r="I58" s="107">
        <f t="shared" si="7"/>
        <v>0</v>
      </c>
      <c r="J58" s="107"/>
      <c r="K58" s="107">
        <f t="shared" si="7"/>
        <v>0</v>
      </c>
    </row>
    <row r="59" spans="1:11" ht="15.75" x14ac:dyDescent="0.25">
      <c r="A59" s="139"/>
      <c r="B59" s="139"/>
      <c r="C59" s="140"/>
      <c r="D59" s="141"/>
      <c r="E59" s="141"/>
      <c r="F59" s="141"/>
      <c r="G59" s="141"/>
      <c r="H59" s="141"/>
      <c r="I59" s="141"/>
      <c r="J59" s="141"/>
      <c r="K59" s="141"/>
    </row>
    <row r="60" spans="1:11" ht="16.5" thickBot="1" x14ac:dyDescent="0.3">
      <c r="A60" s="139"/>
      <c r="B60" s="139"/>
      <c r="C60" s="140"/>
      <c r="D60" s="141"/>
      <c r="E60" s="141"/>
      <c r="F60" s="141"/>
      <c r="G60" s="141"/>
      <c r="H60" s="141"/>
      <c r="I60" s="141"/>
      <c r="J60" s="141"/>
      <c r="K60" s="141"/>
    </row>
    <row r="61" spans="1:11" ht="19.5" thickBot="1" x14ac:dyDescent="0.35">
      <c r="A61" s="492" t="s">
        <v>50</v>
      </c>
      <c r="B61" s="493"/>
      <c r="C61" s="142"/>
      <c r="D61" s="143"/>
      <c r="E61" s="143"/>
      <c r="F61" s="143"/>
      <c r="G61" s="143"/>
      <c r="H61" s="143"/>
      <c r="I61" s="143"/>
      <c r="J61" s="143"/>
      <c r="K61" s="108">
        <f>+K23+K58</f>
        <v>71.599999999999994</v>
      </c>
    </row>
    <row r="62" spans="1:11" x14ac:dyDescent="0.25">
      <c r="A62" s="84"/>
      <c r="B62" s="84"/>
      <c r="C62" s="144"/>
      <c r="D62" s="85"/>
      <c r="E62" s="85"/>
      <c r="F62" s="85"/>
      <c r="G62" s="85"/>
      <c r="H62" s="85"/>
      <c r="I62" s="85"/>
      <c r="J62" s="85"/>
      <c r="K62" s="85"/>
    </row>
    <row r="63" spans="1:11" x14ac:dyDescent="0.25">
      <c r="A63" s="84"/>
      <c r="B63" s="84"/>
      <c r="C63" s="144"/>
      <c r="D63" s="85"/>
      <c r="E63" s="85"/>
      <c r="F63" s="85"/>
      <c r="G63" s="85"/>
      <c r="H63" s="85"/>
      <c r="I63" s="85"/>
      <c r="J63" s="85"/>
      <c r="K63" s="85"/>
    </row>
    <row r="64" spans="1:11" ht="16.5" thickBot="1" x14ac:dyDescent="0.3">
      <c r="A64" s="145" t="s">
        <v>500</v>
      </c>
      <c r="B64" s="84"/>
      <c r="C64" s="144"/>
      <c r="D64" s="85"/>
      <c r="E64" s="85"/>
      <c r="F64" s="85"/>
      <c r="G64" s="85"/>
      <c r="H64" s="85"/>
      <c r="I64" s="85"/>
      <c r="J64" s="85"/>
      <c r="K64" s="85"/>
    </row>
    <row r="65" spans="1:12" ht="19.5" thickBot="1" x14ac:dyDescent="0.35">
      <c r="A65" s="146" t="s">
        <v>52</v>
      </c>
      <c r="B65" s="147"/>
      <c r="C65" s="148"/>
      <c r="D65" s="149"/>
      <c r="E65" s="149"/>
      <c r="F65" s="149"/>
      <c r="G65" s="149"/>
      <c r="H65" s="149"/>
      <c r="I65" s="149"/>
      <c r="J65" s="149"/>
      <c r="K65" s="108"/>
    </row>
    <row r="66" spans="1:12" ht="19.5" thickBot="1" x14ac:dyDescent="0.35">
      <c r="A66" s="146" t="s">
        <v>53</v>
      </c>
      <c r="B66" s="147"/>
      <c r="C66" s="150"/>
      <c r="D66" s="149"/>
      <c r="E66" s="149"/>
      <c r="F66" s="149"/>
      <c r="G66" s="149"/>
      <c r="H66" s="149"/>
      <c r="I66" s="149"/>
      <c r="J66" s="149"/>
      <c r="K66" s="108"/>
      <c r="L66" s="41"/>
    </row>
    <row r="67" spans="1:12" ht="18.75" x14ac:dyDescent="0.3">
      <c r="A67" s="151"/>
      <c r="B67" s="151"/>
      <c r="C67" s="152"/>
      <c r="D67" s="153"/>
      <c r="E67" s="153"/>
      <c r="F67" s="153"/>
      <c r="G67" s="153"/>
      <c r="H67" s="153"/>
      <c r="I67" s="153"/>
      <c r="J67" s="153"/>
      <c r="K67" s="111"/>
    </row>
    <row r="68" spans="1:12" ht="18.75" x14ac:dyDescent="0.3">
      <c r="A68" s="151"/>
      <c r="B68" s="151"/>
      <c r="C68" s="152"/>
      <c r="D68" s="153"/>
      <c r="E68" s="153"/>
      <c r="F68" s="153"/>
      <c r="G68" s="153"/>
      <c r="H68" s="153"/>
      <c r="I68" s="153"/>
      <c r="J68" s="153"/>
      <c r="K68" s="111"/>
      <c r="L68" s="41"/>
    </row>
    <row r="69" spans="1:12" ht="16.5" thickBot="1" x14ac:dyDescent="0.3">
      <c r="A69" s="154" t="s">
        <v>54</v>
      </c>
      <c r="B69" s="155"/>
      <c r="C69" s="144"/>
      <c r="D69" s="85"/>
      <c r="E69" s="85"/>
      <c r="F69" s="85"/>
      <c r="G69" s="85"/>
      <c r="H69" s="85"/>
      <c r="I69" s="85"/>
      <c r="J69" s="85"/>
      <c r="K69" s="85"/>
    </row>
    <row r="70" spans="1:12" ht="19.5" thickBot="1" x14ac:dyDescent="0.35">
      <c r="A70" s="156" t="s">
        <v>55</v>
      </c>
      <c r="B70" s="157"/>
      <c r="C70" s="158"/>
      <c r="D70" s="159"/>
      <c r="E70" s="159"/>
      <c r="F70" s="159"/>
      <c r="G70" s="159"/>
      <c r="H70" s="159"/>
      <c r="I70" s="159"/>
      <c r="J70" s="159"/>
      <c r="K70" s="160">
        <v>491</v>
      </c>
    </row>
    <row r="71" spans="1:12" x14ac:dyDescent="0.25">
      <c r="A71" s="161"/>
      <c r="B71" s="84"/>
      <c r="C71" s="144"/>
      <c r="D71" s="85"/>
      <c r="E71" s="85"/>
      <c r="F71" s="85"/>
      <c r="G71" s="85"/>
      <c r="H71" s="85"/>
      <c r="I71" s="85"/>
      <c r="J71" s="85"/>
      <c r="K71" s="85"/>
    </row>
    <row r="72" spans="1:12" ht="16.5" thickBot="1" x14ac:dyDescent="0.3">
      <c r="A72" s="154"/>
      <c r="B72" s="155"/>
      <c r="C72" s="144"/>
      <c r="D72" s="85"/>
      <c r="E72" s="85"/>
      <c r="F72" s="85"/>
      <c r="G72" s="85"/>
      <c r="H72" s="85"/>
      <c r="I72" s="85"/>
      <c r="J72" s="85"/>
      <c r="K72" s="85"/>
    </row>
    <row r="73" spans="1:12" ht="19.5" thickBot="1" x14ac:dyDescent="0.35">
      <c r="A73" s="156" t="s">
        <v>56</v>
      </c>
      <c r="B73" s="157"/>
      <c r="C73" s="162"/>
      <c r="D73" s="159"/>
      <c r="E73" s="159"/>
      <c r="F73" s="159"/>
      <c r="G73" s="159"/>
      <c r="H73" s="159"/>
      <c r="I73" s="159"/>
      <c r="J73" s="159"/>
      <c r="K73" s="163"/>
    </row>
    <row r="74" spans="1:12" ht="15.75" thickBot="1" x14ac:dyDescent="0.3">
      <c r="A74" s="161"/>
      <c r="B74" s="84"/>
      <c r="C74" s="144"/>
      <c r="D74" s="85"/>
      <c r="E74" s="85"/>
      <c r="F74" s="85"/>
      <c r="G74" s="85"/>
      <c r="H74" s="85"/>
      <c r="I74" s="85"/>
      <c r="J74" s="85"/>
      <c r="K74" s="85"/>
    </row>
    <row r="75" spans="1:12" ht="21.75" thickBot="1" x14ac:dyDescent="0.4">
      <c r="A75" s="494" t="s">
        <v>57</v>
      </c>
      <c r="B75" s="495"/>
      <c r="C75" s="164"/>
      <c r="D75" s="165"/>
      <c r="E75" s="165"/>
      <c r="F75" s="165"/>
      <c r="G75" s="165"/>
      <c r="H75" s="165"/>
      <c r="I75" s="165"/>
      <c r="J75" s="165"/>
      <c r="K75" s="166">
        <f>SUM(K61:K74)</f>
        <v>562.6</v>
      </c>
    </row>
    <row r="76" spans="1:12" x14ac:dyDescent="0.25">
      <c r="A76" s="84"/>
      <c r="B76" s="84"/>
      <c r="C76" s="144"/>
      <c r="D76" s="85"/>
      <c r="E76" s="85"/>
      <c r="F76" s="85"/>
      <c r="G76" s="85"/>
      <c r="H76" s="85"/>
      <c r="I76" s="85"/>
      <c r="J76" s="85"/>
      <c r="K76" s="85"/>
    </row>
    <row r="77" spans="1:12" ht="21" x14ac:dyDescent="0.35">
      <c r="A77" s="491" t="s">
        <v>503</v>
      </c>
      <c r="B77" s="491"/>
      <c r="C77" s="491"/>
      <c r="D77" s="491"/>
      <c r="E77" s="491"/>
      <c r="F77" s="491"/>
      <c r="G77" s="491"/>
      <c r="H77" s="491"/>
      <c r="I77" s="491"/>
      <c r="J77" s="491"/>
      <c r="K77" s="491"/>
    </row>
    <row r="78" spans="1:12" ht="21.75" thickBot="1" x14ac:dyDescent="0.4">
      <c r="A78" s="340" t="s">
        <v>10</v>
      </c>
      <c r="B78" s="340"/>
      <c r="C78" s="340"/>
      <c r="D78" s="340"/>
      <c r="E78" s="340"/>
      <c r="F78" s="340"/>
      <c r="G78" s="340"/>
      <c r="H78" s="340"/>
      <c r="I78" s="340"/>
      <c r="J78" s="340"/>
      <c r="K78" s="168"/>
    </row>
    <row r="79" spans="1:12" ht="15.75" thickBot="1" x14ac:dyDescent="0.3">
      <c r="A79" s="169" t="s">
        <v>58</v>
      </c>
      <c r="B79" s="170" t="s">
        <v>59</v>
      </c>
      <c r="C79" s="496" t="s">
        <v>33</v>
      </c>
      <c r="D79" s="497"/>
      <c r="E79" s="497"/>
      <c r="F79" s="497"/>
      <c r="G79" s="497"/>
      <c r="H79" s="497"/>
      <c r="I79" s="497"/>
      <c r="J79" s="498"/>
      <c r="K79" s="171" t="s">
        <v>4</v>
      </c>
    </row>
    <row r="80" spans="1:12" ht="15.75" thickBot="1" x14ac:dyDescent="0.3">
      <c r="A80" s="172" t="s">
        <v>619</v>
      </c>
      <c r="B80" s="173" t="s">
        <v>618</v>
      </c>
      <c r="C80" s="504" t="s">
        <v>621</v>
      </c>
      <c r="D80" s="505"/>
      <c r="E80" s="505"/>
      <c r="F80" s="505"/>
      <c r="G80" s="505"/>
      <c r="H80" s="505"/>
      <c r="I80" s="505"/>
      <c r="J80" s="528"/>
      <c r="K80" s="104">
        <v>410</v>
      </c>
    </row>
    <row r="81" spans="1:11" ht="15.75" thickBot="1" x14ac:dyDescent="0.3">
      <c r="A81" s="121"/>
      <c r="B81" s="173"/>
      <c r="C81" s="525"/>
      <c r="D81" s="526"/>
      <c r="E81" s="526"/>
      <c r="F81" s="526"/>
      <c r="G81" s="526"/>
      <c r="H81" s="526"/>
      <c r="I81" s="526"/>
      <c r="J81" s="527"/>
      <c r="K81" s="104"/>
    </row>
    <row r="82" spans="1:11" ht="15.75" thickBot="1" x14ac:dyDescent="0.3">
      <c r="A82" s="121"/>
      <c r="B82" s="173"/>
      <c r="C82" s="525"/>
      <c r="D82" s="526"/>
      <c r="E82" s="526"/>
      <c r="F82" s="526"/>
      <c r="G82" s="526"/>
      <c r="H82" s="526"/>
      <c r="I82" s="526"/>
      <c r="J82" s="527"/>
      <c r="K82" s="174"/>
    </row>
    <row r="83" spans="1:11" ht="15.75" thickBot="1" x14ac:dyDescent="0.3">
      <c r="A83" s="121"/>
      <c r="B83" s="173"/>
      <c r="C83" s="525"/>
      <c r="D83" s="526"/>
      <c r="E83" s="526"/>
      <c r="F83" s="526"/>
      <c r="G83" s="526"/>
      <c r="H83" s="526"/>
      <c r="I83" s="526"/>
      <c r="J83" s="527"/>
      <c r="K83" s="104"/>
    </row>
    <row r="84" spans="1:11" ht="15.75" thickBot="1" x14ac:dyDescent="0.3">
      <c r="A84" s="121"/>
      <c r="B84" s="173"/>
      <c r="C84" s="525"/>
      <c r="D84" s="526"/>
      <c r="E84" s="526"/>
      <c r="F84" s="526"/>
      <c r="G84" s="526"/>
      <c r="H84" s="526"/>
      <c r="I84" s="526"/>
      <c r="J84" s="527"/>
      <c r="K84" s="104"/>
    </row>
    <row r="85" spans="1:11" ht="15.75" thickBot="1" x14ac:dyDescent="0.3">
      <c r="A85" s="121"/>
      <c r="B85" s="173"/>
      <c r="C85" s="525"/>
      <c r="D85" s="526"/>
      <c r="E85" s="526"/>
      <c r="F85" s="526"/>
      <c r="G85" s="526"/>
      <c r="H85" s="526"/>
      <c r="I85" s="526"/>
      <c r="J85" s="527"/>
      <c r="K85" s="104"/>
    </row>
    <row r="86" spans="1:11" ht="15.75" thickBot="1" x14ac:dyDescent="0.3">
      <c r="A86" s="121"/>
      <c r="B86" s="173"/>
      <c r="C86" s="525"/>
      <c r="D86" s="526"/>
      <c r="E86" s="526"/>
      <c r="F86" s="526"/>
      <c r="G86" s="526"/>
      <c r="H86" s="526"/>
      <c r="I86" s="526"/>
      <c r="J86" s="527"/>
      <c r="K86" s="118"/>
    </row>
    <row r="87" spans="1:11" ht="15.75" thickBot="1" x14ac:dyDescent="0.3">
      <c r="A87" s="121"/>
      <c r="B87" s="173"/>
      <c r="C87" s="525"/>
      <c r="D87" s="526"/>
      <c r="E87" s="526"/>
      <c r="F87" s="526"/>
      <c r="G87" s="526"/>
      <c r="H87" s="526"/>
      <c r="I87" s="526"/>
      <c r="J87" s="527"/>
      <c r="K87" s="118"/>
    </row>
    <row r="88" spans="1:11" ht="15.75" thickBot="1" x14ac:dyDescent="0.3">
      <c r="A88" s="121"/>
      <c r="B88" s="173"/>
      <c r="C88" s="525"/>
      <c r="D88" s="526"/>
      <c r="E88" s="526"/>
      <c r="F88" s="526"/>
      <c r="G88" s="526"/>
      <c r="H88" s="526"/>
      <c r="I88" s="526"/>
      <c r="J88" s="527"/>
      <c r="K88" s="118"/>
    </row>
    <row r="89" spans="1:11" ht="15.75" thickBot="1" x14ac:dyDescent="0.3">
      <c r="A89" s="121"/>
      <c r="B89" s="173"/>
      <c r="C89" s="525"/>
      <c r="D89" s="526"/>
      <c r="E89" s="526"/>
      <c r="F89" s="526"/>
      <c r="G89" s="526"/>
      <c r="H89" s="526"/>
      <c r="I89" s="526"/>
      <c r="J89" s="527"/>
      <c r="K89" s="118"/>
    </row>
    <row r="90" spans="1:11" ht="19.5" thickBot="1" x14ac:dyDescent="0.35">
      <c r="A90" s="175" t="s">
        <v>60</v>
      </c>
      <c r="B90" s="492"/>
      <c r="C90" s="499"/>
      <c r="D90" s="499"/>
      <c r="E90" s="499"/>
      <c r="F90" s="499"/>
      <c r="G90" s="499"/>
      <c r="H90" s="499"/>
      <c r="I90" s="499"/>
      <c r="J90" s="346"/>
      <c r="K90" s="176">
        <f>SUM(K80:K89)</f>
        <v>410</v>
      </c>
    </row>
    <row r="91" spans="1:11" ht="18.75" x14ac:dyDescent="0.3">
      <c r="A91" s="428"/>
      <c r="B91" s="428"/>
      <c r="C91" s="428"/>
      <c r="D91" s="428"/>
      <c r="E91" s="428"/>
      <c r="F91" s="428"/>
      <c r="G91" s="428"/>
      <c r="H91" s="428"/>
      <c r="I91" s="428"/>
      <c r="J91" s="428"/>
      <c r="K91" s="111"/>
    </row>
    <row r="92" spans="1:11" ht="18.75" x14ac:dyDescent="0.3">
      <c r="A92" s="428"/>
      <c r="B92" s="428"/>
      <c r="C92" s="428"/>
      <c r="D92" s="428"/>
      <c r="E92" s="428"/>
      <c r="F92" s="428"/>
      <c r="G92" s="428"/>
      <c r="H92" s="428"/>
      <c r="I92" s="428"/>
      <c r="J92" s="428"/>
      <c r="K92" s="111"/>
    </row>
    <row r="93" spans="1:11" ht="18.75" x14ac:dyDescent="0.3">
      <c r="A93" s="428"/>
      <c r="B93" s="428"/>
      <c r="C93" s="428"/>
      <c r="D93" s="428"/>
      <c r="E93" s="428"/>
      <c r="F93" s="428"/>
      <c r="G93" s="428"/>
      <c r="H93" s="428"/>
      <c r="I93" s="428"/>
      <c r="J93" s="428"/>
      <c r="K93" s="111"/>
    </row>
    <row r="94" spans="1:11" ht="18.75" x14ac:dyDescent="0.3">
      <c r="A94" s="428"/>
      <c r="B94" s="428"/>
      <c r="C94" s="428"/>
      <c r="D94" s="428"/>
      <c r="E94" s="428"/>
      <c r="F94" s="428"/>
      <c r="G94" s="428"/>
      <c r="H94" s="428"/>
      <c r="I94" s="428"/>
      <c r="J94" s="428"/>
      <c r="K94" s="111"/>
    </row>
    <row r="95" spans="1:11" ht="18.75" x14ac:dyDescent="0.3">
      <c r="A95" s="428"/>
      <c r="B95" s="428"/>
      <c r="C95" s="428"/>
      <c r="D95" s="428"/>
      <c r="E95" s="428"/>
      <c r="F95" s="428"/>
      <c r="G95" s="428"/>
      <c r="H95" s="428"/>
      <c r="I95" s="428"/>
      <c r="J95" s="428"/>
      <c r="K95" s="111"/>
    </row>
    <row r="96" spans="1:11" ht="18.75" x14ac:dyDescent="0.3">
      <c r="A96" s="428"/>
      <c r="B96" s="428"/>
      <c r="C96" s="428"/>
      <c r="D96" s="428"/>
      <c r="E96" s="428"/>
      <c r="F96" s="428"/>
      <c r="G96" s="428"/>
      <c r="H96" s="428"/>
      <c r="I96" s="428"/>
      <c r="J96" s="428"/>
      <c r="K96" s="111"/>
    </row>
    <row r="97" spans="1:11" ht="18.75" x14ac:dyDescent="0.3">
      <c r="A97" s="428"/>
      <c r="B97" s="428"/>
      <c r="C97" s="428"/>
      <c r="D97" s="428"/>
      <c r="E97" s="428"/>
      <c r="F97" s="428"/>
      <c r="G97" s="428"/>
      <c r="H97" s="428"/>
      <c r="I97" s="428"/>
      <c r="J97" s="428"/>
      <c r="K97" s="111"/>
    </row>
    <row r="98" spans="1:11" ht="18.75" x14ac:dyDescent="0.3">
      <c r="A98" s="428"/>
      <c r="B98" s="428"/>
      <c r="C98" s="428"/>
      <c r="D98" s="428"/>
      <c r="E98" s="428"/>
      <c r="F98" s="428"/>
      <c r="G98" s="428"/>
      <c r="H98" s="428"/>
      <c r="I98" s="428"/>
      <c r="J98" s="428"/>
      <c r="K98" s="111"/>
    </row>
    <row r="99" spans="1:11" ht="18.75" x14ac:dyDescent="0.3">
      <c r="A99" s="428"/>
      <c r="B99" s="428"/>
      <c r="C99" s="428"/>
      <c r="D99" s="428"/>
      <c r="E99" s="428"/>
      <c r="F99" s="428"/>
      <c r="G99" s="428"/>
      <c r="H99" s="428"/>
      <c r="I99" s="428"/>
      <c r="J99" s="428"/>
      <c r="K99" s="111"/>
    </row>
    <row r="100" spans="1:11" ht="15.75" customHeight="1" x14ac:dyDescent="0.3">
      <c r="A100" s="428"/>
      <c r="B100" s="428"/>
      <c r="C100" s="428"/>
      <c r="D100" s="428"/>
      <c r="E100" s="428"/>
      <c r="F100" s="428"/>
      <c r="G100" s="428"/>
      <c r="H100" s="428"/>
      <c r="I100" s="428"/>
      <c r="J100" s="428"/>
      <c r="K100" s="111"/>
    </row>
    <row r="101" spans="1:11" ht="18.75" x14ac:dyDescent="0.3">
      <c r="A101" s="428"/>
      <c r="B101" s="428"/>
      <c r="C101" s="428"/>
      <c r="D101" s="428"/>
      <c r="E101" s="428"/>
      <c r="F101" s="428"/>
      <c r="G101" s="428"/>
      <c r="H101" s="428"/>
      <c r="I101" s="428"/>
      <c r="J101" s="428"/>
      <c r="K101" s="111"/>
    </row>
    <row r="102" spans="1:11" ht="18.75" x14ac:dyDescent="0.3">
      <c r="A102" s="2"/>
      <c r="B102" s="2"/>
      <c r="C102" s="177"/>
      <c r="D102" s="177"/>
      <c r="E102" s="177"/>
      <c r="F102" s="178"/>
      <c r="G102" s="177"/>
      <c r="H102" s="177"/>
      <c r="I102" s="177"/>
      <c r="J102" s="177"/>
      <c r="K102" s="111"/>
    </row>
    <row r="103" spans="1:11" ht="18.75" x14ac:dyDescent="0.3">
      <c r="A103" s="139" t="s">
        <v>61</v>
      </c>
      <c r="B103" s="2"/>
      <c r="C103" s="84"/>
      <c r="D103" s="85"/>
      <c r="F103" s="85"/>
      <c r="K103" s="85"/>
    </row>
    <row r="104" spans="1:11" x14ac:dyDescent="0.25">
      <c r="A104" s="84" t="s">
        <v>62</v>
      </c>
      <c r="B104" s="144">
        <f>+K75</f>
        <v>562.6</v>
      </c>
      <c r="C104" s="179"/>
      <c r="D104" s="85"/>
      <c r="F104" s="85"/>
      <c r="K104" s="85"/>
    </row>
    <row r="105" spans="1:11" ht="15.75" thickBot="1" x14ac:dyDescent="0.3">
      <c r="A105" s="84" t="s">
        <v>60</v>
      </c>
      <c r="B105" s="180">
        <f>+K90</f>
        <v>410</v>
      </c>
      <c r="C105" s="181"/>
      <c r="D105" s="85"/>
      <c r="F105" s="85"/>
      <c r="G105" s="182"/>
      <c r="H105" s="182"/>
      <c r="I105" s="183"/>
      <c r="J105" s="183"/>
      <c r="K105" s="183"/>
    </row>
    <row r="106" spans="1:11" ht="17.25" thickTop="1" thickBot="1" x14ac:dyDescent="0.3">
      <c r="A106" s="139" t="s">
        <v>8</v>
      </c>
      <c r="B106" s="184">
        <f>++B104-B105</f>
        <v>152.60000000000002</v>
      </c>
      <c r="C106" s="185"/>
      <c r="D106" s="186"/>
      <c r="E106" s="41"/>
      <c r="F106" s="186"/>
      <c r="G106" s="187"/>
      <c r="H106" s="187"/>
      <c r="I106" s="85"/>
      <c r="J106" s="85"/>
    </row>
    <row r="107" spans="1:11" ht="15.75" thickTop="1" x14ac:dyDescent="0.25"/>
  </sheetData>
  <mergeCells count="16">
    <mergeCell ref="A1:K1"/>
    <mergeCell ref="A61:B61"/>
    <mergeCell ref="A75:B75"/>
    <mergeCell ref="A77:K77"/>
    <mergeCell ref="B90:I90"/>
    <mergeCell ref="C79:J79"/>
    <mergeCell ref="C80:J80"/>
    <mergeCell ref="C81:J81"/>
    <mergeCell ref="C82:J82"/>
    <mergeCell ref="C83:J83"/>
    <mergeCell ref="C84:J84"/>
    <mergeCell ref="C85:J85"/>
    <mergeCell ref="C86:J86"/>
    <mergeCell ref="C87:J87"/>
    <mergeCell ref="C88:J88"/>
    <mergeCell ref="C89:J89"/>
  </mergeCells>
  <pageMargins left="0.17" right="0.17" top="1.91" bottom="0.17" header="0.17" footer="0.17"/>
  <pageSetup paperSize="9" scale="24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CADB-3FC7-46B0-B19F-DAACEF47BA43}">
  <sheetPr>
    <pageSetUpPr fitToPage="1"/>
  </sheetPr>
  <dimension ref="A1:N97"/>
  <sheetViews>
    <sheetView topLeftCell="A85" workbookViewId="0">
      <selection sqref="A1:N96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11" max="11" width="14" bestFit="1" customWidth="1"/>
  </cols>
  <sheetData>
    <row r="1" spans="1:11" ht="21" x14ac:dyDescent="0.35">
      <c r="A1" s="491" t="s">
        <v>507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</row>
    <row r="2" spans="1:11" ht="15.75" thickBot="1" x14ac:dyDescent="0.3">
      <c r="A2" s="83"/>
      <c r="B2" s="84"/>
      <c r="C2" s="84"/>
      <c r="K2" s="85"/>
    </row>
    <row r="3" spans="1:11" ht="4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347" t="s">
        <v>489</v>
      </c>
      <c r="K3" s="87" t="s">
        <v>4</v>
      </c>
    </row>
    <row r="4" spans="1:11" ht="15.75" thickBot="1" x14ac:dyDescent="0.3">
      <c r="A4" s="88"/>
      <c r="B4" s="88"/>
      <c r="C4" s="89"/>
      <c r="D4" s="90"/>
      <c r="E4" s="90"/>
      <c r="F4" s="90"/>
      <c r="G4" s="90"/>
      <c r="H4" s="90"/>
      <c r="I4" s="90"/>
      <c r="J4" s="348"/>
      <c r="K4" s="87">
        <f>SUM(D4:J4)</f>
        <v>0</v>
      </c>
    </row>
    <row r="5" spans="1:11" ht="15.75" thickBot="1" x14ac:dyDescent="0.3">
      <c r="A5" s="88"/>
      <c r="B5" s="88"/>
      <c r="C5" s="89"/>
      <c r="D5" s="90"/>
      <c r="E5" s="90"/>
      <c r="F5" s="90"/>
      <c r="G5" s="90"/>
      <c r="H5" s="90"/>
      <c r="I5" s="90"/>
      <c r="J5" s="348"/>
      <c r="K5" s="87">
        <f t="shared" ref="K5:K22" si="0">SUM(D5:J5)</f>
        <v>0</v>
      </c>
    </row>
    <row r="6" spans="1:11" ht="15.75" thickBot="1" x14ac:dyDescent="0.3">
      <c r="A6" s="88"/>
      <c r="B6" s="88"/>
      <c r="C6" s="89"/>
      <c r="D6" s="90"/>
      <c r="E6" s="90"/>
      <c r="F6" s="90"/>
      <c r="G6" s="90"/>
      <c r="H6" s="90"/>
      <c r="I6" s="90"/>
      <c r="J6" s="348"/>
      <c r="K6" s="87">
        <f t="shared" si="0"/>
        <v>0</v>
      </c>
    </row>
    <row r="7" spans="1:11" ht="15.75" thickBot="1" x14ac:dyDescent="0.3">
      <c r="A7" s="88"/>
      <c r="B7" s="88"/>
      <c r="C7" s="89"/>
      <c r="D7" s="90"/>
      <c r="E7" s="90"/>
      <c r="F7" s="90"/>
      <c r="G7" s="90"/>
      <c r="H7" s="90"/>
      <c r="I7" s="90"/>
      <c r="J7" s="348"/>
      <c r="K7" s="87">
        <f t="shared" si="0"/>
        <v>0</v>
      </c>
    </row>
    <row r="8" spans="1:11" ht="15.75" thickBot="1" x14ac:dyDescent="0.3">
      <c r="A8" s="88"/>
      <c r="B8" s="88"/>
      <c r="C8" s="89"/>
      <c r="D8" s="90"/>
      <c r="E8" s="90"/>
      <c r="F8" s="90"/>
      <c r="G8" s="90"/>
      <c r="H8" s="90"/>
      <c r="I8" s="90"/>
      <c r="J8" s="348"/>
      <c r="K8" s="87">
        <f t="shared" si="0"/>
        <v>0</v>
      </c>
    </row>
    <row r="9" spans="1:11" ht="15.75" thickBot="1" x14ac:dyDescent="0.3">
      <c r="A9" s="88"/>
      <c r="B9" s="88"/>
      <c r="C9" s="89"/>
      <c r="D9" s="90"/>
      <c r="E9" s="90"/>
      <c r="F9" s="90"/>
      <c r="G9" s="90"/>
      <c r="H9" s="90"/>
      <c r="I9" s="90"/>
      <c r="J9" s="348"/>
      <c r="K9" s="87">
        <f t="shared" si="0"/>
        <v>0</v>
      </c>
    </row>
    <row r="10" spans="1:11" ht="15.75" thickBot="1" x14ac:dyDescent="0.3">
      <c r="A10" s="357"/>
      <c r="B10" s="103"/>
      <c r="C10" s="103"/>
      <c r="D10" s="116"/>
      <c r="E10" s="116"/>
      <c r="F10" s="116"/>
      <c r="G10" s="116"/>
      <c r="H10" s="90"/>
      <c r="I10" s="90"/>
      <c r="J10" s="348"/>
      <c r="K10" s="87">
        <f t="shared" si="0"/>
        <v>0</v>
      </c>
    </row>
    <row r="11" spans="1:11" ht="15.75" thickBot="1" x14ac:dyDescent="0.3">
      <c r="A11" s="88"/>
      <c r="B11" s="88"/>
      <c r="C11" s="89"/>
      <c r="D11" s="90"/>
      <c r="E11" s="90"/>
      <c r="F11" s="90"/>
      <c r="G11" s="90"/>
      <c r="H11" s="90"/>
      <c r="I11" s="90"/>
      <c r="J11" s="348"/>
      <c r="K11" s="87">
        <f t="shared" si="0"/>
        <v>0</v>
      </c>
    </row>
    <row r="12" spans="1:11" ht="15.75" thickBot="1" x14ac:dyDescent="0.3">
      <c r="A12" s="353"/>
      <c r="B12" s="88"/>
      <c r="C12" s="89"/>
      <c r="D12" s="90"/>
      <c r="E12" s="90"/>
      <c r="F12" s="90"/>
      <c r="G12" s="90"/>
      <c r="H12" s="90"/>
      <c r="I12" s="90"/>
      <c r="J12" s="348"/>
      <c r="K12" s="87">
        <f t="shared" si="0"/>
        <v>0</v>
      </c>
    </row>
    <row r="13" spans="1:11" ht="15.75" thickBot="1" x14ac:dyDescent="0.3">
      <c r="A13" s="353"/>
      <c r="B13" s="351"/>
      <c r="C13" s="89"/>
      <c r="D13" s="90"/>
      <c r="E13" s="90"/>
      <c r="F13" s="90"/>
      <c r="G13" s="90"/>
      <c r="H13" s="90"/>
      <c r="I13" s="93"/>
      <c r="J13" s="99"/>
      <c r="K13" s="87">
        <f t="shared" si="0"/>
        <v>0</v>
      </c>
    </row>
    <row r="14" spans="1:11" ht="15.75" thickBot="1" x14ac:dyDescent="0.3">
      <c r="A14" s="88"/>
      <c r="B14" s="88"/>
      <c r="C14" s="89"/>
      <c r="D14" s="90"/>
      <c r="E14" s="90"/>
      <c r="F14" s="90"/>
      <c r="G14" s="90"/>
      <c r="H14" s="90"/>
      <c r="I14" s="90"/>
      <c r="J14" s="348"/>
      <c r="K14" s="87">
        <f t="shared" si="0"/>
        <v>0</v>
      </c>
    </row>
    <row r="15" spans="1:11" ht="15.75" thickBot="1" x14ac:dyDescent="0.3">
      <c r="A15" s="95"/>
      <c r="B15" s="352"/>
      <c r="C15" s="89"/>
      <c r="D15" s="90"/>
      <c r="E15" s="90"/>
      <c r="F15" s="90"/>
      <c r="G15" s="90"/>
      <c r="H15" s="90"/>
      <c r="I15" s="90"/>
      <c r="J15" s="348"/>
      <c r="K15" s="87">
        <f t="shared" si="0"/>
        <v>0</v>
      </c>
    </row>
    <row r="16" spans="1:11" ht="15.75" thickBot="1" x14ac:dyDescent="0.3">
      <c r="A16" s="97"/>
      <c r="B16" s="95"/>
      <c r="C16" s="89"/>
      <c r="D16" s="90"/>
      <c r="E16" s="90"/>
      <c r="F16" s="90"/>
      <c r="G16" s="90"/>
      <c r="H16" s="90"/>
      <c r="I16" s="90"/>
      <c r="J16" s="348"/>
      <c r="K16" s="87">
        <f t="shared" si="0"/>
        <v>0</v>
      </c>
    </row>
    <row r="17" spans="1:14" ht="15.75" thickBot="1" x14ac:dyDescent="0.3">
      <c r="A17" s="354"/>
      <c r="B17" s="354"/>
      <c r="C17" s="89"/>
      <c r="D17" s="90"/>
      <c r="E17" s="90"/>
      <c r="F17" s="90"/>
      <c r="G17" s="90"/>
      <c r="H17" s="90"/>
      <c r="I17" s="90"/>
      <c r="J17" s="348"/>
      <c r="K17" s="87">
        <f t="shared" si="0"/>
        <v>0</v>
      </c>
    </row>
    <row r="18" spans="1:14" ht="15.75" thickBot="1" x14ac:dyDescent="0.3">
      <c r="A18" s="99"/>
      <c r="B18" s="354"/>
      <c r="C18" s="89"/>
      <c r="D18" s="90"/>
      <c r="E18" s="90"/>
      <c r="F18" s="90"/>
      <c r="G18" s="90"/>
      <c r="H18" s="90"/>
      <c r="I18" s="90"/>
      <c r="J18" s="348"/>
      <c r="K18" s="87">
        <f t="shared" si="0"/>
        <v>0</v>
      </c>
    </row>
    <row r="19" spans="1:14" ht="15.75" thickBot="1" x14ac:dyDescent="0.3">
      <c r="A19" s="99"/>
      <c r="B19" s="354"/>
      <c r="C19" s="89"/>
      <c r="D19" s="90"/>
      <c r="E19" s="90"/>
      <c r="F19" s="90"/>
      <c r="G19" s="90"/>
      <c r="H19" s="90"/>
      <c r="I19" s="90"/>
      <c r="J19" s="348"/>
      <c r="K19" s="87">
        <f t="shared" si="0"/>
        <v>0</v>
      </c>
    </row>
    <row r="20" spans="1:14" ht="15.75" thickBot="1" x14ac:dyDescent="0.3">
      <c r="A20" s="100"/>
      <c r="B20" s="354"/>
      <c r="C20" s="89"/>
      <c r="D20" s="90"/>
      <c r="E20" s="90"/>
      <c r="F20" s="90"/>
      <c r="G20" s="90"/>
      <c r="H20" s="90"/>
      <c r="I20" s="90"/>
      <c r="J20" s="348"/>
      <c r="K20" s="87">
        <f t="shared" si="0"/>
        <v>0</v>
      </c>
    </row>
    <row r="21" spans="1:14" ht="15.75" thickBot="1" x14ac:dyDescent="0.3">
      <c r="A21" s="357"/>
      <c r="B21" s="357"/>
      <c r="C21" s="89"/>
      <c r="D21" s="90"/>
      <c r="E21" s="90"/>
      <c r="F21" s="90"/>
      <c r="G21" s="90"/>
      <c r="H21" s="90"/>
      <c r="I21" s="90"/>
      <c r="J21" s="348"/>
      <c r="K21" s="87">
        <f t="shared" si="0"/>
        <v>0</v>
      </c>
    </row>
    <row r="22" spans="1:14" ht="15.75" thickBot="1" x14ac:dyDescent="0.3">
      <c r="A22" s="354"/>
      <c r="B22" s="356"/>
      <c r="C22" s="103"/>
      <c r="D22" s="104"/>
      <c r="E22" s="104"/>
      <c r="F22" s="104"/>
      <c r="G22" s="104"/>
      <c r="H22" s="104"/>
      <c r="I22" s="104"/>
      <c r="J22" s="349"/>
      <c r="K22" s="87">
        <f t="shared" si="0"/>
        <v>0</v>
      </c>
    </row>
    <row r="23" spans="1:14" ht="19.5" thickBot="1" x14ac:dyDescent="0.35">
      <c r="A23" s="105" t="s">
        <v>4</v>
      </c>
      <c r="B23" s="86"/>
      <c r="C23" s="106"/>
      <c r="D23" s="108">
        <f t="shared" ref="D23:J23" si="1">SUM(D4:D22)</f>
        <v>0</v>
      </c>
      <c r="E23" s="108">
        <f t="shared" si="1"/>
        <v>0</v>
      </c>
      <c r="F23" s="108">
        <f t="shared" si="1"/>
        <v>0</v>
      </c>
      <c r="G23" s="108">
        <f t="shared" si="1"/>
        <v>0</v>
      </c>
      <c r="H23" s="108">
        <f t="shared" si="1"/>
        <v>0</v>
      </c>
      <c r="I23" s="108">
        <f t="shared" si="1"/>
        <v>0</v>
      </c>
      <c r="J23" s="108">
        <f t="shared" si="1"/>
        <v>0</v>
      </c>
      <c r="K23" s="108">
        <f>SUM(K4:K22)</f>
        <v>0</v>
      </c>
    </row>
    <row r="24" spans="1:14" ht="19.5" thickBot="1" x14ac:dyDescent="0.35">
      <c r="A24" s="2"/>
      <c r="B24" s="109"/>
      <c r="C24" s="110"/>
      <c r="D24" s="111"/>
      <c r="E24" s="111"/>
      <c r="F24" s="111"/>
      <c r="G24" s="111"/>
      <c r="H24" s="111"/>
      <c r="I24" s="111"/>
      <c r="J24" s="111"/>
      <c r="K24" s="111"/>
    </row>
    <row r="25" spans="1:14" ht="24" thickBot="1" x14ac:dyDescent="0.4">
      <c r="A25" s="112" t="s">
        <v>40</v>
      </c>
      <c r="B25" s="109"/>
      <c r="C25" s="110"/>
      <c r="D25" s="111"/>
      <c r="E25" s="111"/>
      <c r="F25" s="111"/>
      <c r="G25" s="111"/>
      <c r="H25" s="111"/>
      <c r="I25" s="111"/>
      <c r="J25" s="111"/>
      <c r="K25" s="111"/>
    </row>
    <row r="26" spans="1:14" ht="15.75" thickBot="1" x14ac:dyDescent="0.3">
      <c r="A26" s="113" t="s">
        <v>3</v>
      </c>
      <c r="B26" s="86" t="s">
        <v>32</v>
      </c>
      <c r="C26" s="114" t="s">
        <v>41</v>
      </c>
      <c r="D26" s="114" t="s">
        <v>34</v>
      </c>
      <c r="E26" s="114" t="s">
        <v>35</v>
      </c>
      <c r="F26" s="86" t="s">
        <v>36</v>
      </c>
      <c r="G26" s="86" t="s">
        <v>37</v>
      </c>
      <c r="H26" s="86" t="s">
        <v>42</v>
      </c>
      <c r="I26" s="86" t="s">
        <v>39</v>
      </c>
      <c r="J26" s="86"/>
      <c r="K26" s="115" t="s">
        <v>4</v>
      </c>
    </row>
    <row r="27" spans="1:14" ht="15.75" thickBot="1" x14ac:dyDescent="0.3">
      <c r="A27" s="357"/>
      <c r="B27" s="103"/>
      <c r="C27" s="103"/>
      <c r="D27" s="116"/>
      <c r="E27" s="117"/>
      <c r="F27" s="116"/>
      <c r="G27" s="116"/>
      <c r="H27" s="118"/>
      <c r="I27" s="118"/>
      <c r="J27" s="118"/>
      <c r="K27" s="119">
        <f>SUM(D27:I27)</f>
        <v>0</v>
      </c>
    </row>
    <row r="28" spans="1:14" ht="15.75" thickBot="1" x14ac:dyDescent="0.3">
      <c r="A28" s="357"/>
      <c r="B28" s="356"/>
      <c r="C28" s="103"/>
      <c r="D28" s="116"/>
      <c r="E28" s="117"/>
      <c r="F28" s="116"/>
      <c r="G28" s="116"/>
      <c r="H28" s="118"/>
      <c r="I28" s="118"/>
      <c r="J28" s="118"/>
      <c r="K28" s="119"/>
    </row>
    <row r="29" spans="1:14" ht="15.75" thickBot="1" x14ac:dyDescent="0.3">
      <c r="A29" s="357"/>
      <c r="B29" s="354"/>
      <c r="C29" s="89"/>
      <c r="D29" s="120"/>
      <c r="E29" s="120"/>
      <c r="F29" s="120"/>
      <c r="G29" s="120"/>
      <c r="H29" s="90"/>
      <c r="I29" s="90"/>
      <c r="J29" s="90"/>
      <c r="K29" s="119">
        <f t="shared" ref="K29:K30" si="2">SUM(D29:I29)</f>
        <v>0</v>
      </c>
    </row>
    <row r="30" spans="1:14" ht="15.75" thickBot="1" x14ac:dyDescent="0.3">
      <c r="A30" s="86"/>
      <c r="B30" s="121"/>
      <c r="C30" s="89"/>
      <c r="D30" s="120"/>
      <c r="E30" s="120"/>
      <c r="F30" s="120"/>
      <c r="G30" s="120"/>
      <c r="H30" s="90"/>
      <c r="I30" s="90"/>
      <c r="J30" s="90"/>
      <c r="K30" s="119">
        <f t="shared" si="2"/>
        <v>0</v>
      </c>
      <c r="M30" s="122" t="s">
        <v>43</v>
      </c>
      <c r="N30" s="123">
        <f>K31+K39</f>
        <v>0</v>
      </c>
    </row>
    <row r="31" spans="1:14" ht="15.75" thickBot="1" x14ac:dyDescent="0.3">
      <c r="A31" s="86" t="s">
        <v>4</v>
      </c>
      <c r="B31" s="358"/>
      <c r="C31" s="125"/>
      <c r="D31" s="116">
        <f>SUM(D27:D30)</f>
        <v>0</v>
      </c>
      <c r="E31" s="116">
        <f t="shared" ref="E31:J31" si="3">SUM(E27:E30)</f>
        <v>0</v>
      </c>
      <c r="F31" s="116">
        <f t="shared" si="3"/>
        <v>0</v>
      </c>
      <c r="G31" s="116">
        <f t="shared" si="3"/>
        <v>0</v>
      </c>
      <c r="H31" s="116">
        <f t="shared" si="3"/>
        <v>0</v>
      </c>
      <c r="I31" s="116">
        <f t="shared" si="3"/>
        <v>0</v>
      </c>
      <c r="J31" s="116">
        <f t="shared" si="3"/>
        <v>0</v>
      </c>
      <c r="K31" s="94">
        <f>SUM(K27:K30)</f>
        <v>0</v>
      </c>
    </row>
    <row r="32" spans="1:14" ht="15.75" thickBot="1" x14ac:dyDescent="0.3">
      <c r="A32" s="109"/>
      <c r="B32" s="127"/>
      <c r="C32" s="128"/>
      <c r="D32" s="129"/>
      <c r="E32" s="129"/>
      <c r="F32" s="129"/>
      <c r="G32" s="129"/>
      <c r="H32" s="129"/>
      <c r="I32" s="129"/>
      <c r="J32" s="129"/>
      <c r="K32" s="130"/>
    </row>
    <row r="33" spans="1:14" ht="24" thickBot="1" x14ac:dyDescent="0.4">
      <c r="A33" s="112" t="s">
        <v>40</v>
      </c>
      <c r="B33" s="109"/>
      <c r="C33" s="110"/>
      <c r="D33" s="111"/>
      <c r="E33" s="111"/>
      <c r="F33" s="111"/>
      <c r="G33" s="111"/>
      <c r="H33" s="111"/>
      <c r="I33" s="111"/>
      <c r="J33" s="111"/>
      <c r="K33" s="111"/>
    </row>
    <row r="34" spans="1:14" ht="45.75" thickBot="1" x14ac:dyDescent="0.3">
      <c r="A34" s="131" t="s">
        <v>44</v>
      </c>
      <c r="B34" s="86" t="s">
        <v>45</v>
      </c>
      <c r="C34" s="114" t="s">
        <v>41</v>
      </c>
      <c r="D34" s="114" t="s">
        <v>34</v>
      </c>
      <c r="E34" s="114" t="s">
        <v>35</v>
      </c>
      <c r="F34" s="114" t="s">
        <v>46</v>
      </c>
      <c r="G34" s="114" t="s">
        <v>47</v>
      </c>
      <c r="H34" s="114" t="s">
        <v>42</v>
      </c>
      <c r="I34" s="132" t="s">
        <v>48</v>
      </c>
      <c r="J34" s="86"/>
      <c r="K34" s="115" t="s">
        <v>4</v>
      </c>
    </row>
    <row r="35" spans="1:14" ht="15.75" thickBot="1" x14ac:dyDescent="0.3">
      <c r="A35" s="133"/>
      <c r="B35" s="99"/>
      <c r="C35" s="89"/>
      <c r="D35" s="90"/>
      <c r="E35" s="90"/>
      <c r="F35" s="90"/>
      <c r="G35" s="90"/>
      <c r="H35" s="90"/>
      <c r="I35" s="90"/>
      <c r="J35" s="348"/>
      <c r="K35" s="87">
        <f t="shared" ref="K35:K38" si="4">SUM(D35:I35)</f>
        <v>0</v>
      </c>
    </row>
    <row r="36" spans="1:14" ht="15.75" thickBot="1" x14ac:dyDescent="0.3">
      <c r="A36" s="95"/>
      <c r="B36" s="103"/>
      <c r="C36" s="89"/>
      <c r="D36" s="116"/>
      <c r="E36" s="116"/>
      <c r="F36" s="116"/>
      <c r="G36" s="116"/>
      <c r="H36" s="118"/>
      <c r="I36" s="118"/>
      <c r="J36" s="118"/>
      <c r="K36" s="119">
        <f t="shared" si="4"/>
        <v>0</v>
      </c>
    </row>
    <row r="37" spans="1:14" ht="15.75" thickBot="1" x14ac:dyDescent="0.3">
      <c r="A37" s="357"/>
      <c r="B37" s="354"/>
      <c r="C37" s="89"/>
      <c r="D37" s="120"/>
      <c r="E37" s="120"/>
      <c r="F37" s="120"/>
      <c r="G37" s="120"/>
      <c r="H37" s="90"/>
      <c r="I37" s="90"/>
      <c r="J37" s="90"/>
      <c r="K37" s="119">
        <f t="shared" si="4"/>
        <v>0</v>
      </c>
    </row>
    <row r="38" spans="1:14" ht="15.75" thickBot="1" x14ac:dyDescent="0.3">
      <c r="A38" s="86"/>
      <c r="B38" s="121"/>
      <c r="C38" s="89"/>
      <c r="D38" s="120"/>
      <c r="E38" s="120"/>
      <c r="F38" s="120"/>
      <c r="G38" s="120"/>
      <c r="H38" s="90"/>
      <c r="I38" s="90"/>
      <c r="J38" s="90"/>
      <c r="K38" s="119">
        <f t="shared" si="4"/>
        <v>0</v>
      </c>
      <c r="M38" s="134"/>
      <c r="N38" s="135"/>
    </row>
    <row r="39" spans="1:14" ht="15.75" thickBot="1" x14ac:dyDescent="0.3">
      <c r="A39" s="86" t="s">
        <v>4</v>
      </c>
      <c r="B39" s="358"/>
      <c r="C39" s="125"/>
      <c r="D39" s="116">
        <f>SUM(D35:D38)</f>
        <v>0</v>
      </c>
      <c r="E39" s="116">
        <f t="shared" ref="E39:J39" si="5">SUM(E35:E38)</f>
        <v>0</v>
      </c>
      <c r="F39" s="116">
        <f t="shared" si="5"/>
        <v>0</v>
      </c>
      <c r="G39" s="116">
        <f t="shared" si="5"/>
        <v>0</v>
      </c>
      <c r="H39" s="116">
        <f t="shared" si="5"/>
        <v>0</v>
      </c>
      <c r="I39" s="116">
        <f t="shared" si="5"/>
        <v>0</v>
      </c>
      <c r="J39" s="116">
        <f t="shared" si="5"/>
        <v>0</v>
      </c>
      <c r="K39" s="94">
        <f>SUM(K35:K38)</f>
        <v>0</v>
      </c>
    </row>
    <row r="40" spans="1:14" x14ac:dyDescent="0.25">
      <c r="A40" s="109"/>
      <c r="B40" s="127"/>
      <c r="C40" s="128"/>
      <c r="D40" s="129"/>
      <c r="E40" s="129"/>
      <c r="F40" s="129"/>
      <c r="G40" s="129"/>
      <c r="H40" s="129"/>
      <c r="I40" s="129"/>
      <c r="J40" s="129"/>
      <c r="K40" s="130"/>
    </row>
    <row r="41" spans="1:14" x14ac:dyDescent="0.25">
      <c r="A41" s="109"/>
      <c r="B41" s="127"/>
      <c r="C41" s="128"/>
      <c r="D41" s="129"/>
      <c r="E41" s="129"/>
      <c r="F41" s="129"/>
      <c r="G41" s="129"/>
      <c r="H41" s="129"/>
      <c r="I41" s="129"/>
      <c r="J41" s="129"/>
      <c r="K41" s="130"/>
    </row>
    <row r="42" spans="1:14" ht="15.75" thickBot="1" x14ac:dyDescent="0.3">
      <c r="A42" s="84"/>
      <c r="B42" s="84"/>
      <c r="C42" s="84"/>
      <c r="K42" s="85"/>
    </row>
    <row r="43" spans="1:14" ht="45.75" thickBot="1" x14ac:dyDescent="0.3">
      <c r="A43" s="114" t="s">
        <v>49</v>
      </c>
      <c r="B43" s="86" t="s">
        <v>45</v>
      </c>
      <c r="C43" s="114" t="s">
        <v>41</v>
      </c>
      <c r="D43" s="114" t="s">
        <v>34</v>
      </c>
      <c r="E43" s="114" t="s">
        <v>35</v>
      </c>
      <c r="F43" s="114" t="s">
        <v>46</v>
      </c>
      <c r="G43" s="114" t="s">
        <v>47</v>
      </c>
      <c r="H43" s="86" t="s">
        <v>48</v>
      </c>
      <c r="I43" s="132" t="s">
        <v>42</v>
      </c>
      <c r="J43" s="86" t="s">
        <v>497</v>
      </c>
      <c r="K43" s="115" t="s">
        <v>4</v>
      </c>
    </row>
    <row r="44" spans="1:14" ht="15.75" thickBot="1" x14ac:dyDescent="0.3">
      <c r="A44" s="103"/>
      <c r="B44" s="103"/>
      <c r="C44" s="118"/>
      <c r="D44" s="118"/>
      <c r="E44" s="118"/>
      <c r="F44" s="118"/>
      <c r="G44" s="118"/>
      <c r="H44" s="118"/>
      <c r="I44" s="118"/>
      <c r="J44" s="118"/>
      <c r="K44" s="119">
        <f t="shared" ref="K44:K57" si="6">SUM(D44:J44)</f>
        <v>0</v>
      </c>
    </row>
    <row r="45" spans="1:14" ht="15.75" thickBot="1" x14ac:dyDescent="0.3">
      <c r="A45" s="103"/>
      <c r="B45" s="103"/>
      <c r="C45" s="118"/>
      <c r="D45" s="118"/>
      <c r="E45" s="118"/>
      <c r="F45" s="118"/>
      <c r="G45" s="118"/>
      <c r="H45" s="118"/>
      <c r="I45" s="118"/>
      <c r="J45" s="118"/>
      <c r="K45" s="119">
        <f t="shared" si="6"/>
        <v>0</v>
      </c>
    </row>
    <row r="46" spans="1:14" ht="15.75" thickBot="1" x14ac:dyDescent="0.3">
      <c r="A46" s="103"/>
      <c r="B46" s="103"/>
      <c r="C46" s="118"/>
      <c r="D46" s="118"/>
      <c r="E46" s="118"/>
      <c r="F46" s="118"/>
      <c r="G46" s="118"/>
      <c r="H46" s="118"/>
      <c r="I46" s="118"/>
      <c r="J46" s="118"/>
      <c r="K46" s="119">
        <f t="shared" si="6"/>
        <v>0</v>
      </c>
    </row>
    <row r="47" spans="1:14" ht="15.75" thickBot="1" x14ac:dyDescent="0.3">
      <c r="A47" s="103"/>
      <c r="B47" s="103"/>
      <c r="C47" s="118"/>
      <c r="D47" s="118"/>
      <c r="E47" s="118"/>
      <c r="F47" s="118"/>
      <c r="G47" s="118"/>
      <c r="H47" s="118"/>
      <c r="I47" s="118"/>
      <c r="J47" s="118"/>
      <c r="K47" s="119">
        <f t="shared" si="6"/>
        <v>0</v>
      </c>
    </row>
    <row r="48" spans="1:14" ht="15.75" thickBot="1" x14ac:dyDescent="0.3">
      <c r="A48" s="103"/>
      <c r="B48" s="103"/>
      <c r="C48" s="118"/>
      <c r="D48" s="118"/>
      <c r="E48" s="118"/>
      <c r="F48" s="118"/>
      <c r="G48" s="118"/>
      <c r="H48" s="118"/>
      <c r="I48" s="118"/>
      <c r="J48" s="118"/>
      <c r="K48" s="119">
        <f t="shared" si="6"/>
        <v>0</v>
      </c>
    </row>
    <row r="49" spans="1:11" ht="15.75" thickBot="1" x14ac:dyDescent="0.3">
      <c r="A49" s="354"/>
      <c r="B49" s="103"/>
      <c r="C49" s="103"/>
      <c r="D49" s="118"/>
      <c r="E49" s="118"/>
      <c r="F49" s="118"/>
      <c r="G49" s="118"/>
      <c r="H49" s="118"/>
      <c r="I49" s="118"/>
      <c r="J49" s="118"/>
      <c r="K49" s="119">
        <f t="shared" si="6"/>
        <v>0</v>
      </c>
    </row>
    <row r="50" spans="1:11" ht="15.75" thickBot="1" x14ac:dyDescent="0.3">
      <c r="A50" s="354"/>
      <c r="B50" s="103"/>
      <c r="C50" s="103"/>
      <c r="D50" s="118"/>
      <c r="E50" s="118"/>
      <c r="F50" s="118"/>
      <c r="G50" s="118"/>
      <c r="H50" s="118"/>
      <c r="I50" s="118"/>
      <c r="J50" s="118"/>
      <c r="K50" s="119">
        <f t="shared" si="6"/>
        <v>0</v>
      </c>
    </row>
    <row r="51" spans="1:11" ht="15.75" thickBot="1" x14ac:dyDescent="0.3">
      <c r="A51" s="354"/>
      <c r="B51" s="103"/>
      <c r="C51" s="103"/>
      <c r="D51" s="118"/>
      <c r="E51" s="118"/>
      <c r="F51" s="118"/>
      <c r="G51" s="118"/>
      <c r="H51" s="118"/>
      <c r="I51" s="118"/>
      <c r="J51" s="118"/>
      <c r="K51" s="119">
        <f t="shared" si="6"/>
        <v>0</v>
      </c>
    </row>
    <row r="52" spans="1:11" ht="15.75" thickBot="1" x14ac:dyDescent="0.3">
      <c r="A52" s="354"/>
      <c r="B52" s="103"/>
      <c r="C52" s="103"/>
      <c r="D52" s="118"/>
      <c r="E52" s="118"/>
      <c r="F52" s="118"/>
      <c r="G52" s="118"/>
      <c r="H52" s="118"/>
      <c r="I52" s="118"/>
      <c r="J52" s="118"/>
      <c r="K52" s="119">
        <f t="shared" si="6"/>
        <v>0</v>
      </c>
    </row>
    <row r="53" spans="1:11" ht="15.75" thickBot="1" x14ac:dyDescent="0.3">
      <c r="A53" s="354"/>
      <c r="B53" s="103"/>
      <c r="C53" s="103"/>
      <c r="D53" s="118"/>
      <c r="E53" s="118"/>
      <c r="F53" s="118"/>
      <c r="G53" s="118"/>
      <c r="H53" s="118"/>
      <c r="I53" s="118"/>
      <c r="J53" s="118"/>
      <c r="K53" s="119">
        <f t="shared" si="6"/>
        <v>0</v>
      </c>
    </row>
    <row r="54" spans="1:11" ht="15.75" thickBot="1" x14ac:dyDescent="0.3">
      <c r="A54" s="137"/>
      <c r="B54" s="103"/>
      <c r="C54" s="103"/>
      <c r="D54" s="118"/>
      <c r="E54" s="118"/>
      <c r="F54" s="118"/>
      <c r="G54" s="118"/>
      <c r="H54" s="118"/>
      <c r="I54" s="118"/>
      <c r="J54" s="118"/>
      <c r="K54" s="119">
        <f t="shared" si="6"/>
        <v>0</v>
      </c>
    </row>
    <row r="55" spans="1:11" ht="15.75" thickBot="1" x14ac:dyDescent="0.3">
      <c r="A55" s="121"/>
      <c r="B55" s="103"/>
      <c r="C55" s="103"/>
      <c r="D55" s="118"/>
      <c r="F55" s="118"/>
      <c r="G55" s="118"/>
      <c r="H55" s="118"/>
      <c r="I55" s="118"/>
      <c r="J55" s="118"/>
      <c r="K55" s="119">
        <f t="shared" si="6"/>
        <v>0</v>
      </c>
    </row>
    <row r="56" spans="1:11" ht="15.75" thickBot="1" x14ac:dyDescent="0.3">
      <c r="A56" s="121"/>
      <c r="B56" s="103"/>
      <c r="C56" s="103"/>
      <c r="D56" s="118"/>
      <c r="E56" s="118"/>
      <c r="F56" s="118"/>
      <c r="G56" s="118"/>
      <c r="H56" s="118"/>
      <c r="I56" s="118"/>
      <c r="J56" s="118"/>
      <c r="K56" s="119">
        <f t="shared" si="6"/>
        <v>0</v>
      </c>
    </row>
    <row r="57" spans="1:11" ht="15.75" thickBot="1" x14ac:dyDescent="0.3">
      <c r="A57" s="121"/>
      <c r="B57" s="103"/>
      <c r="C57" s="103"/>
      <c r="D57" s="138"/>
      <c r="E57" s="138"/>
      <c r="F57" s="138"/>
      <c r="G57" s="138"/>
      <c r="H57" s="138"/>
      <c r="I57" s="138"/>
      <c r="J57" s="138"/>
      <c r="K57" s="119">
        <f t="shared" si="6"/>
        <v>0</v>
      </c>
    </row>
    <row r="58" spans="1:11" ht="19.5" thickBot="1" x14ac:dyDescent="0.35">
      <c r="A58" s="105" t="s">
        <v>4</v>
      </c>
      <c r="B58" s="86"/>
      <c r="C58" s="106"/>
      <c r="D58" s="107">
        <f t="shared" ref="D58:K58" si="7">SUM(D44:D57)</f>
        <v>0</v>
      </c>
      <c r="E58" s="107">
        <f t="shared" si="7"/>
        <v>0</v>
      </c>
      <c r="F58" s="107">
        <f t="shared" si="7"/>
        <v>0</v>
      </c>
      <c r="G58" s="107">
        <f t="shared" si="7"/>
        <v>0</v>
      </c>
      <c r="H58" s="107">
        <f t="shared" si="7"/>
        <v>0</v>
      </c>
      <c r="I58" s="107">
        <f t="shared" si="7"/>
        <v>0</v>
      </c>
      <c r="J58" s="107"/>
      <c r="K58" s="107">
        <f t="shared" si="7"/>
        <v>0</v>
      </c>
    </row>
    <row r="59" spans="1:11" ht="15.75" x14ac:dyDescent="0.25">
      <c r="A59" s="139"/>
      <c r="B59" s="139"/>
      <c r="C59" s="140"/>
      <c r="D59" s="141"/>
      <c r="E59" s="141"/>
      <c r="F59" s="141"/>
      <c r="G59" s="141"/>
      <c r="H59" s="141"/>
      <c r="I59" s="141"/>
      <c r="J59" s="141"/>
      <c r="K59" s="141"/>
    </row>
    <row r="60" spans="1:11" ht="16.5" thickBot="1" x14ac:dyDescent="0.3">
      <c r="A60" s="139"/>
      <c r="B60" s="139"/>
      <c r="C60" s="140"/>
      <c r="D60" s="141"/>
      <c r="E60" s="141"/>
      <c r="F60" s="141"/>
      <c r="G60" s="141"/>
      <c r="H60" s="141"/>
      <c r="I60" s="141"/>
      <c r="J60" s="141"/>
      <c r="K60" s="141"/>
    </row>
    <row r="61" spans="1:11" ht="19.5" thickBot="1" x14ac:dyDescent="0.35">
      <c r="A61" s="492" t="s">
        <v>50</v>
      </c>
      <c r="B61" s="493"/>
      <c r="C61" s="142"/>
      <c r="D61" s="143"/>
      <c r="E61" s="143"/>
      <c r="F61" s="143"/>
      <c r="G61" s="143"/>
      <c r="H61" s="143"/>
      <c r="I61" s="143"/>
      <c r="J61" s="143"/>
      <c r="K61" s="108">
        <f>+K23+K58</f>
        <v>0</v>
      </c>
    </row>
    <row r="62" spans="1:11" x14ac:dyDescent="0.25">
      <c r="A62" s="84"/>
      <c r="B62" s="84"/>
      <c r="C62" s="144"/>
      <c r="D62" s="85"/>
      <c r="E62" s="85"/>
      <c r="F62" s="85"/>
      <c r="G62" s="85"/>
      <c r="H62" s="85"/>
      <c r="I62" s="85"/>
      <c r="J62" s="85"/>
      <c r="K62" s="85"/>
    </row>
    <row r="63" spans="1:11" x14ac:dyDescent="0.25">
      <c r="A63" s="84"/>
      <c r="B63" s="84"/>
      <c r="C63" s="144"/>
      <c r="D63" s="85"/>
      <c r="E63" s="85"/>
      <c r="F63" s="85"/>
      <c r="G63" s="85"/>
      <c r="H63" s="85"/>
      <c r="I63" s="85"/>
      <c r="J63" s="85"/>
      <c r="K63" s="85"/>
    </row>
    <row r="64" spans="1:11" ht="16.5" thickBot="1" x14ac:dyDescent="0.3">
      <c r="A64" s="145" t="s">
        <v>500</v>
      </c>
      <c r="B64" s="84"/>
      <c r="C64" s="144"/>
      <c r="D64" s="85"/>
      <c r="E64" s="85"/>
      <c r="F64" s="85"/>
      <c r="G64" s="85"/>
      <c r="H64" s="85"/>
      <c r="I64" s="85"/>
      <c r="J64" s="85"/>
      <c r="K64" s="85"/>
    </row>
    <row r="65" spans="1:12" ht="19.5" thickBot="1" x14ac:dyDescent="0.35">
      <c r="A65" s="146" t="s">
        <v>52</v>
      </c>
      <c r="B65" s="147"/>
      <c r="C65" s="148"/>
      <c r="D65" s="149"/>
      <c r="E65" s="149"/>
      <c r="F65" s="149"/>
      <c r="G65" s="149"/>
      <c r="H65" s="149"/>
      <c r="I65" s="149"/>
      <c r="J65" s="149"/>
      <c r="K65" s="108"/>
    </row>
    <row r="66" spans="1:12" ht="19.5" thickBot="1" x14ac:dyDescent="0.35">
      <c r="A66" s="146" t="s">
        <v>53</v>
      </c>
      <c r="B66" s="147"/>
      <c r="C66" s="150"/>
      <c r="D66" s="149"/>
      <c r="E66" s="149"/>
      <c r="F66" s="149"/>
      <c r="G66" s="149"/>
      <c r="H66" s="149"/>
      <c r="I66" s="149"/>
      <c r="J66" s="149"/>
      <c r="K66" s="108"/>
      <c r="L66" s="41"/>
    </row>
    <row r="67" spans="1:12" ht="18.75" x14ac:dyDescent="0.3">
      <c r="A67" s="151"/>
      <c r="B67" s="151"/>
      <c r="C67" s="152"/>
      <c r="D67" s="153"/>
      <c r="E67" s="153"/>
      <c r="F67" s="153"/>
      <c r="G67" s="153"/>
      <c r="H67" s="153"/>
      <c r="I67" s="153"/>
      <c r="J67" s="153"/>
      <c r="K67" s="111"/>
    </row>
    <row r="68" spans="1:12" ht="18.75" x14ac:dyDescent="0.3">
      <c r="A68" s="151"/>
      <c r="B68" s="151"/>
      <c r="C68" s="152"/>
      <c r="D68" s="153"/>
      <c r="E68" s="153"/>
      <c r="F68" s="153"/>
      <c r="G68" s="153"/>
      <c r="H68" s="153"/>
      <c r="I68" s="153"/>
      <c r="J68" s="153"/>
      <c r="K68" s="111"/>
      <c r="L68" s="41"/>
    </row>
    <row r="69" spans="1:12" ht="16.5" thickBot="1" x14ac:dyDescent="0.3">
      <c r="A69" s="154" t="s">
        <v>54</v>
      </c>
      <c r="B69" s="155"/>
      <c r="C69" s="144"/>
      <c r="D69" s="85"/>
      <c r="E69" s="85"/>
      <c r="F69" s="85"/>
      <c r="G69" s="85"/>
      <c r="H69" s="85"/>
      <c r="I69" s="85"/>
      <c r="J69" s="85"/>
      <c r="K69" s="85"/>
    </row>
    <row r="70" spans="1:12" ht="19.5" thickBot="1" x14ac:dyDescent="0.35">
      <c r="A70" s="156" t="s">
        <v>55</v>
      </c>
      <c r="B70" s="157"/>
      <c r="C70" s="158"/>
      <c r="D70" s="159"/>
      <c r="E70" s="159"/>
      <c r="F70" s="159"/>
      <c r="G70" s="159"/>
      <c r="H70" s="159"/>
      <c r="I70" s="159"/>
      <c r="J70" s="159"/>
      <c r="K70" s="160">
        <v>486</v>
      </c>
    </row>
    <row r="71" spans="1:12" x14ac:dyDescent="0.25">
      <c r="A71" s="161"/>
      <c r="B71" s="84"/>
      <c r="C71" s="144"/>
      <c r="D71" s="85"/>
      <c r="E71" s="85"/>
      <c r="F71" s="85"/>
      <c r="G71" s="85"/>
      <c r="H71" s="85"/>
      <c r="I71" s="85"/>
      <c r="J71" s="85"/>
      <c r="K71" s="85"/>
    </row>
    <row r="72" spans="1:12" ht="16.5" thickBot="1" x14ac:dyDescent="0.3">
      <c r="A72" s="154"/>
      <c r="B72" s="155"/>
      <c r="C72" s="144"/>
      <c r="D72" s="85"/>
      <c r="E72" s="85"/>
      <c r="F72" s="85"/>
      <c r="G72" s="85"/>
      <c r="H72" s="85"/>
      <c r="I72" s="85"/>
      <c r="J72" s="85"/>
      <c r="K72" s="85"/>
    </row>
    <row r="73" spans="1:12" ht="19.5" thickBot="1" x14ac:dyDescent="0.35">
      <c r="A73" s="156" t="s">
        <v>56</v>
      </c>
      <c r="B73" s="157"/>
      <c r="C73" s="162"/>
      <c r="D73" s="159"/>
      <c r="E73" s="159"/>
      <c r="F73" s="159"/>
      <c r="G73" s="159"/>
      <c r="H73" s="159"/>
      <c r="I73" s="159"/>
      <c r="J73" s="159"/>
      <c r="K73" s="163"/>
    </row>
    <row r="74" spans="1:12" ht="15.75" thickBot="1" x14ac:dyDescent="0.3">
      <c r="A74" s="161"/>
      <c r="B74" s="84"/>
      <c r="C74" s="144"/>
      <c r="D74" s="85"/>
      <c r="E74" s="85"/>
      <c r="F74" s="85"/>
      <c r="G74" s="85"/>
      <c r="H74" s="85"/>
      <c r="I74" s="85"/>
      <c r="J74" s="85"/>
      <c r="K74" s="85"/>
    </row>
    <row r="75" spans="1:12" ht="21.75" thickBot="1" x14ac:dyDescent="0.4">
      <c r="A75" s="494" t="s">
        <v>57</v>
      </c>
      <c r="B75" s="495"/>
      <c r="C75" s="164"/>
      <c r="D75" s="165"/>
      <c r="E75" s="165"/>
      <c r="F75" s="165"/>
      <c r="G75" s="165"/>
      <c r="H75" s="165"/>
      <c r="I75" s="165"/>
      <c r="J75" s="165"/>
      <c r="K75" s="166">
        <f>SUM(K61:K74)</f>
        <v>486</v>
      </c>
    </row>
    <row r="76" spans="1:12" x14ac:dyDescent="0.25">
      <c r="A76" s="84"/>
      <c r="B76" s="84"/>
      <c r="C76" s="144"/>
      <c r="D76" s="85"/>
      <c r="E76" s="85"/>
      <c r="F76" s="85"/>
      <c r="G76" s="85"/>
      <c r="H76" s="85"/>
      <c r="I76" s="85"/>
      <c r="J76" s="85"/>
      <c r="K76" s="85"/>
    </row>
    <row r="77" spans="1:12" ht="21" x14ac:dyDescent="0.35">
      <c r="A77" s="491" t="s">
        <v>506</v>
      </c>
      <c r="B77" s="491"/>
      <c r="C77" s="491"/>
      <c r="D77" s="491"/>
      <c r="E77" s="491"/>
      <c r="F77" s="491"/>
      <c r="G77" s="491"/>
      <c r="H77" s="491"/>
      <c r="I77" s="491"/>
      <c r="J77" s="491"/>
      <c r="K77" s="491"/>
    </row>
    <row r="78" spans="1:12" ht="21.75" thickBot="1" x14ac:dyDescent="0.4">
      <c r="A78" s="355" t="s">
        <v>10</v>
      </c>
      <c r="B78" s="355"/>
      <c r="C78" s="355"/>
      <c r="D78" s="355"/>
      <c r="E78" s="355"/>
      <c r="F78" s="355"/>
      <c r="G78" s="355"/>
      <c r="H78" s="355"/>
      <c r="I78" s="355"/>
      <c r="J78" s="355"/>
      <c r="K78" s="168"/>
    </row>
    <row r="79" spans="1:12" ht="15.75" thickBot="1" x14ac:dyDescent="0.3">
      <c r="A79" s="169" t="s">
        <v>58</v>
      </c>
      <c r="B79" s="170" t="s">
        <v>59</v>
      </c>
      <c r="C79" s="496" t="s">
        <v>33</v>
      </c>
      <c r="D79" s="497"/>
      <c r="E79" s="497"/>
      <c r="F79" s="497"/>
      <c r="G79" s="497"/>
      <c r="H79" s="497"/>
      <c r="I79" s="497"/>
      <c r="J79" s="498"/>
      <c r="K79" s="171" t="s">
        <v>4</v>
      </c>
    </row>
    <row r="80" spans="1:12" ht="15.75" thickBot="1" x14ac:dyDescent="0.3">
      <c r="A80" s="172"/>
      <c r="B80" s="173"/>
      <c r="C80" s="525"/>
      <c r="D80" s="526"/>
      <c r="E80" s="526"/>
      <c r="F80" s="526"/>
      <c r="G80" s="526"/>
      <c r="H80" s="526"/>
      <c r="I80" s="526"/>
      <c r="J80" s="527"/>
      <c r="K80" s="104"/>
    </row>
    <row r="81" spans="1:11" ht="15.75" thickBot="1" x14ac:dyDescent="0.3">
      <c r="A81" s="121"/>
      <c r="B81" s="173"/>
      <c r="C81" s="525"/>
      <c r="D81" s="526"/>
      <c r="E81" s="526"/>
      <c r="F81" s="526"/>
      <c r="G81" s="526"/>
      <c r="H81" s="526"/>
      <c r="I81" s="526"/>
      <c r="J81" s="527"/>
      <c r="K81" s="104"/>
    </row>
    <row r="82" spans="1:11" ht="15.75" thickBot="1" x14ac:dyDescent="0.3">
      <c r="A82" s="121"/>
      <c r="B82" s="173"/>
      <c r="C82" s="525"/>
      <c r="D82" s="526"/>
      <c r="E82" s="526"/>
      <c r="F82" s="526"/>
      <c r="G82" s="526"/>
      <c r="H82" s="526"/>
      <c r="I82" s="526"/>
      <c r="J82" s="527"/>
      <c r="K82" s="174"/>
    </row>
    <row r="83" spans="1:11" ht="15.75" thickBot="1" x14ac:dyDescent="0.3">
      <c r="A83" s="121"/>
      <c r="B83" s="173"/>
      <c r="C83" s="525"/>
      <c r="D83" s="526"/>
      <c r="E83" s="526"/>
      <c r="F83" s="526"/>
      <c r="G83" s="526"/>
      <c r="H83" s="526"/>
      <c r="I83" s="526"/>
      <c r="J83" s="527"/>
      <c r="K83" s="104"/>
    </row>
    <row r="84" spans="1:11" ht="15.75" thickBot="1" x14ac:dyDescent="0.3">
      <c r="A84" s="121"/>
      <c r="B84" s="173"/>
      <c r="C84" s="525"/>
      <c r="D84" s="526"/>
      <c r="E84" s="526"/>
      <c r="F84" s="526"/>
      <c r="G84" s="526"/>
      <c r="H84" s="526"/>
      <c r="I84" s="526"/>
      <c r="J84" s="527"/>
      <c r="K84" s="104"/>
    </row>
    <row r="85" spans="1:11" ht="15.75" thickBot="1" x14ac:dyDescent="0.3">
      <c r="A85" s="121"/>
      <c r="B85" s="173"/>
      <c r="C85" s="525"/>
      <c r="D85" s="526"/>
      <c r="E85" s="526"/>
      <c r="F85" s="526"/>
      <c r="G85" s="526"/>
      <c r="H85" s="526"/>
      <c r="I85" s="526"/>
      <c r="J85" s="527"/>
      <c r="K85" s="104"/>
    </row>
    <row r="86" spans="1:11" ht="15.75" thickBot="1" x14ac:dyDescent="0.3">
      <c r="A86" s="121"/>
      <c r="B86" s="173"/>
      <c r="C86" s="525"/>
      <c r="D86" s="526"/>
      <c r="E86" s="526"/>
      <c r="F86" s="526"/>
      <c r="G86" s="526"/>
      <c r="H86" s="526"/>
      <c r="I86" s="526"/>
      <c r="J86" s="527"/>
      <c r="K86" s="118"/>
    </row>
    <row r="87" spans="1:11" ht="15.75" thickBot="1" x14ac:dyDescent="0.3">
      <c r="A87" s="121"/>
      <c r="B87" s="173"/>
      <c r="C87" s="525"/>
      <c r="D87" s="526"/>
      <c r="E87" s="526"/>
      <c r="F87" s="526"/>
      <c r="G87" s="526"/>
      <c r="H87" s="526"/>
      <c r="I87" s="526"/>
      <c r="J87" s="527"/>
      <c r="K87" s="118"/>
    </row>
    <row r="88" spans="1:11" ht="15.75" thickBot="1" x14ac:dyDescent="0.3">
      <c r="A88" s="121"/>
      <c r="B88" s="173"/>
      <c r="C88" s="525"/>
      <c r="D88" s="526"/>
      <c r="E88" s="526"/>
      <c r="F88" s="526"/>
      <c r="G88" s="526"/>
      <c r="H88" s="526"/>
      <c r="I88" s="526"/>
      <c r="J88" s="527"/>
      <c r="K88" s="118"/>
    </row>
    <row r="89" spans="1:11" ht="15.75" thickBot="1" x14ac:dyDescent="0.3">
      <c r="A89" s="121"/>
      <c r="B89" s="173"/>
      <c r="C89" s="525"/>
      <c r="D89" s="526"/>
      <c r="E89" s="526"/>
      <c r="F89" s="526"/>
      <c r="G89" s="526"/>
      <c r="H89" s="526"/>
      <c r="I89" s="526"/>
      <c r="J89" s="527"/>
      <c r="K89" s="118"/>
    </row>
    <row r="90" spans="1:11" ht="19.5" thickBot="1" x14ac:dyDescent="0.35">
      <c r="A90" s="175" t="s">
        <v>60</v>
      </c>
      <c r="B90" s="492"/>
      <c r="C90" s="499"/>
      <c r="D90" s="499"/>
      <c r="E90" s="499"/>
      <c r="F90" s="499"/>
      <c r="G90" s="499"/>
      <c r="H90" s="499"/>
      <c r="I90" s="499"/>
      <c r="J90" s="359"/>
      <c r="K90" s="176">
        <f>SUM(K80:K89)</f>
        <v>0</v>
      </c>
    </row>
    <row r="91" spans="1:11" ht="18.75" x14ac:dyDescent="0.3">
      <c r="A91" s="2"/>
      <c r="B91" s="2"/>
      <c r="C91" s="177"/>
      <c r="D91" s="177"/>
      <c r="E91" s="177"/>
      <c r="F91" s="178"/>
      <c r="G91" s="177"/>
      <c r="H91" s="177"/>
      <c r="I91" s="177"/>
      <c r="J91" s="177"/>
      <c r="K91" s="111"/>
    </row>
    <row r="92" spans="1:11" ht="18.75" x14ac:dyDescent="0.3">
      <c r="A92" s="2"/>
      <c r="B92" s="2"/>
      <c r="C92" s="177"/>
      <c r="D92" s="177"/>
      <c r="E92" s="177"/>
      <c r="F92" s="178"/>
      <c r="G92" s="177"/>
      <c r="H92" s="177"/>
      <c r="I92" s="177"/>
      <c r="J92" s="177"/>
      <c r="K92" s="111"/>
    </row>
    <row r="93" spans="1:11" ht="18.75" x14ac:dyDescent="0.3">
      <c r="A93" s="139" t="s">
        <v>61</v>
      </c>
      <c r="B93" s="2"/>
      <c r="C93" s="84"/>
      <c r="D93" s="85"/>
      <c r="F93" s="85"/>
      <c r="K93" s="85"/>
    </row>
    <row r="94" spans="1:11" x14ac:dyDescent="0.25">
      <c r="A94" s="84" t="s">
        <v>62</v>
      </c>
      <c r="B94" s="144">
        <f>+K75</f>
        <v>486</v>
      </c>
      <c r="C94" s="179"/>
      <c r="D94" s="85"/>
      <c r="F94" s="85"/>
      <c r="K94" s="85"/>
    </row>
    <row r="95" spans="1:11" ht="15.75" thickBot="1" x14ac:dyDescent="0.3">
      <c r="A95" s="84" t="s">
        <v>60</v>
      </c>
      <c r="B95" s="180">
        <f>+K90</f>
        <v>0</v>
      </c>
      <c r="C95" s="181"/>
      <c r="D95" s="85"/>
      <c r="F95" s="85"/>
      <c r="G95" s="182"/>
      <c r="H95" s="182"/>
      <c r="I95" s="183"/>
      <c r="J95" s="183"/>
      <c r="K95" s="183"/>
    </row>
    <row r="96" spans="1:11" ht="17.25" thickTop="1" thickBot="1" x14ac:dyDescent="0.3">
      <c r="A96" s="139" t="s">
        <v>8</v>
      </c>
      <c r="B96" s="184">
        <f>++B94-B95</f>
        <v>486</v>
      </c>
      <c r="C96" s="185"/>
      <c r="D96" s="186"/>
      <c r="E96" s="41"/>
      <c r="F96" s="186"/>
      <c r="G96" s="187"/>
      <c r="H96" s="187"/>
      <c r="I96" s="85"/>
      <c r="J96" s="85"/>
    </row>
    <row r="97" customFormat="1" ht="15.75" thickTop="1" x14ac:dyDescent="0.25"/>
  </sheetData>
  <mergeCells count="16">
    <mergeCell ref="A1:K1"/>
    <mergeCell ref="A61:B61"/>
    <mergeCell ref="A75:B75"/>
    <mergeCell ref="A77:K77"/>
    <mergeCell ref="B90:I90"/>
    <mergeCell ref="C79:J79"/>
    <mergeCell ref="C80:J80"/>
    <mergeCell ref="C81:J81"/>
    <mergeCell ref="C82:J82"/>
    <mergeCell ref="C83:J83"/>
    <mergeCell ref="C84:J84"/>
    <mergeCell ref="C85:J85"/>
    <mergeCell ref="C86:J86"/>
    <mergeCell ref="C87:J87"/>
    <mergeCell ref="C88:J88"/>
    <mergeCell ref="C89:J89"/>
  </mergeCells>
  <pageMargins left="0.17" right="0.17" top="0.17" bottom="0.17" header="0.17" footer="0.17"/>
  <pageSetup paperSize="9" scale="49" fitToWidth="0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7113-48CE-4B15-9C12-B4E2E364298E}">
  <sheetPr>
    <pageSetUpPr fitToPage="1"/>
  </sheetPr>
  <dimension ref="A1:N98"/>
  <sheetViews>
    <sheetView topLeftCell="A43" workbookViewId="0">
      <selection activeCell="N32" sqref="N32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11" max="11" width="14" bestFit="1" customWidth="1"/>
  </cols>
  <sheetData>
    <row r="1" spans="1:11" ht="21" x14ac:dyDescent="0.35">
      <c r="A1" s="491" t="s">
        <v>508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</row>
    <row r="2" spans="1:11" ht="15.75" thickBot="1" x14ac:dyDescent="0.3">
      <c r="A2" s="83"/>
      <c r="B2" s="84"/>
      <c r="C2" s="84"/>
      <c r="K2" s="85"/>
    </row>
    <row r="3" spans="1:11" ht="4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347" t="s">
        <v>489</v>
      </c>
      <c r="K3" s="87" t="s">
        <v>4</v>
      </c>
    </row>
    <row r="4" spans="1:11" ht="15.75" thickBot="1" x14ac:dyDescent="0.3">
      <c r="A4" s="88" t="s">
        <v>78</v>
      </c>
      <c r="B4" s="88" t="s">
        <v>510</v>
      </c>
      <c r="C4" s="89">
        <v>46113</v>
      </c>
      <c r="D4" s="90"/>
      <c r="E4" s="90"/>
      <c r="F4" s="90"/>
      <c r="G4" s="90"/>
      <c r="H4" s="90"/>
      <c r="I4" s="90">
        <v>10</v>
      </c>
      <c r="J4" s="348"/>
      <c r="K4" s="87">
        <f>SUM(D4:J4)</f>
        <v>10</v>
      </c>
    </row>
    <row r="5" spans="1:11" ht="15.75" thickBot="1" x14ac:dyDescent="0.3">
      <c r="A5" s="88" t="s">
        <v>139</v>
      </c>
      <c r="B5" s="88" t="s">
        <v>511</v>
      </c>
      <c r="C5" s="89">
        <v>46113</v>
      </c>
      <c r="D5" s="90"/>
      <c r="E5" s="90"/>
      <c r="F5" s="90"/>
      <c r="G5" s="90"/>
      <c r="H5" s="90"/>
      <c r="I5" s="90">
        <v>10</v>
      </c>
      <c r="J5" s="348"/>
      <c r="K5" s="87">
        <f t="shared" ref="K5:K24" si="0">SUM(D5:J5)</f>
        <v>10</v>
      </c>
    </row>
    <row r="6" spans="1:11" ht="15.75" thickBot="1" x14ac:dyDescent="0.3">
      <c r="A6" s="88" t="s">
        <v>78</v>
      </c>
      <c r="B6" s="88" t="s">
        <v>520</v>
      </c>
      <c r="C6" s="89">
        <v>46113</v>
      </c>
      <c r="D6" s="90"/>
      <c r="E6" s="90"/>
      <c r="F6" s="90"/>
      <c r="G6" s="90"/>
      <c r="H6" s="90"/>
      <c r="I6" s="90">
        <v>10</v>
      </c>
      <c r="J6" s="348"/>
      <c r="K6" s="87">
        <f t="shared" si="0"/>
        <v>10</v>
      </c>
    </row>
    <row r="7" spans="1:11" ht="15.75" thickBot="1" x14ac:dyDescent="0.3">
      <c r="A7" s="88"/>
      <c r="B7" s="88"/>
      <c r="C7" s="89"/>
      <c r="D7" s="90"/>
      <c r="E7" s="90"/>
      <c r="F7" s="90"/>
      <c r="G7" s="90"/>
      <c r="H7" s="90"/>
      <c r="I7" s="90"/>
      <c r="J7" s="348"/>
      <c r="K7" s="87">
        <f t="shared" si="0"/>
        <v>0</v>
      </c>
    </row>
    <row r="8" spans="1:11" ht="15.75" thickBot="1" x14ac:dyDescent="0.3">
      <c r="A8" s="88" t="s">
        <v>515</v>
      </c>
      <c r="B8" s="88" t="s">
        <v>516</v>
      </c>
      <c r="C8" s="89">
        <v>46082</v>
      </c>
      <c r="D8" s="90"/>
      <c r="E8" s="90"/>
      <c r="F8" s="90">
        <v>600</v>
      </c>
      <c r="G8" s="90"/>
      <c r="H8" s="90"/>
      <c r="I8" s="90"/>
      <c r="J8" s="348"/>
      <c r="K8" s="87">
        <f t="shared" si="0"/>
        <v>600</v>
      </c>
    </row>
    <row r="9" spans="1:11" ht="15.75" thickBot="1" x14ac:dyDescent="0.3">
      <c r="A9" s="88" t="s">
        <v>517</v>
      </c>
      <c r="B9" s="88" t="s">
        <v>518</v>
      </c>
      <c r="C9" s="89">
        <v>46082</v>
      </c>
      <c r="D9" s="90"/>
      <c r="E9" s="90"/>
      <c r="F9" s="90">
        <v>300</v>
      </c>
      <c r="G9" s="90"/>
      <c r="H9" s="90"/>
      <c r="I9" s="90"/>
      <c r="J9" s="348"/>
      <c r="K9" s="87">
        <f t="shared" si="0"/>
        <v>300</v>
      </c>
    </row>
    <row r="10" spans="1:11" ht="15.75" thickBot="1" x14ac:dyDescent="0.3">
      <c r="A10" s="88" t="s">
        <v>38</v>
      </c>
      <c r="B10" s="88" t="s">
        <v>538</v>
      </c>
      <c r="C10" s="89">
        <v>46113</v>
      </c>
      <c r="D10" s="90"/>
      <c r="E10" s="90"/>
      <c r="F10" s="90"/>
      <c r="G10" s="90"/>
      <c r="H10" s="90">
        <v>75.3</v>
      </c>
      <c r="I10" s="90"/>
      <c r="J10" s="348"/>
      <c r="K10" s="87">
        <f t="shared" si="0"/>
        <v>75.3</v>
      </c>
    </row>
    <row r="11" spans="1:11" ht="15.75" thickBot="1" x14ac:dyDescent="0.3">
      <c r="A11" s="88"/>
      <c r="B11" s="88"/>
      <c r="C11" s="89"/>
      <c r="D11" s="90"/>
      <c r="E11" s="90"/>
      <c r="F11" s="90"/>
      <c r="G11" s="90"/>
      <c r="H11" s="90"/>
      <c r="I11" s="90"/>
      <c r="J11" s="348"/>
      <c r="K11" s="87">
        <f t="shared" si="0"/>
        <v>0</v>
      </c>
    </row>
    <row r="12" spans="1:11" ht="15.75" thickBot="1" x14ac:dyDescent="0.3">
      <c r="A12" s="88" t="s">
        <v>515</v>
      </c>
      <c r="B12" s="103" t="s">
        <v>519</v>
      </c>
      <c r="C12" s="89">
        <v>46054</v>
      </c>
      <c r="D12" s="116">
        <v>14.4</v>
      </c>
      <c r="E12" s="116">
        <v>6</v>
      </c>
      <c r="F12" s="116"/>
      <c r="G12" s="116"/>
      <c r="H12" s="90"/>
      <c r="I12" s="90"/>
      <c r="J12" s="348"/>
      <c r="K12" s="87">
        <f t="shared" si="0"/>
        <v>20.399999999999999</v>
      </c>
    </row>
    <row r="13" spans="1:11" ht="15.75" thickBot="1" x14ac:dyDescent="0.3">
      <c r="A13" s="88"/>
      <c r="B13" s="88"/>
      <c r="C13" s="89"/>
      <c r="D13" s="90"/>
      <c r="E13" s="90"/>
      <c r="F13" s="90"/>
      <c r="G13" s="90"/>
      <c r="H13" s="90"/>
      <c r="I13" s="90"/>
      <c r="J13" s="348"/>
      <c r="K13" s="87">
        <f t="shared" si="0"/>
        <v>0</v>
      </c>
    </row>
    <row r="14" spans="1:11" ht="15.75" thickBot="1" x14ac:dyDescent="0.3">
      <c r="A14" s="353"/>
      <c r="B14" s="88"/>
      <c r="C14" s="89"/>
      <c r="D14" s="90"/>
      <c r="E14" s="90"/>
      <c r="F14" s="90"/>
      <c r="G14" s="90"/>
      <c r="H14" s="90"/>
      <c r="I14" s="90"/>
      <c r="J14" s="348"/>
      <c r="K14" s="87">
        <f t="shared" si="0"/>
        <v>0</v>
      </c>
    </row>
    <row r="15" spans="1:11" ht="15.75" thickBot="1" x14ac:dyDescent="0.3">
      <c r="A15" s="353"/>
      <c r="B15" s="351"/>
      <c r="C15" s="89"/>
      <c r="D15" s="90"/>
      <c r="E15" s="90"/>
      <c r="F15" s="90"/>
      <c r="G15" s="90"/>
      <c r="H15" s="90"/>
      <c r="I15" s="93"/>
      <c r="J15" s="99"/>
      <c r="K15" s="87">
        <f t="shared" si="0"/>
        <v>0</v>
      </c>
    </row>
    <row r="16" spans="1:11" ht="15.75" thickBot="1" x14ac:dyDescent="0.3">
      <c r="A16" s="88"/>
      <c r="B16" s="88"/>
      <c r="C16" s="89"/>
      <c r="D16" s="90"/>
      <c r="E16" s="90"/>
      <c r="F16" s="90"/>
      <c r="G16" s="90"/>
      <c r="H16" s="90"/>
      <c r="I16" s="90"/>
      <c r="J16" s="348"/>
      <c r="K16" s="87">
        <f t="shared" si="0"/>
        <v>0</v>
      </c>
    </row>
    <row r="17" spans="1:14" ht="15.75" thickBot="1" x14ac:dyDescent="0.3">
      <c r="A17" s="95"/>
      <c r="B17" s="352"/>
      <c r="C17" s="89"/>
      <c r="D17" s="90"/>
      <c r="E17" s="90"/>
      <c r="F17" s="90"/>
      <c r="G17" s="90"/>
      <c r="H17" s="90"/>
      <c r="I17" s="90"/>
      <c r="J17" s="348"/>
      <c r="K17" s="87">
        <f t="shared" si="0"/>
        <v>0</v>
      </c>
    </row>
    <row r="18" spans="1:14" ht="15.75" thickBot="1" x14ac:dyDescent="0.3">
      <c r="A18" s="97"/>
      <c r="B18" s="95"/>
      <c r="C18" s="89"/>
      <c r="D18" s="90"/>
      <c r="E18" s="90"/>
      <c r="F18" s="90"/>
      <c r="G18" s="90"/>
      <c r="H18" s="90"/>
      <c r="I18" s="90"/>
      <c r="J18" s="348"/>
      <c r="K18" s="87">
        <f t="shared" si="0"/>
        <v>0</v>
      </c>
    </row>
    <row r="19" spans="1:14" ht="15.75" thickBot="1" x14ac:dyDescent="0.3">
      <c r="A19" s="354"/>
      <c r="B19" s="354"/>
      <c r="C19" s="89"/>
      <c r="D19" s="90"/>
      <c r="E19" s="90"/>
      <c r="F19" s="90"/>
      <c r="G19" s="90"/>
      <c r="H19" s="90"/>
      <c r="I19" s="90"/>
      <c r="J19" s="348"/>
      <c r="K19" s="87">
        <f t="shared" si="0"/>
        <v>0</v>
      </c>
    </row>
    <row r="20" spans="1:14" ht="15.75" thickBot="1" x14ac:dyDescent="0.3">
      <c r="A20" s="99"/>
      <c r="B20" s="354"/>
      <c r="C20" s="89"/>
      <c r="D20" s="90"/>
      <c r="E20" s="90"/>
      <c r="F20" s="90"/>
      <c r="G20" s="90"/>
      <c r="H20" s="90"/>
      <c r="I20" s="90"/>
      <c r="J20" s="348"/>
      <c r="K20" s="87">
        <f t="shared" si="0"/>
        <v>0</v>
      </c>
    </row>
    <row r="21" spans="1:14" ht="15.75" thickBot="1" x14ac:dyDescent="0.3">
      <c r="A21" s="99"/>
      <c r="B21" s="354"/>
      <c r="C21" s="89"/>
      <c r="D21" s="90"/>
      <c r="E21" s="90"/>
      <c r="F21" s="90"/>
      <c r="G21" s="90"/>
      <c r="H21" s="90"/>
      <c r="I21" s="90"/>
      <c r="J21" s="348"/>
      <c r="K21" s="87">
        <f t="shared" si="0"/>
        <v>0</v>
      </c>
    </row>
    <row r="22" spans="1:14" ht="15.75" thickBot="1" x14ac:dyDescent="0.3">
      <c r="A22" s="100"/>
      <c r="B22" s="354"/>
      <c r="C22" s="89"/>
      <c r="D22" s="90"/>
      <c r="E22" s="90"/>
      <c r="F22" s="90"/>
      <c r="G22" s="90"/>
      <c r="H22" s="90"/>
      <c r="I22" s="90"/>
      <c r="J22" s="348"/>
      <c r="K22" s="87">
        <f t="shared" si="0"/>
        <v>0</v>
      </c>
    </row>
    <row r="23" spans="1:14" ht="15.75" thickBot="1" x14ac:dyDescent="0.3">
      <c r="A23" s="357"/>
      <c r="B23" s="357"/>
      <c r="C23" s="89"/>
      <c r="D23" s="90"/>
      <c r="E23" s="90"/>
      <c r="F23" s="90"/>
      <c r="G23" s="90"/>
      <c r="H23" s="90"/>
      <c r="I23" s="90"/>
      <c r="J23" s="348"/>
      <c r="K23" s="87">
        <f t="shared" si="0"/>
        <v>0</v>
      </c>
    </row>
    <row r="24" spans="1:14" ht="15.75" thickBot="1" x14ac:dyDescent="0.3">
      <c r="A24" s="354"/>
      <c r="B24" s="356"/>
      <c r="C24" s="103"/>
      <c r="D24" s="104"/>
      <c r="E24" s="104"/>
      <c r="F24" s="104"/>
      <c r="G24" s="104"/>
      <c r="H24" s="104"/>
      <c r="I24" s="104"/>
      <c r="J24" s="349"/>
      <c r="K24" s="87">
        <f t="shared" si="0"/>
        <v>0</v>
      </c>
    </row>
    <row r="25" spans="1:14" ht="19.5" thickBot="1" x14ac:dyDescent="0.35">
      <c r="A25" s="105" t="s">
        <v>4</v>
      </c>
      <c r="B25" s="86"/>
      <c r="C25" s="106"/>
      <c r="D25" s="108">
        <f t="shared" ref="D25:J25" si="1">SUM(D4:D24)</f>
        <v>14.4</v>
      </c>
      <c r="E25" s="108">
        <f t="shared" si="1"/>
        <v>6</v>
      </c>
      <c r="F25" s="108">
        <f t="shared" si="1"/>
        <v>900</v>
      </c>
      <c r="G25" s="108">
        <f t="shared" si="1"/>
        <v>0</v>
      </c>
      <c r="H25" s="108">
        <f t="shared" si="1"/>
        <v>75.3</v>
      </c>
      <c r="I25" s="108">
        <f t="shared" si="1"/>
        <v>30</v>
      </c>
      <c r="J25" s="108">
        <f t="shared" si="1"/>
        <v>0</v>
      </c>
      <c r="K25" s="108">
        <f>SUM(K4:K24)</f>
        <v>1025.7</v>
      </c>
    </row>
    <row r="26" spans="1:14" ht="19.5" thickBot="1" x14ac:dyDescent="0.35">
      <c r="A26" s="2"/>
      <c r="B26" s="109"/>
      <c r="C26" s="110"/>
      <c r="D26" s="111"/>
      <c r="E26" s="111"/>
      <c r="F26" s="111"/>
      <c r="G26" s="111"/>
      <c r="H26" s="111"/>
      <c r="I26" s="111"/>
      <c r="J26" s="111"/>
      <c r="K26" s="111"/>
    </row>
    <row r="27" spans="1:14" ht="24" thickBot="1" x14ac:dyDescent="0.4">
      <c r="A27" s="112" t="s">
        <v>40</v>
      </c>
      <c r="B27" s="109"/>
      <c r="C27" s="110"/>
      <c r="D27" s="111"/>
      <c r="E27" s="111"/>
      <c r="F27" s="111"/>
      <c r="G27" s="111"/>
      <c r="H27" s="111"/>
      <c r="I27" s="111"/>
      <c r="J27" s="111"/>
      <c r="K27" s="111"/>
    </row>
    <row r="28" spans="1:14" ht="15.75" thickBot="1" x14ac:dyDescent="0.3">
      <c r="A28" s="113" t="s">
        <v>3</v>
      </c>
      <c r="B28" s="86" t="s">
        <v>32</v>
      </c>
      <c r="C28" s="114" t="s">
        <v>41</v>
      </c>
      <c r="D28" s="114" t="s">
        <v>34</v>
      </c>
      <c r="E28" s="114" t="s">
        <v>35</v>
      </c>
      <c r="F28" s="86" t="s">
        <v>36</v>
      </c>
      <c r="G28" s="86" t="s">
        <v>37</v>
      </c>
      <c r="H28" s="86" t="s">
        <v>42</v>
      </c>
      <c r="I28" s="86" t="s">
        <v>39</v>
      </c>
      <c r="J28" s="86"/>
      <c r="K28" s="115" t="s">
        <v>4</v>
      </c>
    </row>
    <row r="29" spans="1:14" ht="15.75" thickBot="1" x14ac:dyDescent="0.3">
      <c r="A29" s="357" t="s">
        <v>513</v>
      </c>
      <c r="B29" s="103" t="s">
        <v>514</v>
      </c>
      <c r="C29" s="103">
        <v>46113</v>
      </c>
      <c r="D29" s="116"/>
      <c r="E29" s="117"/>
      <c r="F29" s="116"/>
      <c r="G29" s="116">
        <v>30</v>
      </c>
      <c r="H29" s="118"/>
      <c r="I29" s="118"/>
      <c r="J29" s="118"/>
      <c r="K29" s="119">
        <f>SUM(D29:I29)</f>
        <v>30</v>
      </c>
    </row>
    <row r="30" spans="1:14" ht="15.75" thickBot="1" x14ac:dyDescent="0.3">
      <c r="A30" s="357" t="s">
        <v>533</v>
      </c>
      <c r="B30" s="356" t="s">
        <v>534</v>
      </c>
      <c r="C30" s="103">
        <v>46113</v>
      </c>
      <c r="D30" s="116"/>
      <c r="E30" s="117"/>
      <c r="F30" s="116">
        <v>500</v>
      </c>
      <c r="G30" s="116"/>
      <c r="H30" s="118"/>
      <c r="I30" s="118"/>
      <c r="J30" s="118"/>
      <c r="K30" s="119">
        <f t="shared" ref="K30:K32" si="2">SUM(D30:I30)</f>
        <v>500</v>
      </c>
    </row>
    <row r="31" spans="1:14" ht="15.75" thickBot="1" x14ac:dyDescent="0.3">
      <c r="A31" s="357"/>
      <c r="B31" s="354"/>
      <c r="C31" s="89"/>
      <c r="D31" s="120"/>
      <c r="E31" s="120"/>
      <c r="F31" s="120"/>
      <c r="G31" s="120"/>
      <c r="H31" s="90"/>
      <c r="I31" s="90"/>
      <c r="J31" s="90"/>
      <c r="K31" s="119">
        <f t="shared" si="2"/>
        <v>0</v>
      </c>
    </row>
    <row r="32" spans="1:14" ht="15.75" thickBot="1" x14ac:dyDescent="0.3">
      <c r="A32" s="86"/>
      <c r="B32" s="121"/>
      <c r="C32" s="89"/>
      <c r="D32" s="120"/>
      <c r="E32" s="120"/>
      <c r="F32" s="120"/>
      <c r="G32" s="120"/>
      <c r="H32" s="90"/>
      <c r="I32" s="90"/>
      <c r="J32" s="90"/>
      <c r="K32" s="119">
        <f t="shared" si="2"/>
        <v>0</v>
      </c>
      <c r="M32" s="122" t="s">
        <v>43</v>
      </c>
      <c r="N32" s="123">
        <f>K33+K41</f>
        <v>1266.1999999999998</v>
      </c>
    </row>
    <row r="33" spans="1:14" ht="15.75" thickBot="1" x14ac:dyDescent="0.3">
      <c r="A33" s="86" t="s">
        <v>4</v>
      </c>
      <c r="B33" s="358"/>
      <c r="C33" s="125"/>
      <c r="D33" s="116">
        <f>SUM(D29:D32)</f>
        <v>0</v>
      </c>
      <c r="E33" s="116">
        <f t="shared" ref="E33:J33" si="3">SUM(E29:E32)</f>
        <v>0</v>
      </c>
      <c r="F33" s="116">
        <f t="shared" si="3"/>
        <v>500</v>
      </c>
      <c r="G33" s="116">
        <f t="shared" si="3"/>
        <v>30</v>
      </c>
      <c r="H33" s="116">
        <f t="shared" si="3"/>
        <v>0</v>
      </c>
      <c r="I33" s="116">
        <f t="shared" si="3"/>
        <v>0</v>
      </c>
      <c r="J33" s="116">
        <f t="shared" si="3"/>
        <v>0</v>
      </c>
      <c r="K33" s="94">
        <f>SUM(K29:K32)</f>
        <v>530</v>
      </c>
    </row>
    <row r="34" spans="1:14" ht="15.75" thickBot="1" x14ac:dyDescent="0.3">
      <c r="A34" s="109"/>
      <c r="B34" s="127"/>
      <c r="C34" s="128"/>
      <c r="D34" s="129"/>
      <c r="E34" s="129"/>
      <c r="F34" s="129"/>
      <c r="G34" s="129"/>
      <c r="H34" s="129"/>
      <c r="I34" s="129"/>
      <c r="J34" s="129"/>
      <c r="K34" s="130"/>
    </row>
    <row r="35" spans="1:14" ht="24" thickBot="1" x14ac:dyDescent="0.4">
      <c r="A35" s="112" t="s">
        <v>40</v>
      </c>
      <c r="B35" s="109"/>
      <c r="C35" s="110"/>
      <c r="D35" s="111"/>
      <c r="E35" s="111"/>
      <c r="F35" s="111"/>
      <c r="G35" s="111"/>
      <c r="H35" s="111"/>
      <c r="I35" s="111"/>
      <c r="J35" s="111"/>
      <c r="K35" s="111"/>
    </row>
    <row r="36" spans="1:14" ht="45.75" thickBot="1" x14ac:dyDescent="0.3">
      <c r="A36" s="131" t="s">
        <v>44</v>
      </c>
      <c r="B36" s="86" t="s">
        <v>45</v>
      </c>
      <c r="C36" s="114" t="s">
        <v>41</v>
      </c>
      <c r="D36" s="114" t="s">
        <v>34</v>
      </c>
      <c r="E36" s="114" t="s">
        <v>35</v>
      </c>
      <c r="F36" s="114" t="s">
        <v>46</v>
      </c>
      <c r="G36" s="114" t="s">
        <v>47</v>
      </c>
      <c r="H36" s="114" t="s">
        <v>42</v>
      </c>
      <c r="I36" s="132" t="s">
        <v>48</v>
      </c>
      <c r="J36" s="86"/>
      <c r="K36" s="115" t="s">
        <v>4</v>
      </c>
    </row>
    <row r="37" spans="1:14" ht="15.75" thickBot="1" x14ac:dyDescent="0.3">
      <c r="A37" s="88" t="s">
        <v>521</v>
      </c>
      <c r="B37" s="99" t="s">
        <v>522</v>
      </c>
      <c r="C37" s="89">
        <v>46082</v>
      </c>
      <c r="D37" s="90">
        <v>552.79999999999995</v>
      </c>
      <c r="E37" s="90">
        <v>118.4</v>
      </c>
      <c r="F37" s="90">
        <v>60</v>
      </c>
      <c r="G37" s="90">
        <v>5</v>
      </c>
      <c r="H37" s="90"/>
      <c r="I37" s="90"/>
      <c r="J37" s="348"/>
      <c r="K37" s="87">
        <f t="shared" ref="K37:K40" si="4">SUM(D37:I37)</f>
        <v>736.19999999999993</v>
      </c>
    </row>
    <row r="38" spans="1:14" ht="15.75" thickBot="1" x14ac:dyDescent="0.3">
      <c r="A38" s="95"/>
      <c r="B38" s="103"/>
      <c r="C38" s="89"/>
      <c r="D38" s="116"/>
      <c r="E38" s="116"/>
      <c r="F38" s="116"/>
      <c r="G38" s="116"/>
      <c r="H38" s="118"/>
      <c r="I38" s="118"/>
      <c r="J38" s="118"/>
      <c r="K38" s="119">
        <f t="shared" si="4"/>
        <v>0</v>
      </c>
    </row>
    <row r="39" spans="1:14" ht="15.75" thickBot="1" x14ac:dyDescent="0.3">
      <c r="A39" s="357"/>
      <c r="B39" s="354"/>
      <c r="C39" s="89"/>
      <c r="D39" s="120"/>
      <c r="E39" s="120"/>
      <c r="F39" s="120"/>
      <c r="G39" s="120"/>
      <c r="H39" s="90"/>
      <c r="I39" s="90"/>
      <c r="J39" s="90"/>
      <c r="K39" s="119">
        <f t="shared" si="4"/>
        <v>0</v>
      </c>
    </row>
    <row r="40" spans="1:14" ht="15.75" thickBot="1" x14ac:dyDescent="0.3">
      <c r="A40" s="86"/>
      <c r="B40" s="121"/>
      <c r="C40" s="89"/>
      <c r="D40" s="120"/>
      <c r="E40" s="120"/>
      <c r="F40" s="120"/>
      <c r="G40" s="120"/>
      <c r="H40" s="90"/>
      <c r="I40" s="90"/>
      <c r="J40" s="90"/>
      <c r="K40" s="119">
        <f t="shared" si="4"/>
        <v>0</v>
      </c>
      <c r="M40" s="134"/>
      <c r="N40" s="135"/>
    </row>
    <row r="41" spans="1:14" ht="15.75" thickBot="1" x14ac:dyDescent="0.3">
      <c r="A41" s="86" t="s">
        <v>4</v>
      </c>
      <c r="B41" s="358"/>
      <c r="C41" s="125"/>
      <c r="D41" s="116">
        <f>SUM(D37:D40)</f>
        <v>552.79999999999995</v>
      </c>
      <c r="E41" s="116">
        <f t="shared" ref="E41:J41" si="5">SUM(E37:E40)</f>
        <v>118.4</v>
      </c>
      <c r="F41" s="116">
        <f t="shared" si="5"/>
        <v>60</v>
      </c>
      <c r="G41" s="116">
        <f t="shared" si="5"/>
        <v>5</v>
      </c>
      <c r="H41" s="116">
        <f t="shared" si="5"/>
        <v>0</v>
      </c>
      <c r="I41" s="116">
        <f t="shared" si="5"/>
        <v>0</v>
      </c>
      <c r="J41" s="116">
        <f t="shared" si="5"/>
        <v>0</v>
      </c>
      <c r="K41" s="94">
        <f>SUM(K37:K40)</f>
        <v>736.19999999999993</v>
      </c>
    </row>
    <row r="42" spans="1:14" x14ac:dyDescent="0.25">
      <c r="A42" s="109"/>
      <c r="B42" s="127"/>
      <c r="C42" s="128"/>
      <c r="D42" s="129"/>
      <c r="E42" s="129"/>
      <c r="F42" s="129"/>
      <c r="G42" s="129"/>
      <c r="H42" s="129"/>
      <c r="I42" s="129"/>
      <c r="J42" s="129"/>
      <c r="K42" s="130"/>
    </row>
    <row r="43" spans="1:14" x14ac:dyDescent="0.25">
      <c r="A43" s="109"/>
      <c r="B43" s="127"/>
      <c r="C43" s="128"/>
      <c r="D43" s="129"/>
      <c r="E43" s="129"/>
      <c r="F43" s="129"/>
      <c r="G43" s="129"/>
      <c r="H43" s="129"/>
      <c r="I43" s="129"/>
      <c r="J43" s="129"/>
      <c r="K43" s="130"/>
    </row>
    <row r="44" spans="1:14" ht="15.75" thickBot="1" x14ac:dyDescent="0.3">
      <c r="A44" s="84"/>
      <c r="B44" s="84"/>
      <c r="C44" s="84"/>
      <c r="K44" s="85"/>
    </row>
    <row r="45" spans="1:14" ht="45.75" thickBot="1" x14ac:dyDescent="0.3">
      <c r="A45" s="114" t="s">
        <v>49</v>
      </c>
      <c r="B45" s="86" t="s">
        <v>45</v>
      </c>
      <c r="C45" s="114" t="s">
        <v>41</v>
      </c>
      <c r="D45" s="114" t="s">
        <v>34</v>
      </c>
      <c r="E45" s="114" t="s">
        <v>35</v>
      </c>
      <c r="F45" s="114" t="s">
        <v>46</v>
      </c>
      <c r="G45" s="114" t="s">
        <v>47</v>
      </c>
      <c r="H45" s="86" t="s">
        <v>48</v>
      </c>
      <c r="I45" s="132" t="s">
        <v>42</v>
      </c>
      <c r="J45" s="86" t="s">
        <v>497</v>
      </c>
      <c r="K45" s="115" t="s">
        <v>4</v>
      </c>
    </row>
    <row r="46" spans="1:14" ht="15.75" thickBot="1" x14ac:dyDescent="0.3">
      <c r="A46" s="103"/>
      <c r="B46" s="103"/>
      <c r="C46" s="118"/>
      <c r="D46" s="118"/>
      <c r="E46" s="118"/>
      <c r="F46" s="118"/>
      <c r="G46" s="118"/>
      <c r="H46" s="118"/>
      <c r="I46" s="118"/>
      <c r="J46" s="118"/>
      <c r="K46" s="119">
        <f t="shared" ref="K46:K59" si="6">SUM(D46:J46)</f>
        <v>0</v>
      </c>
    </row>
    <row r="47" spans="1:14" ht="15.75" thickBot="1" x14ac:dyDescent="0.3">
      <c r="A47" s="103"/>
      <c r="B47" s="103"/>
      <c r="C47" s="118"/>
      <c r="D47" s="118"/>
      <c r="E47" s="118"/>
      <c r="F47" s="118"/>
      <c r="G47" s="118"/>
      <c r="H47" s="118"/>
      <c r="I47" s="118"/>
      <c r="J47" s="118"/>
      <c r="K47" s="119">
        <f t="shared" si="6"/>
        <v>0</v>
      </c>
    </row>
    <row r="48" spans="1:14" ht="15.75" thickBot="1" x14ac:dyDescent="0.3">
      <c r="A48" s="103"/>
      <c r="B48" s="103"/>
      <c r="C48" s="118"/>
      <c r="D48" s="118"/>
      <c r="E48" s="118"/>
      <c r="F48" s="118"/>
      <c r="G48" s="118"/>
      <c r="H48" s="118"/>
      <c r="I48" s="118"/>
      <c r="J48" s="118"/>
      <c r="K48" s="119">
        <f t="shared" si="6"/>
        <v>0</v>
      </c>
    </row>
    <row r="49" spans="1:11" ht="15.75" thickBot="1" x14ac:dyDescent="0.3">
      <c r="A49" s="103"/>
      <c r="B49" s="103"/>
      <c r="C49" s="118"/>
      <c r="D49" s="118"/>
      <c r="E49" s="118"/>
      <c r="F49" s="118"/>
      <c r="G49" s="118"/>
      <c r="H49" s="118"/>
      <c r="I49" s="118"/>
      <c r="J49" s="118"/>
      <c r="K49" s="119">
        <f t="shared" si="6"/>
        <v>0</v>
      </c>
    </row>
    <row r="50" spans="1:11" ht="15.75" thickBot="1" x14ac:dyDescent="0.3">
      <c r="A50" s="103"/>
      <c r="B50" s="103"/>
      <c r="C50" s="118"/>
      <c r="D50" s="118"/>
      <c r="E50" s="118"/>
      <c r="F50" s="118"/>
      <c r="G50" s="118"/>
      <c r="H50" s="118"/>
      <c r="I50" s="118"/>
      <c r="J50" s="118"/>
      <c r="K50" s="119">
        <f t="shared" si="6"/>
        <v>0</v>
      </c>
    </row>
    <row r="51" spans="1:11" ht="15.75" thickBot="1" x14ac:dyDescent="0.3">
      <c r="A51" s="354"/>
      <c r="B51" s="103"/>
      <c r="C51" s="103"/>
      <c r="D51" s="118"/>
      <c r="E51" s="118"/>
      <c r="F51" s="118"/>
      <c r="G51" s="118"/>
      <c r="H51" s="118"/>
      <c r="I51" s="118"/>
      <c r="J51" s="118"/>
      <c r="K51" s="119">
        <f t="shared" si="6"/>
        <v>0</v>
      </c>
    </row>
    <row r="52" spans="1:11" ht="15.75" thickBot="1" x14ac:dyDescent="0.3">
      <c r="A52" s="354"/>
      <c r="B52" s="103"/>
      <c r="C52" s="103"/>
      <c r="D52" s="118"/>
      <c r="E52" s="118"/>
      <c r="F52" s="118"/>
      <c r="G52" s="118"/>
      <c r="H52" s="118"/>
      <c r="I52" s="118"/>
      <c r="J52" s="118"/>
      <c r="K52" s="119">
        <f t="shared" si="6"/>
        <v>0</v>
      </c>
    </row>
    <row r="53" spans="1:11" ht="15.75" thickBot="1" x14ac:dyDescent="0.3">
      <c r="A53" s="354"/>
      <c r="B53" s="103"/>
      <c r="C53" s="103"/>
      <c r="D53" s="118"/>
      <c r="E53" s="118"/>
      <c r="F53" s="118"/>
      <c r="G53" s="118"/>
      <c r="H53" s="118"/>
      <c r="I53" s="118"/>
      <c r="J53" s="118"/>
      <c r="K53" s="119">
        <f t="shared" si="6"/>
        <v>0</v>
      </c>
    </row>
    <row r="54" spans="1:11" ht="15.75" thickBot="1" x14ac:dyDescent="0.3">
      <c r="A54" s="354"/>
      <c r="B54" s="103"/>
      <c r="C54" s="103"/>
      <c r="D54" s="118"/>
      <c r="E54" s="118"/>
      <c r="F54" s="118"/>
      <c r="G54" s="118"/>
      <c r="H54" s="118"/>
      <c r="I54" s="118"/>
      <c r="J54" s="118"/>
      <c r="K54" s="119">
        <f t="shared" si="6"/>
        <v>0</v>
      </c>
    </row>
    <row r="55" spans="1:11" ht="15.75" thickBot="1" x14ac:dyDescent="0.3">
      <c r="A55" s="354"/>
      <c r="B55" s="103"/>
      <c r="C55" s="103"/>
      <c r="D55" s="118"/>
      <c r="E55" s="118"/>
      <c r="F55" s="118"/>
      <c r="G55" s="118"/>
      <c r="H55" s="118"/>
      <c r="I55" s="118"/>
      <c r="J55" s="118"/>
      <c r="K55" s="119">
        <f t="shared" si="6"/>
        <v>0</v>
      </c>
    </row>
    <row r="56" spans="1:11" ht="15.75" thickBot="1" x14ac:dyDescent="0.3">
      <c r="A56" s="137"/>
      <c r="B56" s="103"/>
      <c r="C56" s="103"/>
      <c r="D56" s="118"/>
      <c r="E56" s="118"/>
      <c r="F56" s="118"/>
      <c r="G56" s="118"/>
      <c r="H56" s="118"/>
      <c r="I56" s="118"/>
      <c r="J56" s="118"/>
      <c r="K56" s="119">
        <f t="shared" si="6"/>
        <v>0</v>
      </c>
    </row>
    <row r="57" spans="1:11" ht="15.75" thickBot="1" x14ac:dyDescent="0.3">
      <c r="A57" s="121"/>
      <c r="B57" s="103"/>
      <c r="C57" s="103"/>
      <c r="D57" s="118"/>
      <c r="F57" s="118"/>
      <c r="G57" s="118"/>
      <c r="H57" s="118"/>
      <c r="I57" s="118"/>
      <c r="J57" s="118"/>
      <c r="K57" s="119">
        <f t="shared" si="6"/>
        <v>0</v>
      </c>
    </row>
    <row r="58" spans="1:11" ht="15.75" thickBot="1" x14ac:dyDescent="0.3">
      <c r="A58" s="121"/>
      <c r="B58" s="103"/>
      <c r="C58" s="103"/>
      <c r="D58" s="118"/>
      <c r="E58" s="118"/>
      <c r="F58" s="118"/>
      <c r="G58" s="118"/>
      <c r="H58" s="118"/>
      <c r="I58" s="118"/>
      <c r="J58" s="118"/>
      <c r="K58" s="119">
        <f t="shared" si="6"/>
        <v>0</v>
      </c>
    </row>
    <row r="59" spans="1:11" ht="15.75" thickBot="1" x14ac:dyDescent="0.3">
      <c r="A59" s="121"/>
      <c r="B59" s="103"/>
      <c r="C59" s="103"/>
      <c r="D59" s="138"/>
      <c r="E59" s="138"/>
      <c r="F59" s="138"/>
      <c r="G59" s="138"/>
      <c r="H59" s="138"/>
      <c r="I59" s="138"/>
      <c r="J59" s="138"/>
      <c r="K59" s="119">
        <f t="shared" si="6"/>
        <v>0</v>
      </c>
    </row>
    <row r="60" spans="1:11" ht="19.5" thickBot="1" x14ac:dyDescent="0.35">
      <c r="A60" s="105" t="s">
        <v>4</v>
      </c>
      <c r="B60" s="86"/>
      <c r="C60" s="106"/>
      <c r="D60" s="107">
        <f t="shared" ref="D60:K60" si="7">SUM(D46:D59)</f>
        <v>0</v>
      </c>
      <c r="E60" s="107">
        <f t="shared" si="7"/>
        <v>0</v>
      </c>
      <c r="F60" s="107">
        <f t="shared" si="7"/>
        <v>0</v>
      </c>
      <c r="G60" s="107">
        <f t="shared" si="7"/>
        <v>0</v>
      </c>
      <c r="H60" s="107">
        <f t="shared" si="7"/>
        <v>0</v>
      </c>
      <c r="I60" s="107">
        <f t="shared" si="7"/>
        <v>0</v>
      </c>
      <c r="J60" s="107"/>
      <c r="K60" s="107">
        <f t="shared" si="7"/>
        <v>0</v>
      </c>
    </row>
    <row r="61" spans="1:11" ht="15.75" x14ac:dyDescent="0.25">
      <c r="A61" s="139"/>
      <c r="B61" s="139"/>
      <c r="C61" s="140"/>
      <c r="D61" s="141"/>
      <c r="E61" s="141"/>
      <c r="F61" s="141"/>
      <c r="G61" s="141"/>
      <c r="H61" s="141"/>
      <c r="I61" s="141"/>
      <c r="J61" s="141"/>
      <c r="K61" s="141"/>
    </row>
    <row r="62" spans="1:11" ht="16.5" thickBot="1" x14ac:dyDescent="0.3">
      <c r="A62" s="139"/>
      <c r="B62" s="139"/>
      <c r="C62" s="140"/>
      <c r="D62" s="141"/>
      <c r="E62" s="141"/>
      <c r="F62" s="141"/>
      <c r="G62" s="141"/>
      <c r="H62" s="141"/>
      <c r="I62" s="141"/>
      <c r="J62" s="141"/>
      <c r="K62" s="141"/>
    </row>
    <row r="63" spans="1:11" ht="19.5" thickBot="1" x14ac:dyDescent="0.35">
      <c r="A63" s="492" t="s">
        <v>50</v>
      </c>
      <c r="B63" s="493"/>
      <c r="C63" s="142"/>
      <c r="D63" s="143"/>
      <c r="E63" s="143"/>
      <c r="F63" s="143"/>
      <c r="G63" s="143"/>
      <c r="H63" s="143"/>
      <c r="I63" s="143"/>
      <c r="J63" s="143"/>
      <c r="K63" s="108">
        <f>+K25+K60</f>
        <v>1025.7</v>
      </c>
    </row>
    <row r="64" spans="1:11" x14ac:dyDescent="0.25">
      <c r="A64" s="84"/>
      <c r="B64" s="84"/>
      <c r="C64" s="144"/>
      <c r="D64" s="85"/>
      <c r="E64" s="85"/>
      <c r="F64" s="85"/>
      <c r="G64" s="85"/>
      <c r="H64" s="85"/>
      <c r="I64" s="85"/>
      <c r="J64" s="85"/>
      <c r="K64" s="85"/>
    </row>
    <row r="65" spans="1:12" x14ac:dyDescent="0.25">
      <c r="A65" s="84"/>
      <c r="B65" s="84"/>
      <c r="C65" s="144"/>
      <c r="D65" s="85"/>
      <c r="E65" s="85"/>
      <c r="F65" s="85"/>
      <c r="G65" s="85"/>
      <c r="H65" s="85"/>
      <c r="I65" s="85"/>
      <c r="J65" s="85"/>
      <c r="K65" s="85"/>
    </row>
    <row r="66" spans="1:12" ht="16.5" thickBot="1" x14ac:dyDescent="0.3">
      <c r="A66" s="145" t="s">
        <v>500</v>
      </c>
      <c r="B66" s="84"/>
      <c r="C66" s="144"/>
      <c r="D66" s="85"/>
      <c r="E66" s="85"/>
      <c r="F66" s="85"/>
      <c r="G66" s="85"/>
      <c r="H66" s="85"/>
      <c r="I66" s="85"/>
      <c r="J66" s="85"/>
      <c r="K66" s="85"/>
    </row>
    <row r="67" spans="1:12" ht="19.5" thickBot="1" x14ac:dyDescent="0.35">
      <c r="A67" s="146" t="s">
        <v>52</v>
      </c>
      <c r="B67" s="147"/>
      <c r="C67" s="148"/>
      <c r="D67" s="149"/>
      <c r="E67" s="149"/>
      <c r="F67" s="149"/>
      <c r="G67" s="149"/>
      <c r="H67" s="149"/>
      <c r="I67" s="149"/>
      <c r="J67" s="149"/>
      <c r="K67" s="108"/>
    </row>
    <row r="68" spans="1:12" ht="19.5" thickBot="1" x14ac:dyDescent="0.35">
      <c r="A68" s="146" t="s">
        <v>53</v>
      </c>
      <c r="B68" s="147"/>
      <c r="C68" s="150"/>
      <c r="D68" s="149"/>
      <c r="E68" s="149"/>
      <c r="F68" s="149"/>
      <c r="G68" s="149"/>
      <c r="H68" s="149"/>
      <c r="I68" s="149"/>
      <c r="J68" s="149"/>
      <c r="K68" s="108"/>
      <c r="L68" s="41"/>
    </row>
    <row r="69" spans="1:12" ht="18.75" x14ac:dyDescent="0.3">
      <c r="A69" s="151"/>
      <c r="B69" s="151"/>
      <c r="C69" s="152"/>
      <c r="D69" s="153"/>
      <c r="E69" s="153"/>
      <c r="F69" s="153"/>
      <c r="G69" s="153"/>
      <c r="H69" s="153"/>
      <c r="I69" s="153"/>
      <c r="J69" s="153"/>
      <c r="K69" s="111"/>
    </row>
    <row r="70" spans="1:12" ht="18.75" x14ac:dyDescent="0.3">
      <c r="A70" s="151"/>
      <c r="B70" s="151"/>
      <c r="C70" s="152"/>
      <c r="D70" s="153"/>
      <c r="E70" s="153"/>
      <c r="F70" s="153"/>
      <c r="G70" s="153"/>
      <c r="H70" s="153"/>
      <c r="I70" s="153"/>
      <c r="J70" s="153"/>
      <c r="K70" s="111"/>
      <c r="L70" s="41"/>
    </row>
    <row r="71" spans="1:12" ht="16.5" thickBot="1" x14ac:dyDescent="0.3">
      <c r="A71" s="154" t="s">
        <v>54</v>
      </c>
      <c r="B71" s="155"/>
      <c r="C71" s="144"/>
      <c r="D71" s="85"/>
      <c r="E71" s="85"/>
      <c r="F71" s="85"/>
      <c r="G71" s="85"/>
      <c r="H71" s="85"/>
      <c r="I71" s="85"/>
      <c r="J71" s="85"/>
      <c r="K71" s="85"/>
    </row>
    <row r="72" spans="1:12" ht="19.5" thickBot="1" x14ac:dyDescent="0.35">
      <c r="A72" s="156" t="s">
        <v>55</v>
      </c>
      <c r="B72" s="157"/>
      <c r="C72" s="158"/>
      <c r="D72" s="159"/>
      <c r="E72" s="159"/>
      <c r="F72" s="159"/>
      <c r="G72" s="159"/>
      <c r="H72" s="159"/>
      <c r="I72" s="159"/>
      <c r="J72" s="159"/>
      <c r="K72" s="160">
        <v>342</v>
      </c>
    </row>
    <row r="73" spans="1:12" x14ac:dyDescent="0.25">
      <c r="A73" s="161"/>
      <c r="B73" s="84"/>
      <c r="C73" s="144"/>
      <c r="D73" s="85"/>
      <c r="E73" s="85"/>
      <c r="F73" s="85"/>
      <c r="G73" s="85"/>
      <c r="H73" s="85"/>
      <c r="I73" s="85"/>
      <c r="J73" s="85"/>
      <c r="K73" s="85"/>
    </row>
    <row r="74" spans="1:12" ht="16.5" thickBot="1" x14ac:dyDescent="0.3">
      <c r="A74" s="154"/>
      <c r="B74" s="155"/>
      <c r="C74" s="144"/>
      <c r="D74" s="85"/>
      <c r="E74" s="85"/>
      <c r="F74" s="85"/>
      <c r="G74" s="85"/>
      <c r="H74" s="85"/>
      <c r="I74" s="85"/>
      <c r="J74" s="85"/>
      <c r="K74" s="85"/>
    </row>
    <row r="75" spans="1:12" ht="19.5" thickBot="1" x14ac:dyDescent="0.35">
      <c r="A75" s="156" t="s">
        <v>56</v>
      </c>
      <c r="B75" s="157"/>
      <c r="C75" s="162"/>
      <c r="D75" s="159"/>
      <c r="E75" s="159"/>
      <c r="F75" s="159"/>
      <c r="G75" s="159"/>
      <c r="H75" s="159"/>
      <c r="I75" s="159"/>
      <c r="J75" s="159"/>
      <c r="K75" s="163"/>
    </row>
    <row r="76" spans="1:12" ht="15.75" thickBot="1" x14ac:dyDescent="0.3">
      <c r="A76" s="161"/>
      <c r="B76" s="84"/>
      <c r="C76" s="144"/>
      <c r="D76" s="85"/>
      <c r="E76" s="85"/>
      <c r="F76" s="85"/>
      <c r="G76" s="85"/>
      <c r="H76" s="85"/>
      <c r="I76" s="85"/>
      <c r="J76" s="85"/>
      <c r="K76" s="85"/>
    </row>
    <row r="77" spans="1:12" ht="21.75" thickBot="1" x14ac:dyDescent="0.4">
      <c r="A77" s="494" t="s">
        <v>57</v>
      </c>
      <c r="B77" s="495"/>
      <c r="C77" s="164"/>
      <c r="D77" s="165"/>
      <c r="E77" s="165"/>
      <c r="F77" s="165"/>
      <c r="G77" s="165"/>
      <c r="H77" s="165"/>
      <c r="I77" s="165"/>
      <c r="J77" s="165"/>
      <c r="K77" s="166">
        <f>SUM(K63:K76)</f>
        <v>1367.7</v>
      </c>
    </row>
    <row r="78" spans="1:12" x14ac:dyDescent="0.25">
      <c r="A78" s="84"/>
      <c r="B78" s="84"/>
      <c r="C78" s="144"/>
      <c r="D78" s="85"/>
      <c r="E78" s="85"/>
      <c r="F78" s="85"/>
      <c r="G78" s="85"/>
      <c r="H78" s="85"/>
      <c r="I78" s="85"/>
      <c r="J78" s="85"/>
      <c r="K78" s="85"/>
    </row>
    <row r="79" spans="1:12" ht="21" x14ac:dyDescent="0.35">
      <c r="A79" s="491" t="s">
        <v>509</v>
      </c>
      <c r="B79" s="491"/>
      <c r="C79" s="491"/>
      <c r="D79" s="491"/>
      <c r="E79" s="491"/>
      <c r="F79" s="491"/>
      <c r="G79" s="491"/>
      <c r="H79" s="491"/>
      <c r="I79" s="491"/>
      <c r="J79" s="491"/>
      <c r="K79" s="491"/>
    </row>
    <row r="80" spans="1:12" ht="21.75" thickBot="1" x14ac:dyDescent="0.4">
      <c r="A80" s="355" t="s">
        <v>10</v>
      </c>
      <c r="B80" s="355"/>
      <c r="C80" s="355"/>
      <c r="D80" s="355"/>
      <c r="E80" s="355"/>
      <c r="F80" s="355"/>
      <c r="G80" s="355"/>
      <c r="H80" s="355"/>
      <c r="I80" s="355"/>
      <c r="J80" s="355"/>
      <c r="K80" s="168"/>
    </row>
    <row r="81" spans="1:11" ht="15.75" thickBot="1" x14ac:dyDescent="0.3">
      <c r="A81" s="169" t="s">
        <v>58</v>
      </c>
      <c r="B81" s="170" t="s">
        <v>59</v>
      </c>
      <c r="C81" s="496" t="s">
        <v>33</v>
      </c>
      <c r="D81" s="497"/>
      <c r="E81" s="497"/>
      <c r="F81" s="497"/>
      <c r="G81" s="497"/>
      <c r="H81" s="497"/>
      <c r="I81" s="497"/>
      <c r="J81" s="498"/>
      <c r="K81" s="171" t="s">
        <v>4</v>
      </c>
    </row>
    <row r="82" spans="1:11" ht="15.75" thickBot="1" x14ac:dyDescent="0.3">
      <c r="A82" s="172" t="s">
        <v>523</v>
      </c>
      <c r="B82" s="173" t="s">
        <v>524</v>
      </c>
      <c r="C82" s="504" t="s">
        <v>525</v>
      </c>
      <c r="D82" s="529"/>
      <c r="E82" s="529"/>
      <c r="F82" s="529"/>
      <c r="G82" s="529"/>
      <c r="H82" s="529"/>
      <c r="I82" s="529"/>
      <c r="J82" s="530"/>
      <c r="K82" s="104">
        <v>140</v>
      </c>
    </row>
    <row r="83" spans="1:11" ht="15.75" thickBot="1" x14ac:dyDescent="0.3">
      <c r="A83" s="121" t="s">
        <v>526</v>
      </c>
      <c r="B83" s="173" t="s">
        <v>527</v>
      </c>
      <c r="C83" s="531" t="s">
        <v>528</v>
      </c>
      <c r="D83" s="529"/>
      <c r="E83" s="529"/>
      <c r="F83" s="529"/>
      <c r="G83" s="529"/>
      <c r="H83" s="529"/>
      <c r="I83" s="529"/>
      <c r="J83" s="530"/>
      <c r="K83" s="104">
        <v>320</v>
      </c>
    </row>
    <row r="84" spans="1:11" ht="15.75" thickBot="1" x14ac:dyDescent="0.3">
      <c r="A84" s="121" t="s">
        <v>118</v>
      </c>
      <c r="B84" s="173" t="s">
        <v>529</v>
      </c>
      <c r="C84" s="504" t="s">
        <v>530</v>
      </c>
      <c r="D84" s="505"/>
      <c r="E84" s="505"/>
      <c r="F84" s="505"/>
      <c r="G84" s="505"/>
      <c r="H84" s="505"/>
      <c r="I84" s="505"/>
      <c r="J84" s="528"/>
      <c r="K84" s="174">
        <v>80</v>
      </c>
    </row>
    <row r="85" spans="1:11" ht="30.75" thickBot="1" x14ac:dyDescent="0.3">
      <c r="A85" s="121" t="s">
        <v>531</v>
      </c>
      <c r="B85" s="173" t="s">
        <v>541</v>
      </c>
      <c r="C85" s="504" t="s">
        <v>532</v>
      </c>
      <c r="D85" s="505"/>
      <c r="E85" s="505"/>
      <c r="F85" s="505"/>
      <c r="G85" s="505"/>
      <c r="H85" s="505"/>
      <c r="I85" s="505"/>
      <c r="J85" s="528"/>
      <c r="K85" s="104">
        <v>100</v>
      </c>
    </row>
    <row r="86" spans="1:11" ht="15.75" thickBot="1" x14ac:dyDescent="0.3">
      <c r="A86" s="121" t="s">
        <v>535</v>
      </c>
      <c r="B86" s="173" t="s">
        <v>536</v>
      </c>
      <c r="C86" s="504" t="s">
        <v>537</v>
      </c>
      <c r="D86" s="505"/>
      <c r="E86" s="505"/>
      <c r="F86" s="505"/>
      <c r="G86" s="505"/>
      <c r="H86" s="505"/>
      <c r="I86" s="505"/>
      <c r="J86" s="528"/>
      <c r="K86" s="104">
        <v>7</v>
      </c>
    </row>
    <row r="87" spans="1:11" ht="15.75" thickBot="1" x14ac:dyDescent="0.3">
      <c r="A87" s="121"/>
      <c r="B87" s="173"/>
      <c r="C87" s="525"/>
      <c r="D87" s="526"/>
      <c r="E87" s="526"/>
      <c r="F87" s="526"/>
      <c r="G87" s="526"/>
      <c r="H87" s="526"/>
      <c r="I87" s="526"/>
      <c r="J87" s="527"/>
      <c r="K87" s="104"/>
    </row>
    <row r="88" spans="1:11" ht="15.75" thickBot="1" x14ac:dyDescent="0.3">
      <c r="A88" s="121"/>
      <c r="B88" s="173"/>
      <c r="C88" s="532"/>
      <c r="D88" s="533"/>
      <c r="E88" s="533"/>
      <c r="F88" s="533"/>
      <c r="G88" s="533"/>
      <c r="H88" s="533"/>
      <c r="I88" s="533"/>
      <c r="J88" s="534"/>
      <c r="K88" s="118"/>
    </row>
    <row r="89" spans="1:11" ht="15.75" thickBot="1" x14ac:dyDescent="0.3">
      <c r="A89" s="121"/>
      <c r="B89" s="173"/>
      <c r="C89" s="525"/>
      <c r="D89" s="526"/>
      <c r="E89" s="526"/>
      <c r="F89" s="526"/>
      <c r="G89" s="526"/>
      <c r="H89" s="526"/>
      <c r="I89" s="526"/>
      <c r="J89" s="527"/>
      <c r="K89" s="118"/>
    </row>
    <row r="90" spans="1:11" ht="15.75" thickBot="1" x14ac:dyDescent="0.3">
      <c r="A90" s="121"/>
      <c r="B90" s="173"/>
      <c r="C90" s="525"/>
      <c r="D90" s="526"/>
      <c r="E90" s="526"/>
      <c r="F90" s="526"/>
      <c r="G90" s="526"/>
      <c r="H90" s="526"/>
      <c r="I90" s="526"/>
      <c r="J90" s="527"/>
      <c r="K90" s="118"/>
    </row>
    <row r="91" spans="1:11" ht="15.75" thickBot="1" x14ac:dyDescent="0.3">
      <c r="A91" s="121"/>
      <c r="B91" s="173"/>
      <c r="C91" s="525"/>
      <c r="D91" s="526"/>
      <c r="E91" s="526"/>
      <c r="F91" s="526"/>
      <c r="G91" s="526"/>
      <c r="H91" s="526"/>
      <c r="I91" s="526"/>
      <c r="J91" s="527"/>
      <c r="K91" s="118"/>
    </row>
    <row r="92" spans="1:11" ht="19.5" thickBot="1" x14ac:dyDescent="0.35">
      <c r="A92" s="175" t="s">
        <v>60</v>
      </c>
      <c r="B92" s="492"/>
      <c r="C92" s="499"/>
      <c r="D92" s="499"/>
      <c r="E92" s="499"/>
      <c r="F92" s="499"/>
      <c r="G92" s="499"/>
      <c r="H92" s="499"/>
      <c r="I92" s="499"/>
      <c r="J92" s="359"/>
      <c r="K92" s="176">
        <f>SUM(K82:K91)</f>
        <v>647</v>
      </c>
    </row>
    <row r="93" spans="1:11" ht="18.75" x14ac:dyDescent="0.3">
      <c r="A93" s="2"/>
      <c r="B93" s="2"/>
      <c r="C93" s="177"/>
      <c r="D93" s="177"/>
      <c r="E93" s="177"/>
      <c r="F93" s="178"/>
      <c r="G93" s="177"/>
      <c r="H93" s="177"/>
      <c r="I93" s="177"/>
      <c r="J93" s="177"/>
      <c r="K93" s="111"/>
    </row>
    <row r="94" spans="1:11" ht="18.75" x14ac:dyDescent="0.3">
      <c r="A94" s="139" t="s">
        <v>61</v>
      </c>
      <c r="B94" s="2"/>
      <c r="C94" s="84"/>
      <c r="D94" s="85"/>
      <c r="F94" s="85"/>
      <c r="K94" s="85"/>
    </row>
    <row r="95" spans="1:11" x14ac:dyDescent="0.25">
      <c r="A95" s="84" t="s">
        <v>62</v>
      </c>
      <c r="B95" s="144">
        <f>+K77</f>
        <v>1367.7</v>
      </c>
      <c r="C95" s="179"/>
      <c r="D95" s="85"/>
      <c r="F95" s="85"/>
      <c r="K95" s="85"/>
    </row>
    <row r="96" spans="1:11" ht="15.75" thickBot="1" x14ac:dyDescent="0.3">
      <c r="A96" s="84" t="s">
        <v>60</v>
      </c>
      <c r="B96" s="180">
        <f>+K92</f>
        <v>647</v>
      </c>
      <c r="C96" s="181"/>
      <c r="D96" s="85"/>
      <c r="F96" s="85"/>
      <c r="G96" s="182"/>
      <c r="H96" s="182"/>
      <c r="I96" s="183"/>
      <c r="J96" s="183"/>
      <c r="K96" s="183"/>
    </row>
    <row r="97" spans="1:10" ht="17.25" thickTop="1" thickBot="1" x14ac:dyDescent="0.3">
      <c r="A97" s="139" t="s">
        <v>8</v>
      </c>
      <c r="B97" s="184">
        <f>++B95-B96</f>
        <v>720.7</v>
      </c>
      <c r="C97" s="185"/>
      <c r="D97" s="186"/>
      <c r="E97" s="41"/>
      <c r="F97" s="186"/>
      <c r="G97" s="187"/>
      <c r="H97" s="187"/>
      <c r="I97" s="85"/>
      <c r="J97" s="85"/>
    </row>
    <row r="98" spans="1:10" ht="15.75" thickTop="1" x14ac:dyDescent="0.25"/>
  </sheetData>
  <mergeCells count="16">
    <mergeCell ref="C89:J89"/>
    <mergeCell ref="C90:J90"/>
    <mergeCell ref="C91:J91"/>
    <mergeCell ref="B92:I92"/>
    <mergeCell ref="C83:J83"/>
    <mergeCell ref="C84:J84"/>
    <mergeCell ref="C85:J85"/>
    <mergeCell ref="C86:J86"/>
    <mergeCell ref="C87:J87"/>
    <mergeCell ref="C88:J88"/>
    <mergeCell ref="C82:J82"/>
    <mergeCell ref="A1:K1"/>
    <mergeCell ref="A63:B63"/>
    <mergeCell ref="A77:B77"/>
    <mergeCell ref="A79:K79"/>
    <mergeCell ref="C81:J81"/>
  </mergeCells>
  <phoneticPr fontId="15" type="noConversion"/>
  <pageMargins left="0.17" right="0.17" top="1.79" bottom="0.17" header="0.17" footer="0.17"/>
  <pageSetup paperSize="9" scale="77" fitToHeight="0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310B-127F-4763-B872-B789C4DAA0B6}">
  <sheetPr>
    <pageSetUpPr fitToPage="1"/>
  </sheetPr>
  <dimension ref="A1:N97"/>
  <sheetViews>
    <sheetView topLeftCell="A70" workbookViewId="0">
      <selection activeCell="C87" sqref="C87:J87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11" max="11" width="14" bestFit="1" customWidth="1"/>
    <col min="14" max="14" width="12.42578125" customWidth="1"/>
  </cols>
  <sheetData>
    <row r="1" spans="1:11" ht="21" x14ac:dyDescent="0.35">
      <c r="A1" s="491" t="s">
        <v>539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</row>
    <row r="2" spans="1:11" ht="15.75" thickBot="1" x14ac:dyDescent="0.3">
      <c r="A2" s="83"/>
      <c r="B2" s="84"/>
      <c r="C2" s="84"/>
      <c r="K2" s="85"/>
    </row>
    <row r="3" spans="1:11" ht="4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347" t="s">
        <v>489</v>
      </c>
      <c r="K3" s="87" t="s">
        <v>4</v>
      </c>
    </row>
    <row r="4" spans="1:11" ht="15.75" thickBot="1" x14ac:dyDescent="0.3">
      <c r="A4" s="88" t="s">
        <v>78</v>
      </c>
      <c r="B4" s="88" t="s">
        <v>549</v>
      </c>
      <c r="C4" s="89">
        <v>46113</v>
      </c>
      <c r="D4" s="90"/>
      <c r="E4" s="90"/>
      <c r="F4" s="90"/>
      <c r="G4" s="90"/>
      <c r="H4" s="90"/>
      <c r="I4" s="90">
        <v>10</v>
      </c>
      <c r="J4" s="348"/>
      <c r="K4" s="87">
        <f>SUM(D4:J4)</f>
        <v>10</v>
      </c>
    </row>
    <row r="5" spans="1:11" ht="15.75" thickBot="1" x14ac:dyDescent="0.3">
      <c r="A5" s="88"/>
      <c r="B5" s="88"/>
      <c r="C5" s="89"/>
      <c r="D5" s="90"/>
      <c r="E5" s="90"/>
      <c r="F5" s="90"/>
      <c r="G5" s="90"/>
      <c r="H5" s="90"/>
      <c r="I5" s="90"/>
      <c r="J5" s="348"/>
      <c r="K5" s="87">
        <f t="shared" ref="K5:K22" si="0">SUM(D5:J5)</f>
        <v>0</v>
      </c>
    </row>
    <row r="6" spans="1:11" ht="30.75" thickBot="1" x14ac:dyDescent="0.3">
      <c r="A6" s="188" t="s">
        <v>544</v>
      </c>
      <c r="B6" s="88" t="s">
        <v>545</v>
      </c>
      <c r="C6" s="89">
        <v>46082</v>
      </c>
      <c r="D6" s="90"/>
      <c r="E6" s="90"/>
      <c r="F6" s="90">
        <v>350</v>
      </c>
      <c r="G6" s="90"/>
      <c r="H6" s="90"/>
      <c r="I6" s="90"/>
      <c r="J6" s="348"/>
      <c r="K6" s="87">
        <f t="shared" si="0"/>
        <v>350</v>
      </c>
    </row>
    <row r="7" spans="1:11" ht="15.75" thickBot="1" x14ac:dyDescent="0.3">
      <c r="A7" s="88" t="s">
        <v>38</v>
      </c>
      <c r="B7" s="88" t="s">
        <v>555</v>
      </c>
      <c r="C7" s="89">
        <v>46113</v>
      </c>
      <c r="D7" s="90"/>
      <c r="E7" s="90"/>
      <c r="F7" s="90"/>
      <c r="G7" s="90"/>
      <c r="H7" s="90">
        <v>55</v>
      </c>
      <c r="I7" s="90"/>
      <c r="J7" s="348"/>
      <c r="K7" s="87">
        <f t="shared" si="0"/>
        <v>55</v>
      </c>
    </row>
    <row r="8" spans="1:11" ht="15.75" thickBot="1" x14ac:dyDescent="0.3">
      <c r="A8" s="88"/>
      <c r="B8" s="88"/>
      <c r="C8" s="89"/>
      <c r="D8" s="90"/>
      <c r="E8" s="90"/>
      <c r="F8" s="90"/>
      <c r="G8" s="90"/>
      <c r="H8" s="90"/>
      <c r="I8" s="90"/>
      <c r="J8" s="348"/>
      <c r="K8" s="87">
        <f t="shared" si="0"/>
        <v>0</v>
      </c>
    </row>
    <row r="9" spans="1:11" ht="15.75" thickBot="1" x14ac:dyDescent="0.3">
      <c r="A9" s="88"/>
      <c r="B9" s="88"/>
      <c r="C9" s="89"/>
      <c r="D9" s="90"/>
      <c r="E9" s="90"/>
      <c r="F9" s="90"/>
      <c r="G9" s="90"/>
      <c r="H9" s="90"/>
      <c r="I9" s="90"/>
      <c r="J9" s="348"/>
      <c r="K9" s="87">
        <f t="shared" si="0"/>
        <v>0</v>
      </c>
    </row>
    <row r="10" spans="1:11" ht="15.75" thickBot="1" x14ac:dyDescent="0.3">
      <c r="A10" s="367"/>
      <c r="B10" s="103"/>
      <c r="C10" s="103"/>
      <c r="D10" s="116"/>
      <c r="E10" s="116"/>
      <c r="F10" s="116"/>
      <c r="G10" s="116"/>
      <c r="H10" s="90"/>
      <c r="I10" s="90"/>
      <c r="J10" s="348"/>
      <c r="K10" s="87">
        <f t="shared" si="0"/>
        <v>0</v>
      </c>
    </row>
    <row r="11" spans="1:11" ht="15.75" thickBot="1" x14ac:dyDescent="0.3">
      <c r="A11" s="88"/>
      <c r="B11" s="88"/>
      <c r="C11" s="89"/>
      <c r="D11" s="90"/>
      <c r="E11" s="90"/>
      <c r="F11" s="90"/>
      <c r="G11" s="90"/>
      <c r="H11" s="90"/>
      <c r="I11" s="90"/>
      <c r="J11" s="348"/>
      <c r="K11" s="87">
        <f t="shared" si="0"/>
        <v>0</v>
      </c>
    </row>
    <row r="12" spans="1:11" ht="15.75" thickBot="1" x14ac:dyDescent="0.3">
      <c r="A12" s="365"/>
      <c r="B12" s="88"/>
      <c r="C12" s="89"/>
      <c r="D12" s="90"/>
      <c r="E12" s="90"/>
      <c r="F12" s="90"/>
      <c r="G12" s="90"/>
      <c r="H12" s="90"/>
      <c r="I12" s="90"/>
      <c r="J12" s="348"/>
      <c r="K12" s="87">
        <f t="shared" si="0"/>
        <v>0</v>
      </c>
    </row>
    <row r="13" spans="1:11" ht="15.75" thickBot="1" x14ac:dyDescent="0.3">
      <c r="A13" s="365"/>
      <c r="B13" s="363"/>
      <c r="C13" s="89"/>
      <c r="D13" s="90"/>
      <c r="E13" s="90"/>
      <c r="F13" s="90"/>
      <c r="G13" s="90"/>
      <c r="H13" s="90"/>
      <c r="I13" s="93"/>
      <c r="J13" s="99"/>
      <c r="K13" s="87">
        <f t="shared" si="0"/>
        <v>0</v>
      </c>
    </row>
    <row r="14" spans="1:11" ht="30.75" thickBot="1" x14ac:dyDescent="0.3">
      <c r="A14" s="188" t="s">
        <v>544</v>
      </c>
      <c r="B14" s="88" t="s">
        <v>546</v>
      </c>
      <c r="C14" s="89">
        <v>46054</v>
      </c>
      <c r="D14" s="90">
        <v>19.100000000000001</v>
      </c>
      <c r="E14" s="90">
        <v>6</v>
      </c>
      <c r="F14" s="90"/>
      <c r="G14" s="90"/>
      <c r="H14" s="90"/>
      <c r="I14" s="90"/>
      <c r="J14" s="348"/>
      <c r="K14" s="87">
        <f t="shared" si="0"/>
        <v>25.1</v>
      </c>
    </row>
    <row r="15" spans="1:11" ht="15.75" thickBot="1" x14ac:dyDescent="0.3">
      <c r="A15" s="95"/>
      <c r="B15" s="364"/>
      <c r="C15" s="89"/>
      <c r="D15" s="90"/>
      <c r="E15" s="90"/>
      <c r="F15" s="90"/>
      <c r="G15" s="90"/>
      <c r="H15" s="90"/>
      <c r="I15" s="90"/>
      <c r="J15" s="348"/>
      <c r="K15" s="87">
        <f t="shared" si="0"/>
        <v>0</v>
      </c>
    </row>
    <row r="16" spans="1:11" ht="15.75" thickBot="1" x14ac:dyDescent="0.3">
      <c r="A16" s="97"/>
      <c r="B16" s="95"/>
      <c r="C16" s="89"/>
      <c r="D16" s="90"/>
      <c r="E16" s="90"/>
      <c r="F16" s="90"/>
      <c r="G16" s="90"/>
      <c r="H16" s="90"/>
      <c r="I16" s="90"/>
      <c r="J16" s="348"/>
      <c r="K16" s="87">
        <f t="shared" si="0"/>
        <v>0</v>
      </c>
    </row>
    <row r="17" spans="1:14" ht="15.75" thickBot="1" x14ac:dyDescent="0.3">
      <c r="A17" s="361"/>
      <c r="B17" s="361"/>
      <c r="C17" s="89"/>
      <c r="D17" s="90"/>
      <c r="E17" s="90"/>
      <c r="F17" s="90"/>
      <c r="G17" s="90"/>
      <c r="H17" s="90"/>
      <c r="I17" s="90"/>
      <c r="J17" s="348"/>
      <c r="K17" s="87">
        <f t="shared" si="0"/>
        <v>0</v>
      </c>
    </row>
    <row r="18" spans="1:14" ht="15.75" thickBot="1" x14ac:dyDescent="0.3">
      <c r="A18" s="99"/>
      <c r="B18" s="361"/>
      <c r="C18" s="89"/>
      <c r="D18" s="90"/>
      <c r="E18" s="90"/>
      <c r="F18" s="90"/>
      <c r="G18" s="90"/>
      <c r="H18" s="90"/>
      <c r="I18" s="90"/>
      <c r="J18" s="348"/>
      <c r="K18" s="87">
        <f t="shared" si="0"/>
        <v>0</v>
      </c>
    </row>
    <row r="19" spans="1:14" ht="15.75" thickBot="1" x14ac:dyDescent="0.3">
      <c r="A19" s="99"/>
      <c r="B19" s="361"/>
      <c r="C19" s="89"/>
      <c r="D19" s="90"/>
      <c r="E19" s="90"/>
      <c r="F19" s="90"/>
      <c r="G19" s="90"/>
      <c r="H19" s="90"/>
      <c r="I19" s="90"/>
      <c r="J19" s="348"/>
      <c r="K19" s="87">
        <f t="shared" si="0"/>
        <v>0</v>
      </c>
    </row>
    <row r="20" spans="1:14" ht="15.75" thickBot="1" x14ac:dyDescent="0.3">
      <c r="A20" s="100"/>
      <c r="B20" s="361"/>
      <c r="C20" s="89"/>
      <c r="D20" s="90"/>
      <c r="E20" s="90"/>
      <c r="F20" s="90"/>
      <c r="G20" s="90"/>
      <c r="H20" s="90"/>
      <c r="I20" s="90"/>
      <c r="J20" s="348"/>
      <c r="K20" s="87">
        <f t="shared" si="0"/>
        <v>0</v>
      </c>
    </row>
    <row r="21" spans="1:14" ht="15.75" thickBot="1" x14ac:dyDescent="0.3">
      <c r="A21" s="367"/>
      <c r="B21" s="367"/>
      <c r="C21" s="89"/>
      <c r="D21" s="90"/>
      <c r="E21" s="90"/>
      <c r="F21" s="90"/>
      <c r="G21" s="90"/>
      <c r="H21" s="90"/>
      <c r="I21" s="90"/>
      <c r="J21" s="348"/>
      <c r="K21" s="87">
        <f t="shared" si="0"/>
        <v>0</v>
      </c>
    </row>
    <row r="22" spans="1:14" ht="15.75" thickBot="1" x14ac:dyDescent="0.3">
      <c r="A22" s="361"/>
      <c r="B22" s="366"/>
      <c r="C22" s="103"/>
      <c r="D22" s="104"/>
      <c r="E22" s="104"/>
      <c r="F22" s="104"/>
      <c r="G22" s="104"/>
      <c r="H22" s="104"/>
      <c r="I22" s="104"/>
      <c r="J22" s="349"/>
      <c r="K22" s="87">
        <f t="shared" si="0"/>
        <v>0</v>
      </c>
    </row>
    <row r="23" spans="1:14" ht="19.5" thickBot="1" x14ac:dyDescent="0.35">
      <c r="A23" s="105" t="s">
        <v>4</v>
      </c>
      <c r="B23" s="86"/>
      <c r="C23" s="106"/>
      <c r="D23" s="108">
        <f t="shared" ref="D23:J23" si="1">SUM(D4:D22)</f>
        <v>19.100000000000001</v>
      </c>
      <c r="E23" s="108">
        <f t="shared" si="1"/>
        <v>6</v>
      </c>
      <c r="F23" s="108">
        <f t="shared" si="1"/>
        <v>350</v>
      </c>
      <c r="G23" s="108">
        <f t="shared" si="1"/>
        <v>0</v>
      </c>
      <c r="H23" s="108">
        <f t="shared" si="1"/>
        <v>55</v>
      </c>
      <c r="I23" s="108">
        <f t="shared" si="1"/>
        <v>10</v>
      </c>
      <c r="J23" s="108">
        <f t="shared" si="1"/>
        <v>0</v>
      </c>
      <c r="K23" s="108">
        <f>SUM(K4:K22)</f>
        <v>440.1</v>
      </c>
    </row>
    <row r="24" spans="1:14" ht="19.5" thickBot="1" x14ac:dyDescent="0.35">
      <c r="A24" s="2"/>
      <c r="B24" s="109"/>
      <c r="C24" s="110"/>
      <c r="D24" s="111"/>
      <c r="E24" s="111"/>
      <c r="F24" s="111"/>
      <c r="G24" s="111"/>
      <c r="H24" s="111"/>
      <c r="I24" s="111"/>
      <c r="J24" s="111"/>
      <c r="K24" s="111"/>
    </row>
    <row r="25" spans="1:14" ht="24" thickBot="1" x14ac:dyDescent="0.4">
      <c r="A25" s="112" t="s">
        <v>40</v>
      </c>
      <c r="B25" s="109"/>
      <c r="C25" s="110"/>
      <c r="D25" s="111"/>
      <c r="E25" s="111"/>
      <c r="F25" s="111"/>
      <c r="G25" s="111"/>
      <c r="H25" s="111"/>
      <c r="I25" s="111"/>
      <c r="J25" s="111"/>
      <c r="K25" s="111"/>
    </row>
    <row r="26" spans="1:14" ht="15.75" thickBot="1" x14ac:dyDescent="0.3">
      <c r="A26" s="113" t="s">
        <v>3</v>
      </c>
      <c r="B26" s="86" t="s">
        <v>32</v>
      </c>
      <c r="C26" s="114" t="s">
        <v>41</v>
      </c>
      <c r="D26" s="114" t="s">
        <v>34</v>
      </c>
      <c r="E26" s="114" t="s">
        <v>35</v>
      </c>
      <c r="F26" s="86" t="s">
        <v>36</v>
      </c>
      <c r="G26" s="86" t="s">
        <v>37</v>
      </c>
      <c r="H26" s="86" t="s">
        <v>42</v>
      </c>
      <c r="I26" s="86" t="s">
        <v>39</v>
      </c>
      <c r="J26" s="86"/>
      <c r="K26" s="115" t="s">
        <v>4</v>
      </c>
    </row>
    <row r="27" spans="1:14" ht="15.75" thickBot="1" x14ac:dyDescent="0.3">
      <c r="A27" s="367"/>
      <c r="B27" s="103"/>
      <c r="C27" s="103"/>
      <c r="D27" s="116"/>
      <c r="E27" s="117"/>
      <c r="F27" s="116"/>
      <c r="G27" s="116"/>
      <c r="H27" s="118"/>
      <c r="I27" s="118"/>
      <c r="J27" s="118"/>
      <c r="K27" s="119">
        <f>SUM(D27:I27)</f>
        <v>0</v>
      </c>
    </row>
    <row r="28" spans="1:14" ht="15.75" thickBot="1" x14ac:dyDescent="0.3">
      <c r="A28" s="367"/>
      <c r="B28" s="366"/>
      <c r="C28" s="103"/>
      <c r="D28" s="116"/>
      <c r="E28" s="117"/>
      <c r="F28" s="116"/>
      <c r="G28" s="116"/>
      <c r="H28" s="118"/>
      <c r="I28" s="118"/>
      <c r="J28" s="118"/>
      <c r="K28" s="119"/>
    </row>
    <row r="29" spans="1:14" ht="15.75" thickBot="1" x14ac:dyDescent="0.3">
      <c r="A29" s="367"/>
      <c r="B29" s="361"/>
      <c r="C29" s="89"/>
      <c r="D29" s="120"/>
      <c r="E29" s="120"/>
      <c r="F29" s="120"/>
      <c r="G29" s="120"/>
      <c r="H29" s="90"/>
      <c r="I29" s="90"/>
      <c r="J29" s="90"/>
      <c r="K29" s="119">
        <f t="shared" ref="K29:K30" si="2">SUM(D29:I29)</f>
        <v>0</v>
      </c>
    </row>
    <row r="30" spans="1:14" ht="15.75" thickBot="1" x14ac:dyDescent="0.3">
      <c r="A30" s="86"/>
      <c r="B30" s="121"/>
      <c r="C30" s="89"/>
      <c r="D30" s="120"/>
      <c r="E30" s="120"/>
      <c r="F30" s="120"/>
      <c r="G30" s="120"/>
      <c r="H30" s="90"/>
      <c r="I30" s="90"/>
      <c r="J30" s="90"/>
      <c r="K30" s="119">
        <f t="shared" si="2"/>
        <v>0</v>
      </c>
      <c r="M30" s="122" t="s">
        <v>43</v>
      </c>
      <c r="N30" s="123">
        <f>K31+K39</f>
        <v>0</v>
      </c>
    </row>
    <row r="31" spans="1:14" ht="15.75" thickBot="1" x14ac:dyDescent="0.3">
      <c r="A31" s="86" t="s">
        <v>4</v>
      </c>
      <c r="B31" s="368"/>
      <c r="C31" s="125"/>
      <c r="D31" s="116">
        <f>SUM(D27:D30)</f>
        <v>0</v>
      </c>
      <c r="E31" s="116">
        <f t="shared" ref="E31:J31" si="3">SUM(E27:E30)</f>
        <v>0</v>
      </c>
      <c r="F31" s="116">
        <f t="shared" si="3"/>
        <v>0</v>
      </c>
      <c r="G31" s="116">
        <f t="shared" si="3"/>
        <v>0</v>
      </c>
      <c r="H31" s="116">
        <f t="shared" si="3"/>
        <v>0</v>
      </c>
      <c r="I31" s="116">
        <f t="shared" si="3"/>
        <v>0</v>
      </c>
      <c r="J31" s="116">
        <f t="shared" si="3"/>
        <v>0</v>
      </c>
      <c r="K31" s="94">
        <f>SUM(K27:K30)</f>
        <v>0</v>
      </c>
    </row>
    <row r="32" spans="1:14" ht="15.75" thickBot="1" x14ac:dyDescent="0.3">
      <c r="A32" s="109"/>
      <c r="B32" s="127"/>
      <c r="C32" s="128"/>
      <c r="D32" s="129"/>
      <c r="E32" s="129"/>
      <c r="F32" s="129"/>
      <c r="G32" s="129"/>
      <c r="H32" s="129"/>
      <c r="I32" s="129"/>
      <c r="J32" s="129"/>
      <c r="K32" s="130"/>
    </row>
    <row r="33" spans="1:14" ht="24" thickBot="1" x14ac:dyDescent="0.4">
      <c r="A33" s="112" t="s">
        <v>40</v>
      </c>
      <c r="B33" s="109"/>
      <c r="C33" s="110"/>
      <c r="D33" s="111"/>
      <c r="E33" s="111"/>
      <c r="F33" s="111"/>
      <c r="G33" s="111"/>
      <c r="H33" s="111"/>
      <c r="I33" s="111"/>
      <c r="J33" s="111"/>
      <c r="K33" s="111"/>
    </row>
    <row r="34" spans="1:14" ht="45.75" thickBot="1" x14ac:dyDescent="0.3">
      <c r="A34" s="131" t="s">
        <v>44</v>
      </c>
      <c r="B34" s="86" t="s">
        <v>45</v>
      </c>
      <c r="C34" s="114" t="s">
        <v>41</v>
      </c>
      <c r="D34" s="114" t="s">
        <v>34</v>
      </c>
      <c r="E34" s="114" t="s">
        <v>35</v>
      </c>
      <c r="F34" s="114" t="s">
        <v>46</v>
      </c>
      <c r="G34" s="114" t="s">
        <v>47</v>
      </c>
      <c r="H34" s="114" t="s">
        <v>42</v>
      </c>
      <c r="I34" s="132" t="s">
        <v>48</v>
      </c>
      <c r="J34" s="86"/>
      <c r="K34" s="115" t="s">
        <v>4</v>
      </c>
    </row>
    <row r="35" spans="1:14" ht="15.75" thickBot="1" x14ac:dyDescent="0.3">
      <c r="A35" s="133"/>
      <c r="B35" s="99"/>
      <c r="C35" s="89"/>
      <c r="D35" s="90"/>
      <c r="E35" s="90"/>
      <c r="F35" s="90"/>
      <c r="G35" s="90"/>
      <c r="H35" s="90"/>
      <c r="I35" s="90"/>
      <c r="J35" s="348"/>
      <c r="K35" s="87">
        <f t="shared" ref="K35:K38" si="4">SUM(D35:I35)</f>
        <v>0</v>
      </c>
    </row>
    <row r="36" spans="1:14" ht="15.75" thickBot="1" x14ac:dyDescent="0.3">
      <c r="A36" s="95"/>
      <c r="B36" s="103"/>
      <c r="C36" s="89"/>
      <c r="D36" s="116"/>
      <c r="E36" s="116"/>
      <c r="F36" s="116"/>
      <c r="G36" s="116"/>
      <c r="H36" s="118"/>
      <c r="I36" s="118"/>
      <c r="J36" s="118"/>
      <c r="K36" s="119">
        <f t="shared" si="4"/>
        <v>0</v>
      </c>
    </row>
    <row r="37" spans="1:14" ht="15.75" thickBot="1" x14ac:dyDescent="0.3">
      <c r="A37" s="367"/>
      <c r="B37" s="361"/>
      <c r="C37" s="89"/>
      <c r="D37" s="120"/>
      <c r="E37" s="120"/>
      <c r="F37" s="120"/>
      <c r="G37" s="120"/>
      <c r="H37" s="90"/>
      <c r="I37" s="90"/>
      <c r="J37" s="90"/>
      <c r="K37" s="119">
        <f t="shared" si="4"/>
        <v>0</v>
      </c>
    </row>
    <row r="38" spans="1:14" ht="15.75" thickBot="1" x14ac:dyDescent="0.3">
      <c r="A38" s="86"/>
      <c r="B38" s="121"/>
      <c r="C38" s="89"/>
      <c r="D38" s="120"/>
      <c r="E38" s="120"/>
      <c r="F38" s="120"/>
      <c r="G38" s="120"/>
      <c r="H38" s="90"/>
      <c r="I38" s="90"/>
      <c r="J38" s="90"/>
      <c r="K38" s="119">
        <f t="shared" si="4"/>
        <v>0</v>
      </c>
      <c r="M38" s="134"/>
      <c r="N38" s="135"/>
    </row>
    <row r="39" spans="1:14" ht="15.75" thickBot="1" x14ac:dyDescent="0.3">
      <c r="A39" s="86" t="s">
        <v>4</v>
      </c>
      <c r="B39" s="368"/>
      <c r="C39" s="125"/>
      <c r="D39" s="116">
        <f>SUM(D35:D38)</f>
        <v>0</v>
      </c>
      <c r="E39" s="116">
        <f t="shared" ref="E39:J39" si="5">SUM(E35:E38)</f>
        <v>0</v>
      </c>
      <c r="F39" s="116">
        <f t="shared" si="5"/>
        <v>0</v>
      </c>
      <c r="G39" s="116">
        <f t="shared" si="5"/>
        <v>0</v>
      </c>
      <c r="H39" s="116">
        <f t="shared" si="5"/>
        <v>0</v>
      </c>
      <c r="I39" s="116">
        <f t="shared" si="5"/>
        <v>0</v>
      </c>
      <c r="J39" s="116">
        <f t="shared" si="5"/>
        <v>0</v>
      </c>
      <c r="K39" s="94">
        <f>SUM(K35:K38)</f>
        <v>0</v>
      </c>
    </row>
    <row r="40" spans="1:14" x14ac:dyDescent="0.25">
      <c r="A40" s="109"/>
      <c r="B40" s="127"/>
      <c r="C40" s="128"/>
      <c r="D40" s="129"/>
      <c r="E40" s="129"/>
      <c r="F40" s="129"/>
      <c r="G40" s="129"/>
      <c r="H40" s="129"/>
      <c r="I40" s="129"/>
      <c r="J40" s="129"/>
      <c r="K40" s="130"/>
    </row>
    <row r="41" spans="1:14" x14ac:dyDescent="0.25">
      <c r="A41" s="109"/>
      <c r="B41" s="127"/>
      <c r="C41" s="128"/>
      <c r="D41" s="129"/>
      <c r="E41" s="129"/>
      <c r="F41" s="129"/>
      <c r="G41" s="129"/>
      <c r="H41" s="129"/>
      <c r="I41" s="129"/>
      <c r="J41" s="129"/>
      <c r="K41" s="130"/>
    </row>
    <row r="42" spans="1:14" ht="15.75" thickBot="1" x14ac:dyDescent="0.3">
      <c r="A42" s="84"/>
      <c r="B42" s="84"/>
      <c r="C42" s="84"/>
      <c r="K42" s="85"/>
    </row>
    <row r="43" spans="1:14" ht="45.75" thickBot="1" x14ac:dyDescent="0.3">
      <c r="A43" s="114" t="s">
        <v>49</v>
      </c>
      <c r="B43" s="86" t="s">
        <v>45</v>
      </c>
      <c r="C43" s="114" t="s">
        <v>41</v>
      </c>
      <c r="D43" s="114" t="s">
        <v>34</v>
      </c>
      <c r="E43" s="114" t="s">
        <v>35</v>
      </c>
      <c r="F43" s="114" t="s">
        <v>46</v>
      </c>
      <c r="G43" s="114" t="s">
        <v>47</v>
      </c>
      <c r="H43" s="86" t="s">
        <v>48</v>
      </c>
      <c r="I43" s="132" t="s">
        <v>42</v>
      </c>
      <c r="J43" s="86" t="s">
        <v>497</v>
      </c>
      <c r="K43" s="115" t="s">
        <v>4</v>
      </c>
    </row>
    <row r="44" spans="1:14" ht="15.75" thickBot="1" x14ac:dyDescent="0.3">
      <c r="A44" s="361" t="s">
        <v>547</v>
      </c>
      <c r="B44" s="366" t="s">
        <v>548</v>
      </c>
      <c r="C44" s="103">
        <v>46082</v>
      </c>
      <c r="D44" s="118">
        <v>766.5</v>
      </c>
      <c r="E44" s="136">
        <v>76</v>
      </c>
      <c r="F44" s="118"/>
      <c r="G44" s="118"/>
      <c r="H44" s="118"/>
      <c r="I44" s="118">
        <v>200</v>
      </c>
      <c r="J44" s="118"/>
      <c r="K44" s="119">
        <f>SUM(D44:J44)</f>
        <v>1042.5</v>
      </c>
    </row>
    <row r="45" spans="1:14" ht="15.75" thickBot="1" x14ac:dyDescent="0.3">
      <c r="A45" s="103"/>
      <c r="B45" s="118"/>
      <c r="C45" s="118"/>
      <c r="D45" s="118"/>
      <c r="E45" s="118"/>
      <c r="F45" s="118"/>
      <c r="G45" s="118"/>
      <c r="H45" s="118"/>
      <c r="I45" s="118"/>
      <c r="J45" s="118"/>
      <c r="K45" s="119">
        <f t="shared" ref="K45:K57" si="6">SUM(D45:J45)</f>
        <v>0</v>
      </c>
    </row>
    <row r="46" spans="1:14" ht="15.75" thickBot="1" x14ac:dyDescent="0.3">
      <c r="A46" s="103"/>
      <c r="B46" s="118"/>
      <c r="C46" s="118"/>
      <c r="D46" s="118"/>
      <c r="E46" s="118"/>
      <c r="F46" s="118"/>
      <c r="G46" s="118"/>
      <c r="H46" s="118"/>
      <c r="I46" s="118"/>
      <c r="J46" s="118"/>
      <c r="K46" s="119">
        <f t="shared" si="6"/>
        <v>0</v>
      </c>
    </row>
    <row r="47" spans="1:14" ht="15.75" thickBot="1" x14ac:dyDescent="0.3">
      <c r="A47" s="121"/>
      <c r="B47" s="103"/>
      <c r="C47" s="103"/>
      <c r="D47" s="118"/>
      <c r="E47" s="118"/>
      <c r="F47" s="118"/>
      <c r="G47" s="118"/>
      <c r="H47" s="118"/>
      <c r="I47" s="118"/>
      <c r="J47" s="118"/>
      <c r="K47" s="119">
        <f t="shared" si="6"/>
        <v>0</v>
      </c>
    </row>
    <row r="48" spans="1:14" ht="15.75" thickBot="1" x14ac:dyDescent="0.3">
      <c r="A48" s="121"/>
      <c r="B48" s="103"/>
      <c r="C48" s="103"/>
      <c r="D48" s="118"/>
      <c r="E48" s="118"/>
      <c r="F48" s="118"/>
      <c r="G48" s="118"/>
      <c r="H48" s="118"/>
      <c r="I48" s="118"/>
      <c r="J48" s="118"/>
      <c r="K48" s="119">
        <f t="shared" si="6"/>
        <v>0</v>
      </c>
    </row>
    <row r="49" spans="1:11" ht="15.75" thickBot="1" x14ac:dyDescent="0.3">
      <c r="A49" s="361"/>
      <c r="B49" s="103"/>
      <c r="C49" s="103"/>
      <c r="D49" s="118"/>
      <c r="E49" s="118"/>
      <c r="F49" s="118"/>
      <c r="G49" s="118"/>
      <c r="H49" s="118"/>
      <c r="I49" s="118"/>
      <c r="J49" s="118"/>
      <c r="K49" s="119">
        <f t="shared" si="6"/>
        <v>0</v>
      </c>
    </row>
    <row r="50" spans="1:11" ht="15.75" thickBot="1" x14ac:dyDescent="0.3">
      <c r="A50" s="361"/>
      <c r="B50" s="103"/>
      <c r="C50" s="103"/>
      <c r="D50" s="118"/>
      <c r="E50" s="118"/>
      <c r="F50" s="118"/>
      <c r="G50" s="118"/>
      <c r="H50" s="118"/>
      <c r="I50" s="118"/>
      <c r="J50" s="118"/>
      <c r="K50" s="119">
        <f t="shared" si="6"/>
        <v>0</v>
      </c>
    </row>
    <row r="51" spans="1:11" ht="15.75" thickBot="1" x14ac:dyDescent="0.3">
      <c r="A51" s="361"/>
      <c r="B51" s="103"/>
      <c r="C51" s="103"/>
      <c r="D51" s="118"/>
      <c r="E51" s="118"/>
      <c r="F51" s="118"/>
      <c r="G51" s="118"/>
      <c r="H51" s="118"/>
      <c r="I51" s="118"/>
      <c r="J51" s="118"/>
      <c r="K51" s="119">
        <f t="shared" si="6"/>
        <v>0</v>
      </c>
    </row>
    <row r="52" spans="1:11" ht="15.75" thickBot="1" x14ac:dyDescent="0.3">
      <c r="A52" s="361"/>
      <c r="B52" s="103"/>
      <c r="C52" s="103"/>
      <c r="D52" s="118"/>
      <c r="E52" s="118"/>
      <c r="F52" s="118"/>
      <c r="G52" s="118"/>
      <c r="H52" s="118"/>
      <c r="I52" s="118"/>
      <c r="J52" s="118"/>
      <c r="K52" s="119">
        <f t="shared" si="6"/>
        <v>0</v>
      </c>
    </row>
    <row r="53" spans="1:11" ht="15.75" thickBot="1" x14ac:dyDescent="0.3">
      <c r="A53" s="361"/>
      <c r="B53" s="103"/>
      <c r="C53" s="103"/>
      <c r="D53" s="118"/>
      <c r="E53" s="118"/>
      <c r="F53" s="118"/>
      <c r="G53" s="118"/>
      <c r="H53" s="118"/>
      <c r="I53" s="118"/>
      <c r="J53" s="118"/>
      <c r="K53" s="119">
        <f t="shared" si="6"/>
        <v>0</v>
      </c>
    </row>
    <row r="54" spans="1:11" ht="15.75" thickBot="1" x14ac:dyDescent="0.3">
      <c r="A54" s="137"/>
      <c r="B54" s="103"/>
      <c r="C54" s="103"/>
      <c r="D54" s="118"/>
      <c r="E54" s="118"/>
      <c r="F54" s="118"/>
      <c r="G54" s="118"/>
      <c r="H54" s="118"/>
      <c r="I54" s="118"/>
      <c r="J54" s="118"/>
      <c r="K54" s="119">
        <f t="shared" si="6"/>
        <v>0</v>
      </c>
    </row>
    <row r="55" spans="1:11" ht="15.75" thickBot="1" x14ac:dyDescent="0.3">
      <c r="A55" s="121"/>
      <c r="B55" s="103"/>
      <c r="C55" s="103"/>
      <c r="D55" s="118"/>
      <c r="F55" s="118"/>
      <c r="G55" s="118"/>
      <c r="H55" s="118"/>
      <c r="I55" s="118"/>
      <c r="J55" s="118"/>
      <c r="K55" s="119">
        <f t="shared" si="6"/>
        <v>0</v>
      </c>
    </row>
    <row r="56" spans="1:11" ht="15.75" thickBot="1" x14ac:dyDescent="0.3">
      <c r="A56" s="121"/>
      <c r="B56" s="103"/>
      <c r="C56" s="103"/>
      <c r="D56" s="118"/>
      <c r="E56" s="118"/>
      <c r="F56" s="118"/>
      <c r="G56" s="118"/>
      <c r="H56" s="118"/>
      <c r="I56" s="118"/>
      <c r="J56" s="118"/>
      <c r="K56" s="119">
        <f t="shared" si="6"/>
        <v>0</v>
      </c>
    </row>
    <row r="57" spans="1:11" ht="15.75" thickBot="1" x14ac:dyDescent="0.3">
      <c r="A57" s="121"/>
      <c r="B57" s="103"/>
      <c r="C57" s="103"/>
      <c r="D57" s="138"/>
      <c r="E57" s="138"/>
      <c r="F57" s="138"/>
      <c r="G57" s="138"/>
      <c r="H57" s="138"/>
      <c r="I57" s="138"/>
      <c r="J57" s="138"/>
      <c r="K57" s="119">
        <f t="shared" si="6"/>
        <v>0</v>
      </c>
    </row>
    <row r="58" spans="1:11" ht="19.5" thickBot="1" x14ac:dyDescent="0.35">
      <c r="A58" s="105" t="s">
        <v>4</v>
      </c>
      <c r="B58" s="86"/>
      <c r="C58" s="106"/>
      <c r="D58" s="107">
        <f t="shared" ref="D58:K58" si="7">SUM(D44:D57)</f>
        <v>766.5</v>
      </c>
      <c r="E58" s="107">
        <f t="shared" si="7"/>
        <v>76</v>
      </c>
      <c r="F58" s="107">
        <f t="shared" si="7"/>
        <v>0</v>
      </c>
      <c r="G58" s="107">
        <f t="shared" si="7"/>
        <v>0</v>
      </c>
      <c r="H58" s="107">
        <f t="shared" si="7"/>
        <v>0</v>
      </c>
      <c r="I58" s="107">
        <f t="shared" si="7"/>
        <v>200</v>
      </c>
      <c r="J58" s="107">
        <f t="shared" si="7"/>
        <v>0</v>
      </c>
      <c r="K58" s="107">
        <f t="shared" si="7"/>
        <v>1042.5</v>
      </c>
    </row>
    <row r="59" spans="1:11" ht="15.75" x14ac:dyDescent="0.25">
      <c r="A59" s="139"/>
      <c r="B59" s="139"/>
      <c r="C59" s="140"/>
      <c r="D59" s="141"/>
      <c r="E59" s="141"/>
      <c r="F59" s="141"/>
      <c r="G59" s="141"/>
      <c r="H59" s="141"/>
      <c r="I59" s="141"/>
      <c r="J59" s="141"/>
      <c r="K59" s="141"/>
    </row>
    <row r="60" spans="1:11" ht="16.5" thickBot="1" x14ac:dyDescent="0.3">
      <c r="A60" s="139"/>
      <c r="B60" s="139"/>
      <c r="C60" s="140"/>
      <c r="D60" s="141"/>
      <c r="E60" s="141"/>
      <c r="F60" s="141"/>
      <c r="G60" s="141"/>
      <c r="H60" s="141"/>
      <c r="I60" s="141"/>
      <c r="J60" s="141"/>
      <c r="K60" s="141"/>
    </row>
    <row r="61" spans="1:11" ht="19.5" thickBot="1" x14ac:dyDescent="0.35">
      <c r="A61" s="492" t="s">
        <v>50</v>
      </c>
      <c r="B61" s="493"/>
      <c r="C61" s="142"/>
      <c r="D61" s="143"/>
      <c r="E61" s="143"/>
      <c r="F61" s="143"/>
      <c r="G61" s="143"/>
      <c r="H61" s="143"/>
      <c r="I61" s="143"/>
      <c r="J61" s="143"/>
      <c r="K61" s="108">
        <f>+K23+K58</f>
        <v>1482.6</v>
      </c>
    </row>
    <row r="62" spans="1:11" x14ac:dyDescent="0.25">
      <c r="A62" s="84"/>
      <c r="B62" s="84"/>
      <c r="C62" s="144"/>
      <c r="D62" s="85"/>
      <c r="E62" s="85"/>
      <c r="F62" s="85"/>
      <c r="G62" s="85"/>
      <c r="H62" s="85"/>
      <c r="I62" s="85"/>
      <c r="J62" s="85"/>
      <c r="K62" s="85"/>
    </row>
    <row r="63" spans="1:11" x14ac:dyDescent="0.25">
      <c r="A63" s="84"/>
      <c r="B63" s="84"/>
      <c r="C63" s="144"/>
      <c r="D63" s="85"/>
      <c r="E63" s="85"/>
      <c r="F63" s="85"/>
      <c r="G63" s="85"/>
      <c r="H63" s="85"/>
      <c r="I63" s="85"/>
      <c r="J63" s="85"/>
      <c r="K63" s="85"/>
    </row>
    <row r="64" spans="1:11" ht="16.5" thickBot="1" x14ac:dyDescent="0.3">
      <c r="A64" s="145" t="s">
        <v>500</v>
      </c>
      <c r="B64" s="84"/>
      <c r="C64" s="144"/>
      <c r="D64" s="85"/>
      <c r="E64" s="85"/>
      <c r="F64" s="85"/>
      <c r="G64" s="85"/>
      <c r="H64" s="85"/>
      <c r="I64" s="85"/>
      <c r="J64" s="85"/>
      <c r="K64" s="85"/>
    </row>
    <row r="65" spans="1:12" ht="19.5" thickBot="1" x14ac:dyDescent="0.35">
      <c r="A65" s="146" t="s">
        <v>52</v>
      </c>
      <c r="B65" s="147"/>
      <c r="C65" s="148"/>
      <c r="D65" s="149"/>
      <c r="E65" s="149"/>
      <c r="F65" s="149"/>
      <c r="G65" s="149"/>
      <c r="H65" s="149"/>
      <c r="I65" s="149"/>
      <c r="J65" s="149"/>
      <c r="K65" s="108"/>
    </row>
    <row r="66" spans="1:12" ht="19.5" thickBot="1" x14ac:dyDescent="0.35">
      <c r="A66" s="146" t="s">
        <v>53</v>
      </c>
      <c r="B66" s="147"/>
      <c r="C66" s="150"/>
      <c r="D66" s="149"/>
      <c r="E66" s="149"/>
      <c r="F66" s="149"/>
      <c r="G66" s="149"/>
      <c r="H66" s="149"/>
      <c r="I66" s="149"/>
      <c r="J66" s="149"/>
      <c r="K66" s="108"/>
      <c r="L66" s="41"/>
    </row>
    <row r="67" spans="1:12" ht="18.75" x14ac:dyDescent="0.3">
      <c r="A67" s="151"/>
      <c r="B67" s="151"/>
      <c r="C67" s="152"/>
      <c r="D67" s="153"/>
      <c r="E67" s="153"/>
      <c r="F67" s="153"/>
      <c r="G67" s="153"/>
      <c r="H67" s="153"/>
      <c r="I67" s="153"/>
      <c r="J67" s="153"/>
      <c r="K67" s="111"/>
    </row>
    <row r="68" spans="1:12" ht="18.75" x14ac:dyDescent="0.3">
      <c r="A68" s="151"/>
      <c r="B68" s="151"/>
      <c r="C68" s="152"/>
      <c r="D68" s="153"/>
      <c r="E68" s="153"/>
      <c r="F68" s="153"/>
      <c r="G68" s="153"/>
      <c r="H68" s="153"/>
      <c r="I68" s="153"/>
      <c r="J68" s="153"/>
      <c r="K68" s="111"/>
      <c r="L68" s="41"/>
    </row>
    <row r="69" spans="1:12" ht="16.5" thickBot="1" x14ac:dyDescent="0.3">
      <c r="A69" s="154" t="s">
        <v>54</v>
      </c>
      <c r="B69" s="155"/>
      <c r="C69" s="144"/>
      <c r="D69" s="85"/>
      <c r="E69" s="85"/>
      <c r="F69" s="85"/>
      <c r="G69" s="85"/>
      <c r="H69" s="85"/>
      <c r="I69" s="85"/>
      <c r="J69" s="85"/>
      <c r="K69" s="85"/>
    </row>
    <row r="70" spans="1:12" ht="19.5" thickBot="1" x14ac:dyDescent="0.35">
      <c r="A70" s="156" t="s">
        <v>55</v>
      </c>
      <c r="B70" s="157"/>
      <c r="C70" s="158"/>
      <c r="D70" s="159"/>
      <c r="E70" s="159"/>
      <c r="F70" s="159"/>
      <c r="G70" s="159"/>
      <c r="H70" s="159"/>
      <c r="I70" s="159"/>
      <c r="J70" s="159"/>
      <c r="K70" s="160">
        <v>542.5</v>
      </c>
    </row>
    <row r="71" spans="1:12" x14ac:dyDescent="0.25">
      <c r="A71" s="161"/>
      <c r="B71" s="84"/>
      <c r="C71" s="144"/>
      <c r="D71" s="85"/>
      <c r="E71" s="85"/>
      <c r="F71" s="85"/>
      <c r="G71" s="85"/>
      <c r="H71" s="85"/>
      <c r="I71" s="85"/>
      <c r="J71" s="85"/>
      <c r="K71" s="85"/>
    </row>
    <row r="72" spans="1:12" ht="16.5" thickBot="1" x14ac:dyDescent="0.3">
      <c r="A72" s="154"/>
      <c r="B72" s="155"/>
      <c r="C72" s="144"/>
      <c r="D72" s="85"/>
      <c r="E72" s="85"/>
      <c r="F72" s="85"/>
      <c r="G72" s="85"/>
      <c r="H72" s="85"/>
      <c r="I72" s="85"/>
      <c r="J72" s="85"/>
      <c r="K72" s="85"/>
    </row>
    <row r="73" spans="1:12" ht="19.5" thickBot="1" x14ac:dyDescent="0.35">
      <c r="A73" s="156" t="s">
        <v>56</v>
      </c>
      <c r="B73" s="157"/>
      <c r="C73" s="162"/>
      <c r="D73" s="159"/>
      <c r="E73" s="159"/>
      <c r="F73" s="159"/>
      <c r="G73" s="159"/>
      <c r="H73" s="159"/>
      <c r="I73" s="159"/>
      <c r="J73" s="159"/>
      <c r="K73" s="163"/>
    </row>
    <row r="74" spans="1:12" ht="15.75" thickBot="1" x14ac:dyDescent="0.3">
      <c r="A74" s="161"/>
      <c r="B74" s="84"/>
      <c r="C74" s="144"/>
      <c r="D74" s="85"/>
      <c r="E74" s="85"/>
      <c r="F74" s="85"/>
      <c r="G74" s="85"/>
      <c r="H74" s="85"/>
      <c r="I74" s="85"/>
      <c r="J74" s="85"/>
      <c r="K74" s="85"/>
    </row>
    <row r="75" spans="1:12" ht="21.75" thickBot="1" x14ac:dyDescent="0.4">
      <c r="A75" s="494" t="s">
        <v>57</v>
      </c>
      <c r="B75" s="495"/>
      <c r="C75" s="164"/>
      <c r="D75" s="165"/>
      <c r="E75" s="165"/>
      <c r="F75" s="165"/>
      <c r="G75" s="165"/>
      <c r="H75" s="165"/>
      <c r="I75" s="165"/>
      <c r="J75" s="165"/>
      <c r="K75" s="166">
        <f>SUM(K61:K74)</f>
        <v>2025.1</v>
      </c>
    </row>
    <row r="76" spans="1:12" x14ac:dyDescent="0.25">
      <c r="A76" s="84"/>
      <c r="B76" s="84"/>
      <c r="C76" s="144"/>
      <c r="D76" s="85"/>
      <c r="E76" s="85"/>
      <c r="F76" s="85"/>
      <c r="G76" s="85"/>
      <c r="H76" s="85"/>
      <c r="I76" s="85"/>
      <c r="J76" s="85"/>
      <c r="K76" s="85"/>
    </row>
    <row r="77" spans="1:12" ht="21" x14ac:dyDescent="0.35">
      <c r="A77" s="491" t="s">
        <v>540</v>
      </c>
      <c r="B77" s="491"/>
      <c r="C77" s="491"/>
      <c r="D77" s="491"/>
      <c r="E77" s="491"/>
      <c r="F77" s="491"/>
      <c r="G77" s="491"/>
      <c r="H77" s="491"/>
      <c r="I77" s="491"/>
      <c r="J77" s="491"/>
      <c r="K77" s="491"/>
    </row>
    <row r="78" spans="1:12" ht="21.75" thickBot="1" x14ac:dyDescent="0.4">
      <c r="A78" s="362" t="s">
        <v>10</v>
      </c>
      <c r="B78" s="362"/>
      <c r="C78" s="362"/>
      <c r="D78" s="362"/>
      <c r="E78" s="362"/>
      <c r="F78" s="362"/>
      <c r="G78" s="362"/>
      <c r="H78" s="362"/>
      <c r="I78" s="362"/>
      <c r="J78" s="362"/>
      <c r="K78" s="168"/>
    </row>
    <row r="79" spans="1:12" ht="15.75" thickBot="1" x14ac:dyDescent="0.3">
      <c r="A79" s="169" t="s">
        <v>58</v>
      </c>
      <c r="B79" s="170" t="s">
        <v>59</v>
      </c>
      <c r="C79" s="496" t="s">
        <v>33</v>
      </c>
      <c r="D79" s="497"/>
      <c r="E79" s="497"/>
      <c r="F79" s="497"/>
      <c r="G79" s="497"/>
      <c r="H79" s="497"/>
      <c r="I79" s="497"/>
      <c r="J79" s="498"/>
      <c r="K79" s="171" t="s">
        <v>4</v>
      </c>
    </row>
    <row r="80" spans="1:12" ht="30.75" thickBot="1" x14ac:dyDescent="0.3">
      <c r="A80" s="172" t="s">
        <v>542</v>
      </c>
      <c r="B80" s="173" t="s">
        <v>541</v>
      </c>
      <c r="C80" s="504" t="s">
        <v>543</v>
      </c>
      <c r="D80" s="505"/>
      <c r="E80" s="505"/>
      <c r="F80" s="505"/>
      <c r="G80" s="505"/>
      <c r="H80" s="505"/>
      <c r="I80" s="505"/>
      <c r="J80" s="528"/>
      <c r="K80" s="104">
        <v>104</v>
      </c>
    </row>
    <row r="81" spans="1:11" ht="15.75" thickBot="1" x14ac:dyDescent="0.3">
      <c r="A81" s="361" t="s">
        <v>547</v>
      </c>
      <c r="B81" s="173" t="s">
        <v>551</v>
      </c>
      <c r="C81" s="504" t="s">
        <v>550</v>
      </c>
      <c r="D81" s="505"/>
      <c r="E81" s="505"/>
      <c r="F81" s="505"/>
      <c r="G81" s="505"/>
      <c r="H81" s="505"/>
      <c r="I81" s="505"/>
      <c r="J81" s="528"/>
      <c r="K81" s="104">
        <v>150</v>
      </c>
    </row>
    <row r="82" spans="1:11" ht="30.75" customHeight="1" thickBot="1" x14ac:dyDescent="0.3">
      <c r="A82" s="485" t="s">
        <v>305</v>
      </c>
      <c r="B82" s="173" t="s">
        <v>552</v>
      </c>
      <c r="C82" s="504" t="s">
        <v>554</v>
      </c>
      <c r="D82" s="505"/>
      <c r="E82" s="505"/>
      <c r="F82" s="505"/>
      <c r="G82" s="505"/>
      <c r="H82" s="505"/>
      <c r="I82" s="505"/>
      <c r="J82" s="528"/>
      <c r="K82" s="174">
        <v>166.5</v>
      </c>
    </row>
    <row r="83" spans="1:11" ht="15.75" thickBot="1" x14ac:dyDescent="0.3">
      <c r="A83" s="487"/>
      <c r="B83" s="173" t="s">
        <v>553</v>
      </c>
      <c r="C83" s="504" t="s">
        <v>554</v>
      </c>
      <c r="D83" s="505"/>
      <c r="E83" s="505"/>
      <c r="F83" s="505"/>
      <c r="G83" s="505"/>
      <c r="H83" s="505"/>
      <c r="I83" s="505"/>
      <c r="J83" s="528"/>
      <c r="K83" s="104">
        <v>510.5</v>
      </c>
    </row>
    <row r="84" spans="1:11" ht="15.75" thickBot="1" x14ac:dyDescent="0.3">
      <c r="A84" s="121"/>
      <c r="B84" s="173"/>
      <c r="C84" s="525"/>
      <c r="D84" s="526"/>
      <c r="E84" s="526"/>
      <c r="F84" s="526"/>
      <c r="G84" s="526"/>
      <c r="H84" s="526"/>
      <c r="I84" s="526"/>
      <c r="J84" s="527"/>
      <c r="K84" s="104"/>
    </row>
    <row r="85" spans="1:11" ht="15.75" thickBot="1" x14ac:dyDescent="0.3">
      <c r="A85" s="121"/>
      <c r="B85" s="173"/>
      <c r="C85" s="525"/>
      <c r="D85" s="526"/>
      <c r="E85" s="526"/>
      <c r="F85" s="526"/>
      <c r="G85" s="526"/>
      <c r="H85" s="526"/>
      <c r="I85" s="526"/>
      <c r="J85" s="527"/>
      <c r="K85" s="104"/>
    </row>
    <row r="86" spans="1:11" ht="15.75" thickBot="1" x14ac:dyDescent="0.3">
      <c r="A86" s="121"/>
      <c r="B86" s="173"/>
      <c r="C86" s="525"/>
      <c r="D86" s="526"/>
      <c r="E86" s="526"/>
      <c r="F86" s="526"/>
      <c r="G86" s="526"/>
      <c r="H86" s="526"/>
      <c r="I86" s="526"/>
      <c r="J86" s="527"/>
      <c r="K86" s="118"/>
    </row>
    <row r="87" spans="1:11" ht="15.75" thickBot="1" x14ac:dyDescent="0.3">
      <c r="A87" s="121"/>
      <c r="B87" s="173"/>
      <c r="C87" s="525"/>
      <c r="D87" s="526"/>
      <c r="E87" s="526"/>
      <c r="F87" s="526"/>
      <c r="G87" s="526"/>
      <c r="H87" s="526"/>
      <c r="I87" s="526"/>
      <c r="J87" s="527"/>
      <c r="K87" s="118"/>
    </row>
    <row r="88" spans="1:11" ht="15.75" thickBot="1" x14ac:dyDescent="0.3">
      <c r="A88" s="121"/>
      <c r="B88" s="173"/>
      <c r="C88" s="525"/>
      <c r="D88" s="526"/>
      <c r="E88" s="526"/>
      <c r="F88" s="526"/>
      <c r="G88" s="526"/>
      <c r="H88" s="526"/>
      <c r="I88" s="526"/>
      <c r="J88" s="527"/>
      <c r="K88" s="118"/>
    </row>
    <row r="89" spans="1:11" ht="15.75" thickBot="1" x14ac:dyDescent="0.3">
      <c r="A89" s="121"/>
      <c r="B89" s="173"/>
      <c r="C89" s="525"/>
      <c r="D89" s="526"/>
      <c r="E89" s="526"/>
      <c r="F89" s="526"/>
      <c r="G89" s="526"/>
      <c r="H89" s="526"/>
      <c r="I89" s="526"/>
      <c r="J89" s="527"/>
      <c r="K89" s="118"/>
    </row>
    <row r="90" spans="1:11" ht="19.5" thickBot="1" x14ac:dyDescent="0.35">
      <c r="A90" s="175" t="s">
        <v>60</v>
      </c>
      <c r="B90" s="492"/>
      <c r="C90" s="499"/>
      <c r="D90" s="499"/>
      <c r="E90" s="499"/>
      <c r="F90" s="499"/>
      <c r="G90" s="499"/>
      <c r="H90" s="499"/>
      <c r="I90" s="499"/>
      <c r="J90" s="369"/>
      <c r="K90" s="176">
        <f>SUM(K80:K89)</f>
        <v>931</v>
      </c>
    </row>
    <row r="91" spans="1:11" ht="18.75" x14ac:dyDescent="0.3">
      <c r="A91" s="2"/>
      <c r="B91" s="2"/>
      <c r="C91" s="177"/>
      <c r="D91" s="177"/>
      <c r="E91" s="177"/>
      <c r="F91" s="178"/>
      <c r="G91" s="177"/>
      <c r="H91" s="177"/>
      <c r="I91" s="177"/>
      <c r="J91" s="177"/>
      <c r="K91" s="111"/>
    </row>
    <row r="92" spans="1:11" ht="18.75" x14ac:dyDescent="0.3">
      <c r="A92" s="2"/>
      <c r="B92" s="2"/>
      <c r="C92" s="177"/>
      <c r="D92" s="177"/>
      <c r="E92" s="177"/>
      <c r="F92" s="178"/>
      <c r="G92" s="177"/>
      <c r="H92" s="177"/>
      <c r="I92" s="177"/>
      <c r="J92" s="177"/>
      <c r="K92" s="111"/>
    </row>
    <row r="93" spans="1:11" ht="18.75" x14ac:dyDescent="0.3">
      <c r="A93" s="139" t="s">
        <v>61</v>
      </c>
      <c r="B93" s="2"/>
      <c r="C93" s="84"/>
      <c r="D93" s="85"/>
      <c r="F93" s="85"/>
      <c r="K93" s="85"/>
    </row>
    <row r="94" spans="1:11" x14ac:dyDescent="0.25">
      <c r="A94" s="84" t="s">
        <v>62</v>
      </c>
      <c r="B94" s="144">
        <f>+K75</f>
        <v>2025.1</v>
      </c>
      <c r="C94" s="179"/>
      <c r="D94" s="85"/>
      <c r="F94" s="85"/>
      <c r="K94" s="85"/>
    </row>
    <row r="95" spans="1:11" ht="15.75" thickBot="1" x14ac:dyDescent="0.3">
      <c r="A95" s="84" t="s">
        <v>60</v>
      </c>
      <c r="B95" s="180">
        <f>+K90</f>
        <v>931</v>
      </c>
      <c r="C95" s="181"/>
      <c r="D95" s="85"/>
      <c r="F95" s="85"/>
      <c r="G95" s="182"/>
      <c r="H95" s="182"/>
      <c r="I95" s="183"/>
      <c r="J95" s="183"/>
      <c r="K95" s="183"/>
    </row>
    <row r="96" spans="1:11" ht="17.25" thickTop="1" thickBot="1" x14ac:dyDescent="0.3">
      <c r="A96" s="139" t="s">
        <v>8</v>
      </c>
      <c r="B96" s="184">
        <f>++B94-B95</f>
        <v>1094.0999999999999</v>
      </c>
      <c r="C96" s="185"/>
      <c r="D96" s="186"/>
      <c r="E96" s="41"/>
      <c r="F96" s="186"/>
      <c r="G96" s="187"/>
      <c r="H96" s="187"/>
      <c r="I96" s="85"/>
      <c r="J96" s="85"/>
    </row>
    <row r="97" customFormat="1" ht="15.75" thickTop="1" x14ac:dyDescent="0.25"/>
  </sheetData>
  <mergeCells count="17">
    <mergeCell ref="C80:J80"/>
    <mergeCell ref="A1:K1"/>
    <mergeCell ref="A61:B61"/>
    <mergeCell ref="A75:B75"/>
    <mergeCell ref="A77:K77"/>
    <mergeCell ref="C79:J79"/>
    <mergeCell ref="C81:J81"/>
    <mergeCell ref="C82:J82"/>
    <mergeCell ref="C83:J83"/>
    <mergeCell ref="C84:J84"/>
    <mergeCell ref="C85:J85"/>
    <mergeCell ref="C87:J87"/>
    <mergeCell ref="C88:J88"/>
    <mergeCell ref="C89:J89"/>
    <mergeCell ref="B90:I90"/>
    <mergeCell ref="A82:A83"/>
    <mergeCell ref="C86:J86"/>
  </mergeCells>
  <phoneticPr fontId="15" type="noConversion"/>
  <pageMargins left="0.17" right="0.17" top="1.92" bottom="0.17" header="0.17" footer="0.17"/>
  <pageSetup paperSize="9" scale="26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2BE4A-CCE3-44E5-81BF-6879B1422A52}">
  <sheetPr>
    <pageSetUpPr fitToPage="1"/>
  </sheetPr>
  <dimension ref="A1:N135"/>
  <sheetViews>
    <sheetView topLeftCell="A46" zoomScaleNormal="100" workbookViewId="0">
      <selection activeCell="F66" sqref="F66"/>
    </sheetView>
  </sheetViews>
  <sheetFormatPr baseColWidth="10" defaultRowHeight="15" x14ac:dyDescent="0.25"/>
  <cols>
    <col min="1" max="1" width="37.85546875" customWidth="1"/>
    <col min="2" max="2" width="15.42578125" bestFit="1" customWidth="1"/>
    <col min="3" max="3" width="9.140625" bestFit="1" customWidth="1"/>
    <col min="4" max="4" width="13" bestFit="1" customWidth="1"/>
    <col min="6" max="6" width="13" bestFit="1" customWidth="1"/>
    <col min="11" max="11" width="14.85546875" bestFit="1" customWidth="1"/>
  </cols>
  <sheetData>
    <row r="1" spans="1:11" ht="21" x14ac:dyDescent="0.35">
      <c r="A1" s="491" t="s">
        <v>556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</row>
    <row r="2" spans="1:11" ht="15.75" thickBot="1" x14ac:dyDescent="0.3">
      <c r="A2" s="83"/>
      <c r="B2" s="84"/>
      <c r="C2" s="84"/>
      <c r="K2" s="85"/>
    </row>
    <row r="3" spans="1:11" ht="4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338</v>
      </c>
      <c r="H3" s="86" t="s">
        <v>38</v>
      </c>
      <c r="I3" s="86" t="s">
        <v>39</v>
      </c>
      <c r="J3" s="347" t="s">
        <v>489</v>
      </c>
      <c r="K3" s="87" t="s">
        <v>4</v>
      </c>
    </row>
    <row r="4" spans="1:11" ht="15.75" thickBot="1" x14ac:dyDescent="0.3">
      <c r="A4" s="258" t="s">
        <v>78</v>
      </c>
      <c r="B4" s="258" t="s">
        <v>564</v>
      </c>
      <c r="C4" s="89">
        <v>46113</v>
      </c>
      <c r="D4" s="86"/>
      <c r="E4" s="86"/>
      <c r="F4" s="86"/>
      <c r="G4" s="86"/>
      <c r="H4" s="86"/>
      <c r="I4" s="225">
        <v>10</v>
      </c>
      <c r="J4" s="347"/>
      <c r="K4" s="87">
        <f t="shared" ref="K4:K44" si="0">SUM(D4:J4)</f>
        <v>10</v>
      </c>
    </row>
    <row r="5" spans="1:11" ht="15.75" thickBot="1" x14ac:dyDescent="0.3">
      <c r="A5" s="88"/>
      <c r="B5" s="88"/>
      <c r="C5" s="89"/>
      <c r="D5" s="90"/>
      <c r="E5" s="90"/>
      <c r="F5" s="90"/>
      <c r="G5" s="90"/>
      <c r="H5" s="90"/>
      <c r="I5" s="90"/>
      <c r="J5" s="348"/>
      <c r="K5" s="87">
        <f t="shared" si="0"/>
        <v>0</v>
      </c>
    </row>
    <row r="6" spans="1:11" ht="15.75" thickBot="1" x14ac:dyDescent="0.3">
      <c r="A6" s="88" t="s">
        <v>191</v>
      </c>
      <c r="B6" s="88" t="s">
        <v>563</v>
      </c>
      <c r="C6" s="89">
        <v>46082</v>
      </c>
      <c r="D6" s="90"/>
      <c r="E6" s="90"/>
      <c r="F6" s="391">
        <v>150</v>
      </c>
      <c r="G6" s="90"/>
      <c r="H6" s="90"/>
      <c r="I6" s="90"/>
      <c r="J6" s="348"/>
      <c r="K6" s="87">
        <f t="shared" si="0"/>
        <v>150</v>
      </c>
    </row>
    <row r="7" spans="1:11" ht="15.75" thickBot="1" x14ac:dyDescent="0.3">
      <c r="A7" s="88"/>
      <c r="B7" s="88"/>
      <c r="C7" s="89"/>
      <c r="D7" s="90"/>
      <c r="E7" s="90"/>
      <c r="F7" s="391"/>
      <c r="G7" s="90"/>
      <c r="H7" s="90"/>
      <c r="I7" s="90"/>
      <c r="J7" s="348"/>
      <c r="K7" s="87">
        <f t="shared" si="0"/>
        <v>0</v>
      </c>
    </row>
    <row r="8" spans="1:11" ht="15.75" thickBot="1" x14ac:dyDescent="0.3">
      <c r="A8" s="188" t="s">
        <v>218</v>
      </c>
      <c r="B8" s="389" t="s">
        <v>558</v>
      </c>
      <c r="C8" s="89">
        <v>46054</v>
      </c>
      <c r="D8" s="90"/>
      <c r="E8" s="90"/>
      <c r="F8" s="391">
        <v>100</v>
      </c>
      <c r="G8" s="90"/>
      <c r="H8" s="90"/>
      <c r="I8" s="90"/>
      <c r="J8" s="348"/>
      <c r="K8" s="87">
        <f t="shared" si="0"/>
        <v>100</v>
      </c>
    </row>
    <row r="9" spans="1:11" ht="15.75" thickBot="1" x14ac:dyDescent="0.3">
      <c r="A9" s="88" t="s">
        <v>72</v>
      </c>
      <c r="B9" s="88" t="s">
        <v>562</v>
      </c>
      <c r="C9" s="89">
        <v>46082</v>
      </c>
      <c r="D9" s="90"/>
      <c r="E9" s="90"/>
      <c r="F9" s="391">
        <v>100</v>
      </c>
      <c r="G9" s="90"/>
      <c r="H9" s="90"/>
      <c r="I9" s="90"/>
      <c r="J9" s="348"/>
      <c r="K9" s="87">
        <f t="shared" si="0"/>
        <v>100</v>
      </c>
    </row>
    <row r="10" spans="1:11" ht="15.75" thickBot="1" x14ac:dyDescent="0.3">
      <c r="A10" s="390" t="s">
        <v>560</v>
      </c>
      <c r="B10" s="88" t="s">
        <v>561</v>
      </c>
      <c r="C10" s="89">
        <v>46113</v>
      </c>
      <c r="D10" s="90"/>
      <c r="E10" s="90"/>
      <c r="F10" s="391">
        <v>400</v>
      </c>
      <c r="G10" s="90"/>
      <c r="H10" s="90"/>
      <c r="I10" s="90"/>
      <c r="J10" s="348"/>
      <c r="K10" s="87">
        <f t="shared" si="0"/>
        <v>400</v>
      </c>
    </row>
    <row r="11" spans="1:11" ht="15.75" thickBot="1" x14ac:dyDescent="0.3">
      <c r="A11" s="88" t="s">
        <v>206</v>
      </c>
      <c r="B11" s="88" t="s">
        <v>565</v>
      </c>
      <c r="C11" s="89">
        <v>46082</v>
      </c>
      <c r="D11" s="90"/>
      <c r="E11" s="90"/>
      <c r="F11" s="391">
        <v>350</v>
      </c>
      <c r="G11" s="90"/>
      <c r="H11" s="90"/>
      <c r="I11" s="90"/>
      <c r="J11" s="348"/>
      <c r="K11" s="87">
        <f t="shared" si="0"/>
        <v>350</v>
      </c>
    </row>
    <row r="12" spans="1:11" ht="15.75" thickBot="1" x14ac:dyDescent="0.3">
      <c r="A12" s="510" t="s">
        <v>409</v>
      </c>
      <c r="B12" s="500" t="s">
        <v>566</v>
      </c>
      <c r="C12" s="89">
        <v>46023</v>
      </c>
      <c r="D12" s="116"/>
      <c r="E12" s="116"/>
      <c r="F12" s="392">
        <v>200</v>
      </c>
      <c r="G12" s="116"/>
      <c r="H12" s="90"/>
      <c r="I12" s="90"/>
      <c r="J12" s="348"/>
      <c r="K12" s="87">
        <f t="shared" si="0"/>
        <v>200</v>
      </c>
    </row>
    <row r="13" spans="1:11" ht="15.75" thickBot="1" x14ac:dyDescent="0.3">
      <c r="A13" s="511"/>
      <c r="B13" s="501"/>
      <c r="C13" s="89">
        <v>46054</v>
      </c>
      <c r="D13" s="90"/>
      <c r="E13" s="90"/>
      <c r="F13" s="391">
        <v>100</v>
      </c>
      <c r="G13" s="90"/>
      <c r="H13" s="90"/>
      <c r="I13" s="90"/>
      <c r="J13" s="348"/>
      <c r="K13" s="87">
        <f t="shared" si="0"/>
        <v>100</v>
      </c>
    </row>
    <row r="14" spans="1:11" ht="15.75" thickBot="1" x14ac:dyDescent="0.3">
      <c r="A14" s="376" t="s">
        <v>166</v>
      </c>
      <c r="B14" s="222" t="s">
        <v>568</v>
      </c>
      <c r="C14" s="89">
        <v>46082</v>
      </c>
      <c r="D14" s="90"/>
      <c r="E14" s="90"/>
      <c r="F14" s="391">
        <v>200</v>
      </c>
      <c r="G14" s="90"/>
      <c r="H14" s="90"/>
      <c r="I14" s="90"/>
      <c r="J14" s="348"/>
      <c r="K14" s="87">
        <f t="shared" si="0"/>
        <v>200</v>
      </c>
    </row>
    <row r="15" spans="1:11" ht="15.75" thickBot="1" x14ac:dyDescent="0.3">
      <c r="A15" s="371" t="s">
        <v>80</v>
      </c>
      <c r="B15" s="222" t="s">
        <v>569</v>
      </c>
      <c r="C15" s="89">
        <v>46054</v>
      </c>
      <c r="D15" s="90"/>
      <c r="E15" s="90"/>
      <c r="F15" s="391">
        <v>100</v>
      </c>
      <c r="G15" s="90"/>
      <c r="H15" s="90"/>
      <c r="I15" s="93"/>
      <c r="J15" s="99"/>
      <c r="K15" s="87">
        <f t="shared" si="0"/>
        <v>100</v>
      </c>
    </row>
    <row r="16" spans="1:11" ht="15.75" thickBot="1" x14ac:dyDescent="0.3">
      <c r="A16" s="88" t="s">
        <v>208</v>
      </c>
      <c r="B16" s="88" t="s">
        <v>570</v>
      </c>
      <c r="C16" s="89">
        <v>46082</v>
      </c>
      <c r="D16" s="90"/>
      <c r="E16" s="90"/>
      <c r="F16" s="391">
        <v>150</v>
      </c>
      <c r="G16" s="90"/>
      <c r="H16" s="90"/>
      <c r="I16" s="90"/>
      <c r="J16" s="348"/>
      <c r="K16" s="87">
        <f t="shared" si="0"/>
        <v>150</v>
      </c>
    </row>
    <row r="17" spans="1:11" ht="15.75" thickBot="1" x14ac:dyDescent="0.3">
      <c r="A17" s="370" t="s">
        <v>211</v>
      </c>
      <c r="B17" s="88" t="s">
        <v>571</v>
      </c>
      <c r="C17" s="89">
        <v>46082</v>
      </c>
      <c r="D17" s="90"/>
      <c r="E17" s="90"/>
      <c r="F17" s="391">
        <v>150</v>
      </c>
      <c r="G17" s="90"/>
      <c r="H17" s="90"/>
      <c r="I17" s="90"/>
      <c r="J17" s="348"/>
      <c r="K17" s="87">
        <f t="shared" si="0"/>
        <v>150</v>
      </c>
    </row>
    <row r="18" spans="1:11" ht="15.75" thickBot="1" x14ac:dyDescent="0.3">
      <c r="A18" s="372" t="s">
        <v>193</v>
      </c>
      <c r="B18" s="370" t="s">
        <v>573</v>
      </c>
      <c r="C18" s="222">
        <v>46082</v>
      </c>
      <c r="D18" s="90"/>
      <c r="E18" s="90"/>
      <c r="F18" s="391">
        <v>300</v>
      </c>
      <c r="G18" s="90"/>
      <c r="H18" s="90"/>
      <c r="I18" s="90"/>
      <c r="J18" s="348"/>
      <c r="K18" s="87">
        <f t="shared" si="0"/>
        <v>300</v>
      </c>
    </row>
    <row r="19" spans="1:11" ht="15.75" thickBot="1" x14ac:dyDescent="0.3">
      <c r="A19" s="373" t="s">
        <v>574</v>
      </c>
      <c r="B19" s="370" t="s">
        <v>575</v>
      </c>
      <c r="C19" s="222">
        <v>46082</v>
      </c>
      <c r="D19" s="90"/>
      <c r="E19" s="90"/>
      <c r="F19" s="391">
        <v>100</v>
      </c>
      <c r="G19" s="90"/>
      <c r="H19" s="90"/>
      <c r="I19" s="90"/>
      <c r="J19" s="348"/>
      <c r="K19" s="87">
        <f t="shared" si="0"/>
        <v>100</v>
      </c>
    </row>
    <row r="20" spans="1:11" ht="15.75" thickBot="1" x14ac:dyDescent="0.3">
      <c r="A20" s="99" t="s">
        <v>82</v>
      </c>
      <c r="B20" s="373" t="s">
        <v>576</v>
      </c>
      <c r="C20" s="222">
        <v>46082</v>
      </c>
      <c r="D20" s="90"/>
      <c r="E20" s="90"/>
      <c r="F20" s="391">
        <v>100</v>
      </c>
      <c r="G20" s="90"/>
      <c r="H20" s="90"/>
      <c r="I20" s="90"/>
      <c r="J20" s="348"/>
      <c r="K20" s="87">
        <f t="shared" si="0"/>
        <v>100</v>
      </c>
    </row>
    <row r="21" spans="1:11" ht="15.75" thickBot="1" x14ac:dyDescent="0.3">
      <c r="A21" s="99" t="s">
        <v>253</v>
      </c>
      <c r="B21" s="373" t="s">
        <v>577</v>
      </c>
      <c r="C21" s="222">
        <v>46082</v>
      </c>
      <c r="D21" s="90"/>
      <c r="E21" s="90"/>
      <c r="F21" s="391">
        <v>300</v>
      </c>
      <c r="G21" s="90"/>
      <c r="H21" s="90"/>
      <c r="I21" s="90"/>
      <c r="J21" s="348"/>
      <c r="K21" s="87">
        <f t="shared" si="0"/>
        <v>300</v>
      </c>
    </row>
    <row r="22" spans="1:11" ht="15.75" thickBot="1" x14ac:dyDescent="0.3">
      <c r="A22" s="99" t="s">
        <v>263</v>
      </c>
      <c r="B22" s="373" t="s">
        <v>578</v>
      </c>
      <c r="C22" s="89">
        <v>46054</v>
      </c>
      <c r="D22" s="90"/>
      <c r="E22" s="90"/>
      <c r="F22" s="391">
        <v>200</v>
      </c>
      <c r="G22" s="90"/>
      <c r="H22" s="90"/>
      <c r="I22" s="90"/>
      <c r="J22" s="348"/>
      <c r="K22" s="87">
        <f t="shared" si="0"/>
        <v>200</v>
      </c>
    </row>
    <row r="23" spans="1:11" ht="15.75" thickBot="1" x14ac:dyDescent="0.3">
      <c r="A23" s="100" t="s">
        <v>220</v>
      </c>
      <c r="B23" s="373" t="s">
        <v>622</v>
      </c>
      <c r="C23" s="222">
        <v>46082</v>
      </c>
      <c r="D23" s="90"/>
      <c r="E23" s="90"/>
      <c r="F23" s="391">
        <v>100</v>
      </c>
      <c r="G23" s="90"/>
      <c r="H23" s="90"/>
      <c r="I23" s="90"/>
      <c r="J23" s="348"/>
      <c r="K23" s="87">
        <f t="shared" si="0"/>
        <v>100</v>
      </c>
    </row>
    <row r="24" spans="1:11" ht="15.75" thickBot="1" x14ac:dyDescent="0.3">
      <c r="A24" s="99" t="s">
        <v>226</v>
      </c>
      <c r="B24" s="373" t="s">
        <v>623</v>
      </c>
      <c r="C24" s="222">
        <v>46082</v>
      </c>
      <c r="D24" s="90"/>
      <c r="E24" s="90"/>
      <c r="F24" s="391">
        <v>200</v>
      </c>
      <c r="G24" s="90"/>
      <c r="H24" s="90"/>
      <c r="I24" s="90"/>
      <c r="J24" s="348"/>
      <c r="K24" s="87">
        <f t="shared" si="0"/>
        <v>200</v>
      </c>
    </row>
    <row r="25" spans="1:11" ht="15.75" thickBot="1" x14ac:dyDescent="0.3">
      <c r="A25" s="99" t="s">
        <v>38</v>
      </c>
      <c r="B25" s="373" t="s">
        <v>629</v>
      </c>
      <c r="C25" s="89">
        <v>46113</v>
      </c>
      <c r="D25" s="90"/>
      <c r="E25" s="90"/>
      <c r="F25" s="391"/>
      <c r="G25" s="90"/>
      <c r="H25" s="90">
        <v>64</v>
      </c>
      <c r="I25" s="90"/>
      <c r="J25" s="348"/>
      <c r="K25" s="87">
        <f t="shared" si="0"/>
        <v>64</v>
      </c>
    </row>
    <row r="26" spans="1:11" ht="15.75" thickBot="1" x14ac:dyDescent="0.3">
      <c r="A26" s="99"/>
      <c r="B26" s="373"/>
      <c r="C26" s="89"/>
      <c r="D26" s="90"/>
      <c r="E26" s="90"/>
      <c r="F26" s="391"/>
      <c r="G26" s="90"/>
      <c r="H26" s="90"/>
      <c r="I26" s="90"/>
      <c r="J26" s="348"/>
      <c r="K26" s="87"/>
    </row>
    <row r="27" spans="1:11" ht="15.75" thickBot="1" x14ac:dyDescent="0.3">
      <c r="A27" s="99" t="s">
        <v>228</v>
      </c>
      <c r="B27" s="373" t="s">
        <v>626</v>
      </c>
      <c r="C27" s="222">
        <v>46082</v>
      </c>
      <c r="D27" s="90">
        <v>8</v>
      </c>
      <c r="E27" s="90">
        <v>6</v>
      </c>
      <c r="F27" s="391"/>
      <c r="G27" s="90"/>
      <c r="H27" s="90"/>
      <c r="I27" s="90"/>
      <c r="J27" s="348"/>
      <c r="K27" s="87">
        <f t="shared" si="0"/>
        <v>14</v>
      </c>
    </row>
    <row r="28" spans="1:11" ht="15.75" thickBot="1" x14ac:dyDescent="0.3">
      <c r="A28" s="500" t="s">
        <v>583</v>
      </c>
      <c r="B28" s="510" t="s">
        <v>584</v>
      </c>
      <c r="C28" s="89">
        <v>46054</v>
      </c>
      <c r="D28" s="90">
        <v>14.4</v>
      </c>
      <c r="E28" s="90">
        <v>6</v>
      </c>
      <c r="F28" s="391"/>
      <c r="G28" s="90"/>
      <c r="H28" s="90"/>
      <c r="I28" s="90"/>
      <c r="J28" s="348"/>
      <c r="K28" s="87">
        <f t="shared" si="0"/>
        <v>20.399999999999999</v>
      </c>
    </row>
    <row r="29" spans="1:11" ht="15.75" thickBot="1" x14ac:dyDescent="0.3">
      <c r="A29" s="501"/>
      <c r="B29" s="511"/>
      <c r="C29" s="222">
        <v>46082</v>
      </c>
      <c r="D29" s="90">
        <v>5.6</v>
      </c>
      <c r="E29" s="90">
        <v>6</v>
      </c>
      <c r="F29" s="391"/>
      <c r="G29" s="90"/>
      <c r="H29" s="90"/>
      <c r="I29" s="90"/>
      <c r="J29" s="348"/>
      <c r="K29" s="87">
        <f t="shared" si="0"/>
        <v>11.6</v>
      </c>
    </row>
    <row r="30" spans="1:11" ht="15.75" thickBot="1" x14ac:dyDescent="0.3">
      <c r="A30" s="370" t="s">
        <v>585</v>
      </c>
      <c r="B30" s="90" t="s">
        <v>586</v>
      </c>
      <c r="C30" s="222">
        <v>46082</v>
      </c>
      <c r="D30" s="90">
        <v>6.3</v>
      </c>
      <c r="E30" s="90">
        <v>6</v>
      </c>
      <c r="F30" s="391"/>
      <c r="G30" s="90"/>
      <c r="H30" s="90"/>
      <c r="I30" s="90"/>
      <c r="J30" s="348"/>
      <c r="K30" s="87">
        <f t="shared" si="0"/>
        <v>12.3</v>
      </c>
    </row>
    <row r="31" spans="1:11" ht="15.75" thickBot="1" x14ac:dyDescent="0.3">
      <c r="A31" s="500" t="s">
        <v>587</v>
      </c>
      <c r="B31" s="536" t="s">
        <v>588</v>
      </c>
      <c r="C31" s="222">
        <v>45870</v>
      </c>
      <c r="D31" s="90"/>
      <c r="E31" s="90"/>
      <c r="F31" s="391"/>
      <c r="G31" s="90">
        <v>15</v>
      </c>
      <c r="H31" s="90"/>
      <c r="I31" s="90"/>
      <c r="J31" s="348"/>
      <c r="K31" s="87">
        <f t="shared" si="0"/>
        <v>15</v>
      </c>
    </row>
    <row r="32" spans="1:11" ht="15.75" thickBot="1" x14ac:dyDescent="0.3">
      <c r="A32" s="506"/>
      <c r="B32" s="537"/>
      <c r="C32" s="89">
        <v>46054</v>
      </c>
      <c r="D32" s="90">
        <v>8.9</v>
      </c>
      <c r="E32" s="90">
        <v>6</v>
      </c>
      <c r="F32" s="391"/>
      <c r="G32" s="90"/>
      <c r="H32" s="90"/>
      <c r="I32" s="90"/>
      <c r="J32" s="348"/>
      <c r="K32" s="87">
        <f t="shared" si="0"/>
        <v>14.9</v>
      </c>
    </row>
    <row r="33" spans="1:11" ht="15.75" thickBot="1" x14ac:dyDescent="0.3">
      <c r="A33" s="501"/>
      <c r="B33" s="538"/>
      <c r="C33" s="222">
        <v>46082</v>
      </c>
      <c r="D33" s="90">
        <v>6.5</v>
      </c>
      <c r="E33" s="90">
        <v>6</v>
      </c>
      <c r="F33" s="391"/>
      <c r="G33" s="90"/>
      <c r="H33" s="90"/>
      <c r="I33" s="90"/>
      <c r="J33" s="348"/>
      <c r="K33" s="87">
        <f t="shared" si="0"/>
        <v>12.5</v>
      </c>
    </row>
    <row r="34" spans="1:11" ht="15.75" thickBot="1" x14ac:dyDescent="0.3">
      <c r="A34" s="500" t="s">
        <v>594</v>
      </c>
      <c r="B34" s="485" t="s">
        <v>595</v>
      </c>
      <c r="C34" s="89">
        <v>45931</v>
      </c>
      <c r="D34" s="90">
        <v>10.6</v>
      </c>
      <c r="E34" s="90">
        <v>6</v>
      </c>
      <c r="F34" s="391"/>
      <c r="G34" s="90"/>
      <c r="H34" s="90"/>
      <c r="I34" s="90"/>
      <c r="J34" s="348"/>
      <c r="K34" s="87">
        <f t="shared" si="0"/>
        <v>16.600000000000001</v>
      </c>
    </row>
    <row r="35" spans="1:11" ht="15.75" thickBot="1" x14ac:dyDescent="0.3">
      <c r="A35" s="506"/>
      <c r="B35" s="486"/>
      <c r="C35" s="89">
        <v>45962</v>
      </c>
      <c r="D35" s="90">
        <v>8.5</v>
      </c>
      <c r="E35" s="90">
        <v>5</v>
      </c>
      <c r="F35" s="391"/>
      <c r="G35" s="90"/>
      <c r="H35" s="90"/>
      <c r="I35" s="90"/>
      <c r="J35" s="348"/>
      <c r="K35" s="87">
        <f t="shared" si="0"/>
        <v>13.5</v>
      </c>
    </row>
    <row r="36" spans="1:11" ht="15.75" thickBot="1" x14ac:dyDescent="0.3">
      <c r="A36" s="506"/>
      <c r="B36" s="486"/>
      <c r="C36" s="89">
        <v>45992</v>
      </c>
      <c r="D36" s="90">
        <v>9.4</v>
      </c>
      <c r="E36" s="90">
        <v>5</v>
      </c>
      <c r="F36" s="391"/>
      <c r="G36" s="90"/>
      <c r="H36" s="90"/>
      <c r="I36" s="90"/>
      <c r="J36" s="348"/>
      <c r="K36" s="87">
        <f t="shared" si="0"/>
        <v>14.4</v>
      </c>
    </row>
    <row r="37" spans="1:11" ht="15.75" thickBot="1" x14ac:dyDescent="0.3">
      <c r="A37" s="506"/>
      <c r="B37" s="486"/>
      <c r="C37" s="89">
        <v>46023</v>
      </c>
      <c r="D37" s="90">
        <v>11.6</v>
      </c>
      <c r="E37" s="90">
        <v>3</v>
      </c>
      <c r="F37" s="391"/>
      <c r="G37" s="90"/>
      <c r="H37" s="90"/>
      <c r="I37" s="90"/>
      <c r="J37" s="348"/>
      <c r="K37" s="87">
        <f t="shared" si="0"/>
        <v>14.6</v>
      </c>
    </row>
    <row r="38" spans="1:11" ht="15.75" thickBot="1" x14ac:dyDescent="0.3">
      <c r="A38" s="506"/>
      <c r="B38" s="487"/>
      <c r="C38" s="89">
        <v>46054</v>
      </c>
      <c r="D38" s="90">
        <v>11.6</v>
      </c>
      <c r="E38" s="90">
        <v>6</v>
      </c>
      <c r="F38" s="391"/>
      <c r="G38" s="90"/>
      <c r="H38" s="90"/>
      <c r="I38" s="90"/>
      <c r="J38" s="348"/>
      <c r="K38" s="87">
        <f t="shared" si="0"/>
        <v>17.600000000000001</v>
      </c>
    </row>
    <row r="39" spans="1:11" ht="15.75" thickBot="1" x14ac:dyDescent="0.3">
      <c r="A39" s="501"/>
      <c r="B39" s="373" t="s">
        <v>596</v>
      </c>
      <c r="C39" s="89">
        <v>46082</v>
      </c>
      <c r="D39" s="90">
        <v>9.6</v>
      </c>
      <c r="E39" s="90">
        <v>6</v>
      </c>
      <c r="F39" s="391"/>
      <c r="G39" s="90"/>
      <c r="H39" s="90"/>
      <c r="I39" s="90"/>
      <c r="J39" s="348"/>
      <c r="K39" s="87">
        <f t="shared" si="0"/>
        <v>15.6</v>
      </c>
    </row>
    <row r="40" spans="1:11" ht="15.75" thickBot="1" x14ac:dyDescent="0.3">
      <c r="A40" s="100" t="s">
        <v>220</v>
      </c>
      <c r="B40" s="373" t="s">
        <v>624</v>
      </c>
      <c r="C40" s="89">
        <v>46082</v>
      </c>
      <c r="D40" s="90">
        <v>5.6</v>
      </c>
      <c r="E40" s="90">
        <v>15</v>
      </c>
      <c r="F40" s="391"/>
      <c r="G40" s="90"/>
      <c r="H40" s="90"/>
      <c r="I40" s="90"/>
      <c r="J40" s="348"/>
      <c r="K40" s="87">
        <f t="shared" si="0"/>
        <v>20.6</v>
      </c>
    </row>
    <row r="41" spans="1:11" ht="15.75" thickBot="1" x14ac:dyDescent="0.3">
      <c r="A41" s="99" t="s">
        <v>226</v>
      </c>
      <c r="B41" s="373" t="s">
        <v>625</v>
      </c>
      <c r="C41" s="89">
        <v>46082</v>
      </c>
      <c r="D41" s="90">
        <v>34</v>
      </c>
      <c r="E41" s="90">
        <v>6</v>
      </c>
      <c r="F41" s="90"/>
      <c r="G41" s="90"/>
      <c r="H41" s="90"/>
      <c r="I41" s="90"/>
      <c r="J41" s="348"/>
      <c r="K41" s="87">
        <f t="shared" si="0"/>
        <v>40</v>
      </c>
    </row>
    <row r="42" spans="1:11" ht="15.75" thickBot="1" x14ac:dyDescent="0.3">
      <c r="A42" s="100"/>
      <c r="B42" s="373"/>
      <c r="C42" s="89"/>
      <c r="D42" s="90"/>
      <c r="E42" s="90"/>
      <c r="F42" s="90"/>
      <c r="G42" s="90"/>
      <c r="H42" s="90"/>
      <c r="I42" s="90"/>
      <c r="J42" s="348"/>
      <c r="K42" s="87">
        <f t="shared" si="0"/>
        <v>0</v>
      </c>
    </row>
    <row r="43" spans="1:11" ht="15.75" thickBot="1" x14ac:dyDescent="0.3">
      <c r="A43" s="377"/>
      <c r="B43" s="377"/>
      <c r="C43" s="89"/>
      <c r="D43" s="90"/>
      <c r="E43" s="90"/>
      <c r="F43" s="90"/>
      <c r="G43" s="90"/>
      <c r="H43" s="90"/>
      <c r="I43" s="90"/>
      <c r="J43" s="348"/>
      <c r="K43" s="87">
        <f t="shared" si="0"/>
        <v>0</v>
      </c>
    </row>
    <row r="44" spans="1:11" ht="15.75" thickBot="1" x14ac:dyDescent="0.3">
      <c r="A44" s="373"/>
      <c r="B44" s="375"/>
      <c r="C44" s="103"/>
      <c r="D44" s="104"/>
      <c r="E44" s="104"/>
      <c r="F44" s="104"/>
      <c r="G44" s="104"/>
      <c r="H44" s="104"/>
      <c r="I44" s="104"/>
      <c r="J44" s="349"/>
      <c r="K44" s="87">
        <f t="shared" si="0"/>
        <v>0</v>
      </c>
    </row>
    <row r="45" spans="1:11" ht="19.5" thickBot="1" x14ac:dyDescent="0.35">
      <c r="A45" s="105" t="s">
        <v>4</v>
      </c>
      <c r="B45" s="86"/>
      <c r="C45" s="106"/>
      <c r="D45" s="108">
        <f t="shared" ref="D45:K45" si="1">SUM(D4:D44)</f>
        <v>150.59999999999997</v>
      </c>
      <c r="E45" s="108">
        <f t="shared" si="1"/>
        <v>88</v>
      </c>
      <c r="F45" s="108">
        <f t="shared" si="1"/>
        <v>3300</v>
      </c>
      <c r="G45" s="108">
        <f t="shared" si="1"/>
        <v>15</v>
      </c>
      <c r="H45" s="108">
        <f t="shared" si="1"/>
        <v>64</v>
      </c>
      <c r="I45" s="108">
        <f t="shared" si="1"/>
        <v>10</v>
      </c>
      <c r="J45" s="108">
        <f t="shared" si="1"/>
        <v>0</v>
      </c>
      <c r="K45" s="108">
        <f t="shared" si="1"/>
        <v>3627.6</v>
      </c>
    </row>
    <row r="46" spans="1:11" ht="19.5" thickBot="1" x14ac:dyDescent="0.35">
      <c r="A46" s="2"/>
      <c r="B46" s="109"/>
      <c r="C46" s="110"/>
      <c r="D46" s="111"/>
      <c r="E46" s="111"/>
      <c r="F46" s="111"/>
      <c r="G46" s="111"/>
      <c r="H46" s="111"/>
      <c r="I46" s="111"/>
      <c r="J46" s="111"/>
      <c r="K46" s="111"/>
    </row>
    <row r="47" spans="1:11" ht="24" thickBot="1" x14ac:dyDescent="0.4">
      <c r="A47" s="112" t="s">
        <v>40</v>
      </c>
      <c r="B47" s="109"/>
      <c r="C47" s="110"/>
      <c r="D47" s="111"/>
      <c r="E47" s="111"/>
      <c r="F47" s="111"/>
      <c r="G47" s="111"/>
      <c r="H47" s="111"/>
      <c r="I47" s="111"/>
      <c r="J47" s="111"/>
      <c r="K47" s="111"/>
    </row>
    <row r="48" spans="1:11" ht="15.75" thickBot="1" x14ac:dyDescent="0.3">
      <c r="A48" s="113" t="s">
        <v>3</v>
      </c>
      <c r="B48" s="86" t="s">
        <v>32</v>
      </c>
      <c r="C48" s="114" t="s">
        <v>41</v>
      </c>
      <c r="D48" s="114" t="s">
        <v>34</v>
      </c>
      <c r="E48" s="114" t="s">
        <v>35</v>
      </c>
      <c r="F48" s="86" t="s">
        <v>36</v>
      </c>
      <c r="G48" s="86" t="s">
        <v>37</v>
      </c>
      <c r="H48" s="86" t="s">
        <v>42</v>
      </c>
      <c r="I48" s="86" t="s">
        <v>39</v>
      </c>
      <c r="J48" s="86"/>
      <c r="K48" s="115" t="s">
        <v>4</v>
      </c>
    </row>
    <row r="49" spans="1:11" ht="15.75" thickBot="1" x14ac:dyDescent="0.3">
      <c r="A49" s="376" t="s">
        <v>218</v>
      </c>
      <c r="B49" s="222" t="s">
        <v>559</v>
      </c>
      <c r="C49" s="222">
        <v>46023</v>
      </c>
      <c r="D49" s="116"/>
      <c r="E49" s="117"/>
      <c r="F49" s="116">
        <v>150</v>
      </c>
      <c r="G49" s="116"/>
      <c r="H49" s="118"/>
      <c r="I49" s="118"/>
      <c r="J49" s="118"/>
      <c r="K49" s="119">
        <f>SUM(D49:I49)</f>
        <v>150</v>
      </c>
    </row>
    <row r="50" spans="1:11" ht="15.75" thickBot="1" x14ac:dyDescent="0.3">
      <c r="A50" s="376" t="s">
        <v>166</v>
      </c>
      <c r="B50" s="222" t="s">
        <v>567</v>
      </c>
      <c r="C50" s="222">
        <v>46082</v>
      </c>
      <c r="D50" s="116"/>
      <c r="E50" s="117"/>
      <c r="F50" s="116">
        <v>100</v>
      </c>
      <c r="G50" s="116"/>
      <c r="H50" s="118"/>
      <c r="I50" s="118"/>
      <c r="J50" s="118"/>
      <c r="K50" s="119">
        <f t="shared" ref="K50:K68" si="2">SUM(D50:I50)</f>
        <v>100</v>
      </c>
    </row>
    <row r="51" spans="1:11" ht="15.75" thickBot="1" x14ac:dyDescent="0.3">
      <c r="A51" s="376" t="s">
        <v>193</v>
      </c>
      <c r="B51" s="376" t="s">
        <v>572</v>
      </c>
      <c r="C51" s="222">
        <v>46082</v>
      </c>
      <c r="D51" s="228"/>
      <c r="E51" s="228"/>
      <c r="F51" s="228">
        <v>400</v>
      </c>
      <c r="G51" s="228"/>
      <c r="H51" s="225"/>
      <c r="I51" s="225"/>
      <c r="J51" s="225"/>
      <c r="K51" s="119">
        <f t="shared" si="2"/>
        <v>400</v>
      </c>
    </row>
    <row r="52" spans="1:11" ht="15.75" thickBot="1" x14ac:dyDescent="0.3">
      <c r="A52" s="376" t="s">
        <v>215</v>
      </c>
      <c r="B52" s="376" t="s">
        <v>579</v>
      </c>
      <c r="C52" s="89">
        <v>46054</v>
      </c>
      <c r="D52" s="228"/>
      <c r="E52" s="228"/>
      <c r="F52" s="228">
        <v>200</v>
      </c>
      <c r="G52" s="228"/>
      <c r="H52" s="225"/>
      <c r="I52" s="225"/>
      <c r="J52" s="225"/>
      <c r="K52" s="119">
        <f t="shared" si="2"/>
        <v>200</v>
      </c>
    </row>
    <row r="53" spans="1:11" ht="15.75" thickBot="1" x14ac:dyDescent="0.3">
      <c r="A53" s="99" t="s">
        <v>213</v>
      </c>
      <c r="B53" s="373" t="s">
        <v>580</v>
      </c>
      <c r="C53" s="89">
        <v>46054</v>
      </c>
      <c r="D53" s="90"/>
      <c r="E53" s="90"/>
      <c r="F53" s="391">
        <v>100</v>
      </c>
      <c r="G53" s="228"/>
      <c r="H53" s="225"/>
      <c r="I53" s="225"/>
      <c r="J53" s="225"/>
      <c r="K53" s="119">
        <f t="shared" si="2"/>
        <v>100</v>
      </c>
    </row>
    <row r="54" spans="1:11" ht="15.75" thickBot="1" x14ac:dyDescent="0.3">
      <c r="A54" s="376" t="s">
        <v>581</v>
      </c>
      <c r="B54" s="376" t="s">
        <v>582</v>
      </c>
      <c r="C54" s="222">
        <v>46082</v>
      </c>
      <c r="D54" s="228">
        <v>13.3</v>
      </c>
      <c r="E54" s="228">
        <v>6</v>
      </c>
      <c r="F54" s="228"/>
      <c r="G54" s="228"/>
      <c r="H54" s="225"/>
      <c r="I54" s="225"/>
      <c r="J54" s="225"/>
      <c r="K54" s="119">
        <f t="shared" si="2"/>
        <v>19.3</v>
      </c>
    </row>
    <row r="55" spans="1:11" ht="15.75" thickBot="1" x14ac:dyDescent="0.3">
      <c r="A55" s="510" t="s">
        <v>589</v>
      </c>
      <c r="B55" s="510" t="s">
        <v>590</v>
      </c>
      <c r="C55" s="222">
        <v>45962</v>
      </c>
      <c r="D55" s="228">
        <v>9.1999999999999993</v>
      </c>
      <c r="E55" s="228">
        <v>5</v>
      </c>
      <c r="F55" s="228"/>
      <c r="G55" s="228"/>
      <c r="H55" s="225"/>
      <c r="I55" s="225"/>
      <c r="J55" s="225"/>
      <c r="K55" s="119">
        <f t="shared" si="2"/>
        <v>14.2</v>
      </c>
    </row>
    <row r="56" spans="1:11" ht="15.75" thickBot="1" x14ac:dyDescent="0.3">
      <c r="A56" s="535"/>
      <c r="B56" s="535"/>
      <c r="C56" s="222">
        <v>45992</v>
      </c>
      <c r="D56" s="228">
        <v>8.9</v>
      </c>
      <c r="E56" s="228">
        <v>5</v>
      </c>
      <c r="F56" s="228"/>
      <c r="G56" s="228"/>
      <c r="H56" s="225"/>
      <c r="I56" s="225"/>
      <c r="J56" s="225"/>
      <c r="K56" s="119">
        <f t="shared" si="2"/>
        <v>13.9</v>
      </c>
    </row>
    <row r="57" spans="1:11" ht="15.75" thickBot="1" x14ac:dyDescent="0.3">
      <c r="A57" s="535"/>
      <c r="B57" s="535"/>
      <c r="C57" s="222">
        <v>46023</v>
      </c>
      <c r="D57" s="228">
        <v>7</v>
      </c>
      <c r="E57" s="228">
        <v>3</v>
      </c>
      <c r="F57" s="228"/>
      <c r="G57" s="228"/>
      <c r="H57" s="225"/>
      <c r="I57" s="225"/>
      <c r="J57" s="225"/>
      <c r="K57" s="119">
        <f t="shared" si="2"/>
        <v>10</v>
      </c>
    </row>
    <row r="58" spans="1:11" ht="15.75" thickBot="1" x14ac:dyDescent="0.3">
      <c r="A58" s="535"/>
      <c r="B58" s="511"/>
      <c r="C58" s="222">
        <v>46054</v>
      </c>
      <c r="D58" s="228">
        <v>9</v>
      </c>
      <c r="E58" s="228">
        <v>6</v>
      </c>
      <c r="F58" s="228"/>
      <c r="G58" s="228"/>
      <c r="H58" s="225"/>
      <c r="I58" s="225"/>
      <c r="J58" s="225"/>
      <c r="K58" s="119">
        <f t="shared" si="2"/>
        <v>15</v>
      </c>
    </row>
    <row r="59" spans="1:11" ht="15.75" thickBot="1" x14ac:dyDescent="0.3">
      <c r="A59" s="511"/>
      <c r="B59" s="376" t="s">
        <v>591</v>
      </c>
      <c r="C59" s="222">
        <v>46082</v>
      </c>
      <c r="D59" s="228">
        <v>7</v>
      </c>
      <c r="E59" s="228">
        <v>6</v>
      </c>
      <c r="F59" s="228"/>
      <c r="G59" s="228"/>
      <c r="H59" s="225"/>
      <c r="I59" s="225"/>
      <c r="J59" s="225"/>
      <c r="K59" s="119">
        <f t="shared" si="2"/>
        <v>13</v>
      </c>
    </row>
    <row r="60" spans="1:11" ht="15.75" thickBot="1" x14ac:dyDescent="0.3">
      <c r="A60" s="510" t="s">
        <v>592</v>
      </c>
      <c r="B60" s="510" t="s">
        <v>593</v>
      </c>
      <c r="C60" s="222">
        <v>45962</v>
      </c>
      <c r="D60" s="228">
        <v>37</v>
      </c>
      <c r="E60" s="228">
        <v>5</v>
      </c>
      <c r="F60" s="228"/>
      <c r="G60" s="228"/>
      <c r="H60" s="225"/>
      <c r="I60" s="225"/>
      <c r="J60" s="225"/>
      <c r="K60" s="119">
        <f t="shared" si="2"/>
        <v>42</v>
      </c>
    </row>
    <row r="61" spans="1:11" ht="15.75" thickBot="1" x14ac:dyDescent="0.3">
      <c r="A61" s="535"/>
      <c r="B61" s="535"/>
      <c r="C61" s="222">
        <v>45992</v>
      </c>
      <c r="D61" s="228">
        <v>35.5</v>
      </c>
      <c r="E61" s="228">
        <v>5</v>
      </c>
      <c r="F61" s="228"/>
      <c r="G61" s="228"/>
      <c r="H61" s="225"/>
      <c r="I61" s="225"/>
      <c r="J61" s="225"/>
      <c r="K61" s="119">
        <f t="shared" si="2"/>
        <v>40.5</v>
      </c>
    </row>
    <row r="62" spans="1:11" ht="15.75" thickBot="1" x14ac:dyDescent="0.3">
      <c r="A62" s="535"/>
      <c r="B62" s="535"/>
      <c r="C62" s="222">
        <v>46023</v>
      </c>
      <c r="D62" s="228">
        <v>30.8</v>
      </c>
      <c r="E62" s="228">
        <v>3</v>
      </c>
      <c r="F62" s="228"/>
      <c r="G62" s="228"/>
      <c r="H62" s="225"/>
      <c r="I62" s="225"/>
      <c r="J62" s="225"/>
      <c r="K62" s="119">
        <f t="shared" si="2"/>
        <v>33.799999999999997</v>
      </c>
    </row>
    <row r="63" spans="1:11" ht="15.75" thickBot="1" x14ac:dyDescent="0.3">
      <c r="A63" s="535"/>
      <c r="B63" s="535"/>
      <c r="C63" s="222">
        <v>46054</v>
      </c>
      <c r="D63" s="228">
        <v>31.6</v>
      </c>
      <c r="E63" s="228">
        <v>6</v>
      </c>
      <c r="F63" s="228"/>
      <c r="G63" s="228"/>
      <c r="H63" s="225"/>
      <c r="I63" s="225"/>
      <c r="J63" s="225"/>
      <c r="K63" s="119">
        <f t="shared" si="2"/>
        <v>37.6</v>
      </c>
    </row>
    <row r="64" spans="1:11" ht="15.75" thickBot="1" x14ac:dyDescent="0.3">
      <c r="A64" s="511"/>
      <c r="B64" s="511"/>
      <c r="C64" s="222">
        <v>46082</v>
      </c>
      <c r="D64" s="228">
        <v>27.4</v>
      </c>
      <c r="E64" s="228">
        <v>6</v>
      </c>
      <c r="F64" s="228"/>
      <c r="G64" s="228"/>
      <c r="H64" s="225"/>
      <c r="I64" s="225"/>
      <c r="J64" s="225"/>
      <c r="K64" s="119">
        <f t="shared" si="2"/>
        <v>33.4</v>
      </c>
    </row>
    <row r="65" spans="1:14" ht="15.75" thickBot="1" x14ac:dyDescent="0.3">
      <c r="A65" s="376"/>
      <c r="B65" s="376"/>
      <c r="C65" s="222"/>
      <c r="D65" s="228"/>
      <c r="E65" s="228"/>
      <c r="F65" s="228"/>
      <c r="G65" s="228"/>
      <c r="H65" s="225"/>
      <c r="I65" s="225"/>
      <c r="J65" s="225"/>
      <c r="K65" s="119">
        <f t="shared" si="2"/>
        <v>0</v>
      </c>
    </row>
    <row r="66" spans="1:14" ht="15.75" thickBot="1" x14ac:dyDescent="0.3">
      <c r="A66" s="376" t="s">
        <v>627</v>
      </c>
      <c r="B66" s="376" t="s">
        <v>628</v>
      </c>
      <c r="C66" s="222">
        <v>46113</v>
      </c>
      <c r="D66" s="228"/>
      <c r="E66" s="228"/>
      <c r="F66" s="228">
        <v>350</v>
      </c>
      <c r="G66" s="228"/>
      <c r="H66" s="225"/>
      <c r="I66" s="225"/>
      <c r="J66" s="225"/>
      <c r="K66" s="119">
        <f t="shared" si="2"/>
        <v>350</v>
      </c>
    </row>
    <row r="67" spans="1:14" ht="15.75" thickBot="1" x14ac:dyDescent="0.3">
      <c r="A67" s="377"/>
      <c r="B67" s="373"/>
      <c r="C67" s="89"/>
      <c r="D67" s="120"/>
      <c r="E67" s="120"/>
      <c r="F67" s="120"/>
      <c r="G67" s="120"/>
      <c r="H67" s="90"/>
      <c r="I67" s="90"/>
      <c r="J67" s="90"/>
      <c r="K67" s="119">
        <f t="shared" si="2"/>
        <v>0</v>
      </c>
    </row>
    <row r="68" spans="1:14" ht="15.75" thickBot="1" x14ac:dyDescent="0.3">
      <c r="A68" s="86"/>
      <c r="B68" s="121"/>
      <c r="C68" s="89"/>
      <c r="D68" s="120"/>
      <c r="E68" s="120"/>
      <c r="F68" s="120"/>
      <c r="G68" s="120"/>
      <c r="H68" s="90"/>
      <c r="I68" s="90"/>
      <c r="J68" s="90"/>
      <c r="K68" s="119">
        <f t="shared" si="2"/>
        <v>0</v>
      </c>
      <c r="M68" s="122" t="s">
        <v>43</v>
      </c>
      <c r="N68" s="123">
        <f>K69+K77</f>
        <v>1572.7</v>
      </c>
    </row>
    <row r="69" spans="1:14" ht="15.75" thickBot="1" x14ac:dyDescent="0.3">
      <c r="A69" s="86" t="s">
        <v>4</v>
      </c>
      <c r="B69" s="378"/>
      <c r="C69" s="125"/>
      <c r="D69" s="116">
        <f>SUM(D49:D68)</f>
        <v>216.70000000000002</v>
      </c>
      <c r="E69" s="116">
        <f t="shared" ref="E69:J69" si="3">SUM(E49:E68)</f>
        <v>56</v>
      </c>
      <c r="F69" s="116">
        <f>SUM(F49:F68)</f>
        <v>1300</v>
      </c>
      <c r="G69" s="116">
        <f t="shared" si="3"/>
        <v>0</v>
      </c>
      <c r="H69" s="116">
        <f t="shared" si="3"/>
        <v>0</v>
      </c>
      <c r="I69" s="116">
        <f t="shared" si="3"/>
        <v>0</v>
      </c>
      <c r="J69" s="116">
        <f t="shared" si="3"/>
        <v>0</v>
      </c>
      <c r="K69" s="94">
        <f>SUM(K49:K68)</f>
        <v>1572.7</v>
      </c>
    </row>
    <row r="70" spans="1:14" ht="15.75" thickBot="1" x14ac:dyDescent="0.3">
      <c r="A70" s="109"/>
      <c r="B70" s="127"/>
      <c r="C70" s="128"/>
      <c r="D70" s="129"/>
      <c r="E70" s="129"/>
      <c r="F70" s="129"/>
      <c r="G70" s="129"/>
      <c r="H70" s="129"/>
      <c r="I70" s="129"/>
      <c r="J70" s="129"/>
      <c r="K70" s="130"/>
    </row>
    <row r="71" spans="1:14" ht="24" thickBot="1" x14ac:dyDescent="0.4">
      <c r="A71" s="112" t="s">
        <v>40</v>
      </c>
      <c r="B71" s="109"/>
      <c r="C71" s="110"/>
      <c r="D71" s="111"/>
      <c r="E71" s="111"/>
      <c r="F71" s="111"/>
      <c r="G71" s="111"/>
      <c r="H71" s="111"/>
      <c r="I71" s="111"/>
      <c r="J71" s="111"/>
      <c r="K71" s="111"/>
    </row>
    <row r="72" spans="1:14" ht="45.75" thickBot="1" x14ac:dyDescent="0.3">
      <c r="A72" s="131" t="s">
        <v>44</v>
      </c>
      <c r="B72" s="86" t="s">
        <v>45</v>
      </c>
      <c r="C72" s="114" t="s">
        <v>41</v>
      </c>
      <c r="D72" s="114" t="s">
        <v>34</v>
      </c>
      <c r="E72" s="114" t="s">
        <v>35</v>
      </c>
      <c r="F72" s="114" t="s">
        <v>46</v>
      </c>
      <c r="G72" s="114" t="s">
        <v>47</v>
      </c>
      <c r="H72" s="114" t="s">
        <v>42</v>
      </c>
      <c r="I72" s="132" t="s">
        <v>48</v>
      </c>
      <c r="J72" s="86"/>
      <c r="K72" s="115" t="s">
        <v>4</v>
      </c>
    </row>
    <row r="73" spans="1:14" ht="15.75" thickBot="1" x14ac:dyDescent="0.3">
      <c r="A73" s="133"/>
      <c r="B73" s="99"/>
      <c r="C73" s="89"/>
      <c r="D73" s="90"/>
      <c r="E73" s="90"/>
      <c r="F73" s="90"/>
      <c r="G73" s="90"/>
      <c r="H73" s="90"/>
      <c r="I73" s="90"/>
      <c r="J73" s="348"/>
      <c r="K73" s="87">
        <f t="shared" ref="K73:K76" si="4">SUM(D73:I73)</f>
        <v>0</v>
      </c>
    </row>
    <row r="74" spans="1:14" ht="15.75" thickBot="1" x14ac:dyDescent="0.3">
      <c r="A74" s="95"/>
      <c r="B74" s="103"/>
      <c r="C74" s="89"/>
      <c r="D74" s="116"/>
      <c r="E74" s="116"/>
      <c r="F74" s="116"/>
      <c r="G74" s="116"/>
      <c r="H74" s="118"/>
      <c r="I74" s="118"/>
      <c r="J74" s="118"/>
      <c r="K74" s="119">
        <f t="shared" si="4"/>
        <v>0</v>
      </c>
    </row>
    <row r="75" spans="1:14" ht="15.75" thickBot="1" x14ac:dyDescent="0.3">
      <c r="A75" s="377"/>
      <c r="B75" s="373"/>
      <c r="C75" s="89"/>
      <c r="D75" s="120"/>
      <c r="E75" s="120"/>
      <c r="F75" s="120"/>
      <c r="G75" s="120"/>
      <c r="H75" s="90"/>
      <c r="I75" s="90"/>
      <c r="J75" s="90"/>
      <c r="K75" s="119">
        <f t="shared" si="4"/>
        <v>0</v>
      </c>
    </row>
    <row r="76" spans="1:14" ht="15.75" thickBot="1" x14ac:dyDescent="0.3">
      <c r="A76" s="86"/>
      <c r="B76" s="121"/>
      <c r="C76" s="89"/>
      <c r="D76" s="120"/>
      <c r="E76" s="120"/>
      <c r="F76" s="120"/>
      <c r="G76" s="120"/>
      <c r="H76" s="90"/>
      <c r="I76" s="90"/>
      <c r="J76" s="90"/>
      <c r="K76" s="119">
        <f t="shared" si="4"/>
        <v>0</v>
      </c>
      <c r="M76" s="134"/>
      <c r="N76" s="135"/>
    </row>
    <row r="77" spans="1:14" ht="15.75" thickBot="1" x14ac:dyDescent="0.3">
      <c r="A77" s="86" t="s">
        <v>4</v>
      </c>
      <c r="B77" s="378"/>
      <c r="C77" s="125"/>
      <c r="D77" s="116">
        <f>SUM(D73:D76)</f>
        <v>0</v>
      </c>
      <c r="E77" s="116">
        <f t="shared" ref="E77:J77" si="5">SUM(E73:E76)</f>
        <v>0</v>
      </c>
      <c r="F77" s="116">
        <f t="shared" si="5"/>
        <v>0</v>
      </c>
      <c r="G77" s="116">
        <f t="shared" si="5"/>
        <v>0</v>
      </c>
      <c r="H77" s="116">
        <f t="shared" si="5"/>
        <v>0</v>
      </c>
      <c r="I77" s="116">
        <f t="shared" si="5"/>
        <v>0</v>
      </c>
      <c r="J77" s="116">
        <f t="shared" si="5"/>
        <v>0</v>
      </c>
      <c r="K77" s="94">
        <f>SUM(K73:K76)</f>
        <v>0</v>
      </c>
    </row>
    <row r="78" spans="1:14" x14ac:dyDescent="0.25">
      <c r="A78" s="109"/>
      <c r="B78" s="127"/>
      <c r="C78" s="128"/>
      <c r="D78" s="129"/>
      <c r="E78" s="129"/>
      <c r="F78" s="129"/>
      <c r="G78" s="129"/>
      <c r="H78" s="129"/>
      <c r="I78" s="129"/>
      <c r="J78" s="129"/>
      <c r="K78" s="130"/>
    </row>
    <row r="79" spans="1:14" x14ac:dyDescent="0.25">
      <c r="A79" s="109"/>
      <c r="B79" s="127"/>
      <c r="C79" s="128"/>
      <c r="D79" s="129"/>
      <c r="E79" s="129"/>
      <c r="F79" s="129"/>
      <c r="G79" s="129"/>
      <c r="H79" s="129"/>
      <c r="I79" s="129"/>
      <c r="J79" s="129"/>
      <c r="K79" s="130"/>
    </row>
    <row r="80" spans="1:14" ht="15.75" thickBot="1" x14ac:dyDescent="0.3">
      <c r="A80" s="84"/>
      <c r="B80" s="84"/>
      <c r="C80" s="84"/>
      <c r="K80" s="85"/>
    </row>
    <row r="81" spans="1:11" ht="45.75" thickBot="1" x14ac:dyDescent="0.3">
      <c r="A81" s="114" t="s">
        <v>49</v>
      </c>
      <c r="B81" s="86" t="s">
        <v>45</v>
      </c>
      <c r="C81" s="114" t="s">
        <v>41</v>
      </c>
      <c r="D81" s="114" t="s">
        <v>34</v>
      </c>
      <c r="E81" s="114" t="s">
        <v>35</v>
      </c>
      <c r="F81" s="114" t="s">
        <v>46</v>
      </c>
      <c r="G81" s="114" t="s">
        <v>47</v>
      </c>
      <c r="H81" s="86" t="s">
        <v>48</v>
      </c>
      <c r="I81" s="132" t="s">
        <v>42</v>
      </c>
      <c r="J81" s="86" t="s">
        <v>497</v>
      </c>
      <c r="K81" s="115" t="s">
        <v>4</v>
      </c>
    </row>
    <row r="82" spans="1:11" ht="15.75" thickBot="1" x14ac:dyDescent="0.3">
      <c r="A82" s="103" t="s">
        <v>610</v>
      </c>
      <c r="B82" s="103" t="s">
        <v>611</v>
      </c>
      <c r="C82" s="222">
        <v>46023</v>
      </c>
      <c r="D82" s="118">
        <v>39.4</v>
      </c>
      <c r="E82" s="118">
        <v>5</v>
      </c>
      <c r="F82" s="118"/>
      <c r="G82" s="118"/>
      <c r="H82" s="118"/>
      <c r="I82" s="118"/>
      <c r="J82" s="118"/>
      <c r="K82" s="119">
        <f t="shared" ref="K82:K95" si="6">SUM(D82:J82)</f>
        <v>44.4</v>
      </c>
    </row>
    <row r="83" spans="1:11" ht="15.75" thickBot="1" x14ac:dyDescent="0.3">
      <c r="A83" s="103" t="s">
        <v>612</v>
      </c>
      <c r="B83" s="103" t="s">
        <v>613</v>
      </c>
      <c r="C83" s="222">
        <v>46023</v>
      </c>
      <c r="D83" s="118">
        <v>34.4</v>
      </c>
      <c r="E83" s="118">
        <v>5</v>
      </c>
      <c r="F83" s="118">
        <v>60</v>
      </c>
      <c r="G83" s="118">
        <v>5</v>
      </c>
      <c r="H83" s="118"/>
      <c r="I83" s="118"/>
      <c r="J83" s="118"/>
      <c r="K83" s="119">
        <f t="shared" si="6"/>
        <v>104.4</v>
      </c>
    </row>
    <row r="84" spans="1:11" ht="15.75" thickBot="1" x14ac:dyDescent="0.3">
      <c r="A84" s="103" t="s">
        <v>614</v>
      </c>
      <c r="B84" s="103" t="s">
        <v>615</v>
      </c>
      <c r="C84" s="222">
        <v>46082</v>
      </c>
      <c r="D84" s="118">
        <v>958.3</v>
      </c>
      <c r="E84" s="118">
        <v>64.099999999999994</v>
      </c>
      <c r="F84" s="118"/>
      <c r="G84" s="118"/>
      <c r="H84" s="118"/>
      <c r="I84" s="118"/>
      <c r="J84" s="118"/>
      <c r="K84" s="119">
        <f t="shared" si="6"/>
        <v>1022.4</v>
      </c>
    </row>
    <row r="85" spans="1:11" ht="15.75" thickBot="1" x14ac:dyDescent="0.3">
      <c r="A85" s="103" t="s">
        <v>617</v>
      </c>
      <c r="B85" s="103" t="s">
        <v>616</v>
      </c>
      <c r="C85" s="222">
        <v>46082</v>
      </c>
      <c r="D85" s="118">
        <v>1167.5</v>
      </c>
      <c r="E85" s="118">
        <v>16.7</v>
      </c>
      <c r="F85" s="118"/>
      <c r="G85" s="118"/>
      <c r="H85" s="118"/>
      <c r="I85" s="118"/>
      <c r="J85" s="118"/>
      <c r="K85" s="119">
        <f t="shared" si="6"/>
        <v>1184.2</v>
      </c>
    </row>
    <row r="86" spans="1:11" ht="15.75" thickBot="1" x14ac:dyDescent="0.3">
      <c r="A86" s="103"/>
      <c r="B86" s="103"/>
      <c r="C86" s="118"/>
      <c r="D86" s="118"/>
      <c r="E86" s="118"/>
      <c r="F86" s="118"/>
      <c r="G86" s="118"/>
      <c r="H86" s="118"/>
      <c r="I86" s="118"/>
      <c r="J86" s="118"/>
      <c r="K86" s="119">
        <f t="shared" si="6"/>
        <v>0</v>
      </c>
    </row>
    <row r="87" spans="1:11" ht="15.75" thickBot="1" x14ac:dyDescent="0.3">
      <c r="A87" s="373"/>
      <c r="B87" s="103"/>
      <c r="C87" s="103"/>
      <c r="D87" s="118"/>
      <c r="E87" s="118"/>
      <c r="F87" s="118"/>
      <c r="G87" s="118"/>
      <c r="H87" s="118"/>
      <c r="I87" s="118"/>
      <c r="J87" s="118"/>
      <c r="K87" s="119">
        <f t="shared" si="6"/>
        <v>0</v>
      </c>
    </row>
    <row r="88" spans="1:11" ht="15.75" thickBot="1" x14ac:dyDescent="0.3">
      <c r="A88" s="373"/>
      <c r="B88" s="103"/>
      <c r="C88" s="103"/>
      <c r="D88" s="118"/>
      <c r="E88" s="118"/>
      <c r="F88" s="118"/>
      <c r="G88" s="118"/>
      <c r="H88" s="118"/>
      <c r="I88" s="118"/>
      <c r="J88" s="118"/>
      <c r="K88" s="119">
        <f t="shared" si="6"/>
        <v>0</v>
      </c>
    </row>
    <row r="89" spans="1:11" ht="15.75" thickBot="1" x14ac:dyDescent="0.3">
      <c r="A89" s="373"/>
      <c r="B89" s="103"/>
      <c r="C89" s="103"/>
      <c r="D89" s="118"/>
      <c r="E89" s="118"/>
      <c r="F89" s="118"/>
      <c r="G89" s="118"/>
      <c r="H89" s="118"/>
      <c r="I89" s="118"/>
      <c r="J89" s="118"/>
      <c r="K89" s="119">
        <f t="shared" si="6"/>
        <v>0</v>
      </c>
    </row>
    <row r="90" spans="1:11" ht="15.75" thickBot="1" x14ac:dyDescent="0.3">
      <c r="A90" s="373"/>
      <c r="B90" s="103"/>
      <c r="C90" s="103"/>
      <c r="D90" s="118"/>
      <c r="E90" s="118"/>
      <c r="F90" s="118"/>
      <c r="G90" s="118"/>
      <c r="H90" s="118"/>
      <c r="I90" s="118"/>
      <c r="J90" s="118"/>
      <c r="K90" s="119">
        <f t="shared" si="6"/>
        <v>0</v>
      </c>
    </row>
    <row r="91" spans="1:11" ht="15.75" thickBot="1" x14ac:dyDescent="0.3">
      <c r="A91" s="373"/>
      <c r="B91" s="103"/>
      <c r="C91" s="103"/>
      <c r="D91" s="118"/>
      <c r="E91" s="118"/>
      <c r="F91" s="118"/>
      <c r="G91" s="118"/>
      <c r="H91" s="118"/>
      <c r="I91" s="118"/>
      <c r="J91" s="118"/>
      <c r="K91" s="119">
        <f t="shared" si="6"/>
        <v>0</v>
      </c>
    </row>
    <row r="92" spans="1:11" ht="15.75" thickBot="1" x14ac:dyDescent="0.3">
      <c r="A92" s="137"/>
      <c r="B92" s="103"/>
      <c r="C92" s="103"/>
      <c r="D92" s="118"/>
      <c r="E92" s="118"/>
      <c r="F92" s="118"/>
      <c r="G92" s="118"/>
      <c r="H92" s="118"/>
      <c r="I92" s="118"/>
      <c r="J92" s="118"/>
      <c r="K92" s="119">
        <f t="shared" si="6"/>
        <v>0</v>
      </c>
    </row>
    <row r="93" spans="1:11" ht="15.75" thickBot="1" x14ac:dyDescent="0.3">
      <c r="A93" s="121"/>
      <c r="B93" s="103"/>
      <c r="C93" s="103"/>
      <c r="D93" s="118"/>
      <c r="F93" s="118"/>
      <c r="G93" s="118"/>
      <c r="H93" s="118"/>
      <c r="I93" s="118"/>
      <c r="J93" s="118"/>
      <c r="K93" s="119">
        <f t="shared" si="6"/>
        <v>0</v>
      </c>
    </row>
    <row r="94" spans="1:11" ht="15.75" thickBot="1" x14ac:dyDescent="0.3">
      <c r="A94" s="121"/>
      <c r="B94" s="103"/>
      <c r="C94" s="103"/>
      <c r="D94" s="118"/>
      <c r="E94" s="118"/>
      <c r="F94" s="118"/>
      <c r="G94" s="118"/>
      <c r="H94" s="118"/>
      <c r="I94" s="118"/>
      <c r="J94" s="118"/>
      <c r="K94" s="119">
        <f t="shared" si="6"/>
        <v>0</v>
      </c>
    </row>
    <row r="95" spans="1:11" ht="15.75" thickBot="1" x14ac:dyDescent="0.3">
      <c r="A95" s="121"/>
      <c r="B95" s="103"/>
      <c r="C95" s="103"/>
      <c r="D95" s="138"/>
      <c r="E95" s="138"/>
      <c r="F95" s="138"/>
      <c r="G95" s="138"/>
      <c r="H95" s="138"/>
      <c r="I95" s="138"/>
      <c r="J95" s="138"/>
      <c r="K95" s="119">
        <f t="shared" si="6"/>
        <v>0</v>
      </c>
    </row>
    <row r="96" spans="1:11" ht="19.5" thickBot="1" x14ac:dyDescent="0.35">
      <c r="A96" s="105" t="s">
        <v>4</v>
      </c>
      <c r="B96" s="86"/>
      <c r="C96" s="106"/>
      <c r="D96" s="107">
        <f t="shared" ref="D96:I96" si="7">SUM(D82:D95)</f>
        <v>2199.6</v>
      </c>
      <c r="E96" s="107">
        <f t="shared" si="7"/>
        <v>90.8</v>
      </c>
      <c r="F96" s="107">
        <f t="shared" si="7"/>
        <v>60</v>
      </c>
      <c r="G96" s="107">
        <f t="shared" si="7"/>
        <v>5</v>
      </c>
      <c r="H96" s="107">
        <f t="shared" si="7"/>
        <v>0</v>
      </c>
      <c r="I96" s="107">
        <f t="shared" si="7"/>
        <v>0</v>
      </c>
      <c r="J96" s="107"/>
      <c r="K96" s="107">
        <f>SUM(K82:K95)</f>
        <v>2355.4</v>
      </c>
    </row>
    <row r="97" spans="1:12" ht="15.75" x14ac:dyDescent="0.25">
      <c r="A97" s="139"/>
      <c r="B97" s="139"/>
      <c r="C97" s="140"/>
      <c r="D97" s="141"/>
      <c r="E97" s="141"/>
      <c r="F97" s="141"/>
      <c r="G97" s="141"/>
      <c r="H97" s="141"/>
      <c r="I97" s="141"/>
      <c r="J97" s="141"/>
      <c r="K97" s="141"/>
    </row>
    <row r="98" spans="1:12" ht="16.5" thickBot="1" x14ac:dyDescent="0.3">
      <c r="A98" s="139"/>
      <c r="B98" s="139"/>
      <c r="C98" s="140"/>
      <c r="D98" s="141"/>
      <c r="E98" s="141"/>
      <c r="F98" s="141"/>
      <c r="G98" s="141"/>
      <c r="H98" s="141"/>
      <c r="I98" s="141"/>
      <c r="J98" s="141"/>
      <c r="K98" s="141"/>
    </row>
    <row r="99" spans="1:12" ht="19.5" thickBot="1" x14ac:dyDescent="0.35">
      <c r="A99" s="492" t="s">
        <v>50</v>
      </c>
      <c r="B99" s="493"/>
      <c r="C99" s="142"/>
      <c r="D99" s="143"/>
      <c r="E99" s="143"/>
      <c r="F99" s="143"/>
      <c r="G99" s="143"/>
      <c r="H99" s="143"/>
      <c r="I99" s="143"/>
      <c r="J99" s="143"/>
      <c r="K99" s="108">
        <f>+K45+K96</f>
        <v>5983</v>
      </c>
    </row>
    <row r="100" spans="1:12" x14ac:dyDescent="0.25">
      <c r="A100" s="84"/>
      <c r="B100" s="84"/>
      <c r="C100" s="144"/>
      <c r="D100" s="85"/>
      <c r="E100" s="85"/>
      <c r="F100" s="85"/>
      <c r="G100" s="85"/>
      <c r="H100" s="85"/>
      <c r="I100" s="85"/>
      <c r="J100" s="85"/>
      <c r="K100" s="85"/>
    </row>
    <row r="101" spans="1:12" x14ac:dyDescent="0.25">
      <c r="A101" s="84"/>
      <c r="B101" s="84"/>
      <c r="C101" s="144"/>
      <c r="D101" s="85"/>
      <c r="E101" s="85"/>
      <c r="F101" s="85"/>
      <c r="G101" s="85"/>
      <c r="H101" s="85"/>
      <c r="I101" s="85"/>
      <c r="J101" s="85"/>
      <c r="K101" s="85"/>
    </row>
    <row r="102" spans="1:12" ht="16.5" thickBot="1" x14ac:dyDescent="0.3">
      <c r="A102" s="145" t="s">
        <v>500</v>
      </c>
      <c r="B102" s="84"/>
      <c r="C102" s="144"/>
      <c r="D102" s="85"/>
      <c r="E102" s="85"/>
      <c r="F102" s="85"/>
      <c r="G102" s="85"/>
      <c r="H102" s="85"/>
      <c r="I102" s="85"/>
      <c r="J102" s="85"/>
      <c r="K102" s="85"/>
    </row>
    <row r="103" spans="1:12" ht="19.5" thickBot="1" x14ac:dyDescent="0.35">
      <c r="A103" s="146" t="s">
        <v>52</v>
      </c>
      <c r="B103" s="147"/>
      <c r="C103" s="148"/>
      <c r="D103" s="149"/>
      <c r="E103" s="149"/>
      <c r="F103" s="149"/>
      <c r="G103" s="149"/>
      <c r="H103" s="149"/>
      <c r="I103" s="149"/>
      <c r="J103" s="149"/>
      <c r="K103" s="108"/>
    </row>
    <row r="104" spans="1:12" ht="19.5" thickBot="1" x14ac:dyDescent="0.35">
      <c r="A104" s="146" t="s">
        <v>53</v>
      </c>
      <c r="B104" s="147"/>
      <c r="C104" s="150"/>
      <c r="D104" s="149"/>
      <c r="E104" s="149"/>
      <c r="F104" s="149"/>
      <c r="G104" s="149"/>
      <c r="H104" s="149"/>
      <c r="I104" s="149"/>
      <c r="J104" s="149"/>
      <c r="K104" s="108"/>
      <c r="L104" s="41"/>
    </row>
    <row r="105" spans="1:12" ht="18.75" x14ac:dyDescent="0.3">
      <c r="A105" s="151"/>
      <c r="B105" s="151"/>
      <c r="C105" s="152"/>
      <c r="D105" s="153"/>
      <c r="E105" s="153"/>
      <c r="F105" s="153"/>
      <c r="G105" s="153"/>
      <c r="H105" s="153"/>
      <c r="I105" s="153"/>
      <c r="J105" s="153"/>
      <c r="K105" s="111"/>
    </row>
    <row r="106" spans="1:12" ht="18.75" x14ac:dyDescent="0.3">
      <c r="A106" s="151"/>
      <c r="B106" s="151"/>
      <c r="C106" s="152"/>
      <c r="D106" s="153"/>
      <c r="E106" s="153"/>
      <c r="F106" s="153"/>
      <c r="G106" s="153"/>
      <c r="H106" s="153"/>
      <c r="I106" s="153"/>
      <c r="J106" s="153"/>
      <c r="K106" s="111"/>
      <c r="L106" s="41"/>
    </row>
    <row r="107" spans="1:12" ht="16.5" thickBot="1" x14ac:dyDescent="0.3">
      <c r="A107" s="154" t="s">
        <v>54</v>
      </c>
      <c r="B107" s="155"/>
      <c r="C107" s="144"/>
      <c r="D107" s="85"/>
      <c r="E107" s="85"/>
      <c r="F107" s="85"/>
      <c r="G107" s="85"/>
      <c r="H107" s="85"/>
      <c r="I107" s="85"/>
      <c r="J107" s="85"/>
      <c r="K107" s="85"/>
    </row>
    <row r="108" spans="1:12" ht="19.5" thickBot="1" x14ac:dyDescent="0.35">
      <c r="A108" s="156" t="s">
        <v>55</v>
      </c>
      <c r="B108" s="157"/>
      <c r="C108" s="158"/>
      <c r="D108" s="159"/>
      <c r="E108" s="159"/>
      <c r="F108" s="159"/>
      <c r="G108" s="159"/>
      <c r="H108" s="159"/>
      <c r="I108" s="159"/>
      <c r="J108" s="159"/>
      <c r="K108" s="160">
        <v>538</v>
      </c>
    </row>
    <row r="109" spans="1:12" x14ac:dyDescent="0.25">
      <c r="A109" s="161"/>
      <c r="B109" s="84"/>
      <c r="C109" s="144"/>
      <c r="D109" s="85"/>
      <c r="E109" s="85"/>
      <c r="F109" s="85"/>
      <c r="G109" s="85"/>
      <c r="H109" s="85"/>
      <c r="I109" s="85"/>
      <c r="J109" s="85"/>
      <c r="K109" s="85"/>
    </row>
    <row r="110" spans="1:12" ht="16.5" thickBot="1" x14ac:dyDescent="0.3">
      <c r="A110" s="154"/>
      <c r="B110" s="155"/>
      <c r="C110" s="144"/>
      <c r="D110" s="85"/>
      <c r="E110" s="85"/>
      <c r="F110" s="85"/>
      <c r="G110" s="85"/>
      <c r="H110" s="85"/>
      <c r="I110" s="85"/>
      <c r="J110" s="85"/>
      <c r="K110" s="85"/>
    </row>
    <row r="111" spans="1:12" ht="19.5" thickBot="1" x14ac:dyDescent="0.35">
      <c r="A111" s="156" t="s">
        <v>56</v>
      </c>
      <c r="B111" s="157"/>
      <c r="C111" s="162"/>
      <c r="D111" s="159"/>
      <c r="E111" s="159"/>
      <c r="F111" s="159"/>
      <c r="G111" s="159"/>
      <c r="H111" s="159"/>
      <c r="I111" s="159"/>
      <c r="J111" s="159"/>
      <c r="K111" s="163"/>
    </row>
    <row r="112" spans="1:12" ht="15.75" thickBot="1" x14ac:dyDescent="0.3">
      <c r="A112" s="161"/>
      <c r="B112" s="84"/>
      <c r="C112" s="144"/>
      <c r="D112" s="85"/>
      <c r="E112" s="85"/>
      <c r="F112" s="85"/>
      <c r="G112" s="85"/>
      <c r="H112" s="85"/>
      <c r="I112" s="85"/>
      <c r="J112" s="85"/>
      <c r="K112" s="85"/>
    </row>
    <row r="113" spans="1:11" ht="21.75" thickBot="1" x14ac:dyDescent="0.4">
      <c r="A113" s="494" t="s">
        <v>57</v>
      </c>
      <c r="B113" s="495"/>
      <c r="C113" s="164"/>
      <c r="D113" s="165"/>
      <c r="E113" s="165"/>
      <c r="F113" s="165"/>
      <c r="G113" s="165"/>
      <c r="H113" s="165"/>
      <c r="I113" s="165"/>
      <c r="J113" s="165"/>
      <c r="K113" s="166">
        <f>SUM(K99:K112)</f>
        <v>6521</v>
      </c>
    </row>
    <row r="114" spans="1:11" x14ac:dyDescent="0.25">
      <c r="A114" s="84"/>
      <c r="B114" s="84"/>
      <c r="C114" s="144"/>
      <c r="D114" s="85"/>
      <c r="E114" s="85"/>
      <c r="F114" s="85"/>
      <c r="G114" s="85"/>
      <c r="H114" s="85"/>
      <c r="I114" s="85"/>
      <c r="J114" s="85"/>
      <c r="K114" s="85"/>
    </row>
    <row r="115" spans="1:11" ht="21" x14ac:dyDescent="0.35">
      <c r="A115" s="491" t="s">
        <v>557</v>
      </c>
      <c r="B115" s="491"/>
      <c r="C115" s="491"/>
      <c r="D115" s="491"/>
      <c r="E115" s="491"/>
      <c r="F115" s="491"/>
      <c r="G115" s="491"/>
      <c r="H115" s="491"/>
      <c r="I115" s="491"/>
      <c r="J115" s="491"/>
      <c r="K115" s="491"/>
    </row>
    <row r="116" spans="1:11" ht="21.75" thickBot="1" x14ac:dyDescent="0.4">
      <c r="A116" s="374" t="s">
        <v>10</v>
      </c>
      <c r="B116" s="374"/>
      <c r="C116" s="374"/>
      <c r="D116" s="374"/>
      <c r="E116" s="374"/>
      <c r="F116" s="374"/>
      <c r="G116" s="374"/>
      <c r="H116" s="374"/>
      <c r="I116" s="374"/>
      <c r="J116" s="374"/>
      <c r="K116" s="168"/>
    </row>
    <row r="117" spans="1:11" ht="15.75" thickBot="1" x14ac:dyDescent="0.3">
      <c r="A117" s="169" t="s">
        <v>58</v>
      </c>
      <c r="B117" s="170" t="s">
        <v>59</v>
      </c>
      <c r="C117" s="496" t="s">
        <v>33</v>
      </c>
      <c r="D117" s="497"/>
      <c r="E117" s="497"/>
      <c r="F117" s="497"/>
      <c r="G117" s="497"/>
      <c r="H117" s="497"/>
      <c r="I117" s="497"/>
      <c r="J117" s="498"/>
      <c r="K117" s="171" t="s">
        <v>4</v>
      </c>
    </row>
    <row r="118" spans="1:11" ht="15.75" thickBot="1" x14ac:dyDescent="0.3">
      <c r="A118" s="172" t="s">
        <v>84</v>
      </c>
      <c r="B118" s="173" t="s">
        <v>598</v>
      </c>
      <c r="C118" s="504" t="s">
        <v>597</v>
      </c>
      <c r="D118" s="505"/>
      <c r="E118" s="505"/>
      <c r="F118" s="505"/>
      <c r="G118" s="505"/>
      <c r="H118" s="505"/>
      <c r="I118" s="505"/>
      <c r="J118" s="528"/>
      <c r="K118" s="104">
        <v>12</v>
      </c>
    </row>
    <row r="119" spans="1:11" ht="15.75" thickBot="1" x14ac:dyDescent="0.3">
      <c r="A119" s="121" t="s">
        <v>152</v>
      </c>
      <c r="B119" s="173" t="s">
        <v>600</v>
      </c>
      <c r="C119" s="504" t="s">
        <v>599</v>
      </c>
      <c r="D119" s="505"/>
      <c r="E119" s="505"/>
      <c r="F119" s="505"/>
      <c r="G119" s="505"/>
      <c r="H119" s="505"/>
      <c r="I119" s="505"/>
      <c r="J119" s="528"/>
      <c r="K119" s="104">
        <v>12</v>
      </c>
    </row>
    <row r="120" spans="1:11" ht="15.75" thickBot="1" x14ac:dyDescent="0.3">
      <c r="A120" s="121" t="s">
        <v>356</v>
      </c>
      <c r="B120" s="173" t="s">
        <v>601</v>
      </c>
      <c r="C120" s="504" t="s">
        <v>599</v>
      </c>
      <c r="D120" s="505"/>
      <c r="E120" s="505"/>
      <c r="F120" s="505"/>
      <c r="G120" s="505"/>
      <c r="H120" s="505"/>
      <c r="I120" s="505"/>
      <c r="J120" s="528"/>
      <c r="K120" s="174">
        <v>12</v>
      </c>
    </row>
    <row r="121" spans="1:11" ht="15.75" thickBot="1" x14ac:dyDescent="0.3">
      <c r="A121" s="485" t="s">
        <v>364</v>
      </c>
      <c r="B121" s="173" t="s">
        <v>602</v>
      </c>
      <c r="C121" s="504" t="s">
        <v>599</v>
      </c>
      <c r="D121" s="505"/>
      <c r="E121" s="505"/>
      <c r="F121" s="505"/>
      <c r="G121" s="505"/>
      <c r="H121" s="505"/>
      <c r="I121" s="505"/>
      <c r="J121" s="528"/>
      <c r="K121" s="174">
        <v>12</v>
      </c>
    </row>
    <row r="122" spans="1:11" ht="36.75" customHeight="1" thickBot="1" x14ac:dyDescent="0.3">
      <c r="A122" s="487"/>
      <c r="B122" s="173" t="s">
        <v>603</v>
      </c>
      <c r="C122" s="504" t="s">
        <v>604</v>
      </c>
      <c r="D122" s="505"/>
      <c r="E122" s="505"/>
      <c r="F122" s="505"/>
      <c r="G122" s="505"/>
      <c r="H122" s="505"/>
      <c r="I122" s="505"/>
      <c r="J122" s="528"/>
      <c r="K122" s="104">
        <v>450</v>
      </c>
    </row>
    <row r="123" spans="1:11" ht="15.75" thickBot="1" x14ac:dyDescent="0.3">
      <c r="A123" s="121" t="s">
        <v>605</v>
      </c>
      <c r="B123" s="173" t="s">
        <v>606</v>
      </c>
      <c r="C123" s="504" t="s">
        <v>607</v>
      </c>
      <c r="D123" s="505"/>
      <c r="E123" s="505"/>
      <c r="F123" s="505"/>
      <c r="G123" s="505"/>
      <c r="H123" s="505"/>
      <c r="I123" s="505"/>
      <c r="J123" s="528"/>
      <c r="K123" s="104">
        <v>300</v>
      </c>
    </row>
    <row r="124" spans="1:11" ht="15.75" thickBot="1" x14ac:dyDescent="0.3">
      <c r="A124" s="172" t="s">
        <v>84</v>
      </c>
      <c r="B124" s="173" t="s">
        <v>608</v>
      </c>
      <c r="C124" s="504" t="s">
        <v>609</v>
      </c>
      <c r="D124" s="505"/>
      <c r="E124" s="505"/>
      <c r="F124" s="505"/>
      <c r="G124" s="505"/>
      <c r="H124" s="505"/>
      <c r="I124" s="505"/>
      <c r="J124" s="528"/>
      <c r="K124" s="118">
        <v>8</v>
      </c>
    </row>
    <row r="125" spans="1:11" ht="15.75" thickBot="1" x14ac:dyDescent="0.3">
      <c r="A125" s="121" t="s">
        <v>619</v>
      </c>
      <c r="B125" s="379" t="s">
        <v>618</v>
      </c>
      <c r="C125" s="504" t="s">
        <v>620</v>
      </c>
      <c r="D125" s="505"/>
      <c r="E125" s="505"/>
      <c r="F125" s="505"/>
      <c r="G125" s="505"/>
      <c r="H125" s="505"/>
      <c r="I125" s="505"/>
      <c r="J125" s="528"/>
      <c r="K125" s="118">
        <v>410</v>
      </c>
    </row>
    <row r="126" spans="1:11" ht="15.75" thickBot="1" x14ac:dyDescent="0.3">
      <c r="A126" s="172"/>
      <c r="B126" s="173"/>
      <c r="C126" s="525"/>
      <c r="D126" s="526"/>
      <c r="E126" s="526"/>
      <c r="F126" s="526"/>
      <c r="G126" s="526"/>
      <c r="H126" s="526"/>
      <c r="I126" s="526"/>
      <c r="J126" s="527"/>
      <c r="K126" s="118"/>
    </row>
    <row r="127" spans="1:11" ht="15.75" thickBot="1" x14ac:dyDescent="0.3">
      <c r="A127" s="121"/>
      <c r="B127" s="173"/>
      <c r="C127" s="525"/>
      <c r="D127" s="526"/>
      <c r="E127" s="526"/>
      <c r="F127" s="526"/>
      <c r="G127" s="526"/>
      <c r="H127" s="526"/>
      <c r="I127" s="526"/>
      <c r="J127" s="527"/>
      <c r="K127" s="118"/>
    </row>
    <row r="128" spans="1:11" ht="19.5" thickBot="1" x14ac:dyDescent="0.35">
      <c r="A128" s="175" t="s">
        <v>60</v>
      </c>
      <c r="B128" s="492"/>
      <c r="C128" s="499"/>
      <c r="D128" s="499"/>
      <c r="E128" s="499"/>
      <c r="F128" s="499"/>
      <c r="G128" s="499"/>
      <c r="H128" s="499"/>
      <c r="I128" s="499"/>
      <c r="J128" s="380"/>
      <c r="K128" s="176">
        <f>SUM(K118:K127)</f>
        <v>1216</v>
      </c>
    </row>
    <row r="129" spans="1:11" ht="18.75" x14ac:dyDescent="0.3">
      <c r="A129" s="2"/>
      <c r="B129" s="2"/>
      <c r="C129" s="177"/>
      <c r="D129" s="177"/>
      <c r="E129" s="177"/>
      <c r="F129" s="178"/>
      <c r="G129" s="177"/>
      <c r="H129" s="177"/>
      <c r="I129" s="177"/>
      <c r="J129" s="177"/>
      <c r="K129" s="111"/>
    </row>
    <row r="130" spans="1:11" ht="18.75" x14ac:dyDescent="0.3">
      <c r="A130" s="2"/>
      <c r="B130" s="2"/>
      <c r="C130" s="177"/>
      <c r="D130" s="177"/>
      <c r="E130" s="177"/>
      <c r="F130" s="178"/>
      <c r="G130" s="177"/>
      <c r="H130" s="177"/>
      <c r="I130" s="177"/>
      <c r="J130" s="177"/>
      <c r="K130" s="111"/>
    </row>
    <row r="131" spans="1:11" ht="18.75" x14ac:dyDescent="0.3">
      <c r="A131" s="139" t="s">
        <v>61</v>
      </c>
      <c r="B131" s="2"/>
      <c r="C131" s="84"/>
      <c r="D131" s="85"/>
      <c r="F131" s="85"/>
      <c r="K131" s="85"/>
    </row>
    <row r="132" spans="1:11" x14ac:dyDescent="0.25">
      <c r="A132" s="84" t="s">
        <v>62</v>
      </c>
      <c r="B132" s="144">
        <f>+K113</f>
        <v>6521</v>
      </c>
      <c r="C132" s="179"/>
      <c r="D132" s="85"/>
      <c r="F132" s="85"/>
      <c r="K132" s="85"/>
    </row>
    <row r="133" spans="1:11" ht="15.75" thickBot="1" x14ac:dyDescent="0.3">
      <c r="A133" s="84" t="s">
        <v>60</v>
      </c>
      <c r="B133" s="180">
        <f>+K128</f>
        <v>1216</v>
      </c>
      <c r="C133" s="181"/>
      <c r="D133" s="85"/>
      <c r="F133" s="85"/>
      <c r="G133" s="182"/>
      <c r="H133" s="182"/>
      <c r="I133" s="183"/>
      <c r="J133" s="183"/>
      <c r="K133" s="183"/>
    </row>
    <row r="134" spans="1:11" ht="17.25" thickTop="1" thickBot="1" x14ac:dyDescent="0.3">
      <c r="A134" s="139" t="s">
        <v>8</v>
      </c>
      <c r="B134" s="184">
        <f>++B132-B133</f>
        <v>5305</v>
      </c>
      <c r="C134" s="185"/>
      <c r="D134" s="186"/>
      <c r="E134" s="41"/>
      <c r="F134" s="186"/>
      <c r="G134" s="187"/>
      <c r="H134" s="187"/>
      <c r="I134" s="85"/>
      <c r="J134" s="85"/>
    </row>
    <row r="135" spans="1:11" ht="15.75" thickTop="1" x14ac:dyDescent="0.25"/>
  </sheetData>
  <mergeCells count="29">
    <mergeCell ref="C127:J127"/>
    <mergeCell ref="B128:I128"/>
    <mergeCell ref="C124:J124"/>
    <mergeCell ref="B31:B33"/>
    <mergeCell ref="A31:A33"/>
    <mergeCell ref="A121:A122"/>
    <mergeCell ref="C125:J125"/>
    <mergeCell ref="C126:J126"/>
    <mergeCell ref="C119:J119"/>
    <mergeCell ref="C120:J120"/>
    <mergeCell ref="C121:J121"/>
    <mergeCell ref="C122:J122"/>
    <mergeCell ref="C123:J123"/>
    <mergeCell ref="C118:J118"/>
    <mergeCell ref="B34:B38"/>
    <mergeCell ref="A1:K1"/>
    <mergeCell ref="A99:B99"/>
    <mergeCell ref="A113:B113"/>
    <mergeCell ref="A115:K115"/>
    <mergeCell ref="C117:J117"/>
    <mergeCell ref="B55:B58"/>
    <mergeCell ref="A55:A59"/>
    <mergeCell ref="B60:B64"/>
    <mergeCell ref="A60:A64"/>
    <mergeCell ref="A34:A39"/>
    <mergeCell ref="B12:B13"/>
    <mergeCell ref="A12:A13"/>
    <mergeCell ref="B28:B29"/>
    <mergeCell ref="A28:A29"/>
  </mergeCells>
  <phoneticPr fontId="15" type="noConversion"/>
  <pageMargins left="0.17" right="0.17" top="2.25" bottom="0.17" header="0.17" footer="0.17"/>
  <pageSetup paperSize="9" scale="18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91ACB-7827-40CF-98CB-7269BAD8305E}">
  <sheetPr>
    <pageSetUpPr fitToPage="1"/>
  </sheetPr>
  <dimension ref="A1:N98"/>
  <sheetViews>
    <sheetView topLeftCell="A64" workbookViewId="0">
      <selection activeCell="C90" sqref="C90:J90"/>
    </sheetView>
  </sheetViews>
  <sheetFormatPr baseColWidth="10" defaultRowHeight="15" x14ac:dyDescent="0.25"/>
  <cols>
    <col min="1" max="1" width="32.140625" bestFit="1" customWidth="1"/>
    <col min="2" max="2" width="18.85546875" bestFit="1" customWidth="1"/>
    <col min="11" max="11" width="14" bestFit="1" customWidth="1"/>
  </cols>
  <sheetData>
    <row r="1" spans="1:11" ht="21" x14ac:dyDescent="0.35">
      <c r="A1" s="491" t="s">
        <v>630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</row>
    <row r="2" spans="1:11" ht="15.75" thickBot="1" x14ac:dyDescent="0.3">
      <c r="A2" s="83"/>
      <c r="B2" s="84"/>
      <c r="C2" s="84"/>
      <c r="K2" s="85"/>
    </row>
    <row r="3" spans="1:11" ht="4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347" t="s">
        <v>489</v>
      </c>
      <c r="K3" s="87" t="s">
        <v>4</v>
      </c>
    </row>
    <row r="4" spans="1:11" ht="15.75" thickBot="1" x14ac:dyDescent="0.3">
      <c r="A4" s="88" t="s">
        <v>78</v>
      </c>
      <c r="B4" s="258" t="s">
        <v>653</v>
      </c>
      <c r="C4" s="89">
        <v>46113</v>
      </c>
      <c r="D4" s="90"/>
      <c r="E4" s="90"/>
      <c r="F4" s="90"/>
      <c r="G4" s="90"/>
      <c r="H4" s="90"/>
      <c r="I4" s="90">
        <v>10</v>
      </c>
      <c r="J4" s="348"/>
      <c r="K4" s="87">
        <f>SUM(D4:J4)</f>
        <v>10</v>
      </c>
    </row>
    <row r="5" spans="1:11" ht="15.75" thickBot="1" x14ac:dyDescent="0.3">
      <c r="A5" s="88"/>
      <c r="B5" s="88"/>
      <c r="C5" s="89"/>
      <c r="D5" s="90"/>
      <c r="E5" s="90"/>
      <c r="F5" s="90"/>
      <c r="G5" s="90"/>
      <c r="H5" s="90"/>
      <c r="I5" s="90"/>
      <c r="J5" s="348"/>
      <c r="K5" s="87">
        <f t="shared" ref="K5:K22" si="0">SUM(D5:J5)</f>
        <v>0</v>
      </c>
    </row>
    <row r="6" spans="1:11" ht="15.75" thickBot="1" x14ac:dyDescent="0.3">
      <c r="A6" s="88" t="s">
        <v>38</v>
      </c>
      <c r="B6" s="88" t="s">
        <v>664</v>
      </c>
      <c r="C6" s="89">
        <v>46113</v>
      </c>
      <c r="D6" s="90"/>
      <c r="E6" s="90"/>
      <c r="F6" s="90"/>
      <c r="G6" s="90"/>
      <c r="H6" s="90">
        <v>59.5</v>
      </c>
      <c r="I6" s="90"/>
      <c r="J6" s="348"/>
      <c r="K6" s="87">
        <f t="shared" si="0"/>
        <v>59.5</v>
      </c>
    </row>
    <row r="7" spans="1:11" ht="15.75" thickBot="1" x14ac:dyDescent="0.3">
      <c r="A7" s="88"/>
      <c r="B7" s="88"/>
      <c r="C7" s="89"/>
      <c r="D7" s="90"/>
      <c r="E7" s="90"/>
      <c r="F7" s="90"/>
      <c r="G7" s="90"/>
      <c r="H7" s="90"/>
      <c r="I7" s="90"/>
      <c r="J7" s="348"/>
      <c r="K7" s="87">
        <f t="shared" si="0"/>
        <v>0</v>
      </c>
    </row>
    <row r="8" spans="1:11" ht="15.75" thickBot="1" x14ac:dyDescent="0.3">
      <c r="A8" s="88"/>
      <c r="B8" s="88"/>
      <c r="C8" s="89"/>
      <c r="D8" s="90"/>
      <c r="E8" s="90"/>
      <c r="F8" s="90"/>
      <c r="G8" s="90"/>
      <c r="H8" s="90"/>
      <c r="I8" s="90"/>
      <c r="J8" s="348"/>
      <c r="K8" s="87">
        <f t="shared" si="0"/>
        <v>0</v>
      </c>
    </row>
    <row r="9" spans="1:11" ht="15.75" thickBot="1" x14ac:dyDescent="0.3">
      <c r="A9" s="88"/>
      <c r="B9" s="88"/>
      <c r="C9" s="89"/>
      <c r="D9" s="90"/>
      <c r="E9" s="90"/>
      <c r="F9" s="90"/>
      <c r="G9" s="90"/>
      <c r="H9" s="90"/>
      <c r="I9" s="90"/>
      <c r="J9" s="348"/>
      <c r="K9" s="87">
        <f t="shared" si="0"/>
        <v>0</v>
      </c>
    </row>
    <row r="10" spans="1:11" ht="15.75" thickBot="1" x14ac:dyDescent="0.3">
      <c r="A10" s="387"/>
      <c r="B10" s="103"/>
      <c r="C10" s="103"/>
      <c r="D10" s="116"/>
      <c r="E10" s="116"/>
      <c r="F10" s="116"/>
      <c r="G10" s="116"/>
      <c r="H10" s="90"/>
      <c r="I10" s="90"/>
      <c r="J10" s="348"/>
      <c r="K10" s="87">
        <f t="shared" si="0"/>
        <v>0</v>
      </c>
    </row>
    <row r="11" spans="1:11" ht="15.75" thickBot="1" x14ac:dyDescent="0.3">
      <c r="A11" s="88"/>
      <c r="B11" s="88"/>
      <c r="C11" s="89"/>
      <c r="D11" s="90"/>
      <c r="E11" s="90"/>
      <c r="F11" s="90"/>
      <c r="G11" s="90"/>
      <c r="H11" s="90"/>
      <c r="I11" s="90"/>
      <c r="J11" s="348"/>
      <c r="K11" s="87">
        <f t="shared" si="0"/>
        <v>0</v>
      </c>
    </row>
    <row r="12" spans="1:11" ht="15.75" thickBot="1" x14ac:dyDescent="0.3">
      <c r="A12" s="385"/>
      <c r="B12" s="88"/>
      <c r="C12" s="89"/>
      <c r="D12" s="90"/>
      <c r="E12" s="90"/>
      <c r="F12" s="90"/>
      <c r="G12" s="90"/>
      <c r="H12" s="90"/>
      <c r="I12" s="90"/>
      <c r="J12" s="348"/>
      <c r="K12" s="87">
        <f t="shared" si="0"/>
        <v>0</v>
      </c>
    </row>
    <row r="13" spans="1:11" ht="15.75" thickBot="1" x14ac:dyDescent="0.3">
      <c r="A13" s="385"/>
      <c r="B13" s="383"/>
      <c r="C13" s="89"/>
      <c r="D13" s="90"/>
      <c r="E13" s="90"/>
      <c r="F13" s="90"/>
      <c r="G13" s="90"/>
      <c r="H13" s="90"/>
      <c r="I13" s="93"/>
      <c r="J13" s="99"/>
      <c r="K13" s="87">
        <f t="shared" si="0"/>
        <v>0</v>
      </c>
    </row>
    <row r="14" spans="1:11" ht="15.75" thickBot="1" x14ac:dyDescent="0.3">
      <c r="A14" s="88"/>
      <c r="B14" s="88"/>
      <c r="C14" s="89"/>
      <c r="D14" s="90"/>
      <c r="E14" s="90"/>
      <c r="F14" s="90"/>
      <c r="G14" s="90"/>
      <c r="H14" s="90"/>
      <c r="I14" s="90"/>
      <c r="J14" s="348"/>
      <c r="K14" s="87">
        <f t="shared" si="0"/>
        <v>0</v>
      </c>
    </row>
    <row r="15" spans="1:11" ht="15.75" thickBot="1" x14ac:dyDescent="0.3">
      <c r="A15" s="95"/>
      <c r="B15" s="384"/>
      <c r="C15" s="89"/>
      <c r="D15" s="90"/>
      <c r="E15" s="90"/>
      <c r="F15" s="90"/>
      <c r="G15" s="90"/>
      <c r="H15" s="90"/>
      <c r="I15" s="90"/>
      <c r="J15" s="348"/>
      <c r="K15" s="87">
        <f t="shared" si="0"/>
        <v>0</v>
      </c>
    </row>
    <row r="16" spans="1:11" ht="15.75" thickBot="1" x14ac:dyDescent="0.3">
      <c r="A16" s="97"/>
      <c r="B16" s="95"/>
      <c r="C16" s="89"/>
      <c r="D16" s="90"/>
      <c r="E16" s="90"/>
      <c r="F16" s="90"/>
      <c r="G16" s="90"/>
      <c r="H16" s="90"/>
      <c r="I16" s="90"/>
      <c r="J16" s="348"/>
      <c r="K16" s="87">
        <f t="shared" si="0"/>
        <v>0</v>
      </c>
    </row>
    <row r="17" spans="1:14" ht="15.75" thickBot="1" x14ac:dyDescent="0.3">
      <c r="A17" s="381"/>
      <c r="B17" s="381"/>
      <c r="C17" s="89"/>
      <c r="D17" s="90"/>
      <c r="E17" s="90"/>
      <c r="F17" s="90"/>
      <c r="G17" s="90"/>
      <c r="H17" s="90"/>
      <c r="I17" s="90"/>
      <c r="J17" s="348"/>
      <c r="K17" s="87">
        <f t="shared" si="0"/>
        <v>0</v>
      </c>
    </row>
    <row r="18" spans="1:14" ht="15.75" thickBot="1" x14ac:dyDescent="0.3">
      <c r="A18" s="99"/>
      <c r="B18" s="381"/>
      <c r="C18" s="89"/>
      <c r="D18" s="90"/>
      <c r="E18" s="90"/>
      <c r="F18" s="90"/>
      <c r="G18" s="90"/>
      <c r="H18" s="90"/>
      <c r="I18" s="90"/>
      <c r="J18" s="348"/>
      <c r="K18" s="87">
        <f t="shared" si="0"/>
        <v>0</v>
      </c>
    </row>
    <row r="19" spans="1:14" ht="15.75" thickBot="1" x14ac:dyDescent="0.3">
      <c r="A19" s="99"/>
      <c r="B19" s="381"/>
      <c r="C19" s="89"/>
      <c r="D19" s="90"/>
      <c r="E19" s="90"/>
      <c r="F19" s="90"/>
      <c r="G19" s="90"/>
      <c r="H19" s="90"/>
      <c r="I19" s="90"/>
      <c r="J19" s="348"/>
      <c r="K19" s="87">
        <f t="shared" si="0"/>
        <v>0</v>
      </c>
    </row>
    <row r="20" spans="1:14" ht="15.75" thickBot="1" x14ac:dyDescent="0.3">
      <c r="A20" s="100"/>
      <c r="B20" s="381"/>
      <c r="C20" s="89"/>
      <c r="D20" s="90"/>
      <c r="E20" s="90"/>
      <c r="F20" s="90"/>
      <c r="G20" s="90"/>
      <c r="H20" s="90"/>
      <c r="I20" s="90"/>
      <c r="J20" s="348"/>
      <c r="K20" s="87">
        <f t="shared" si="0"/>
        <v>0</v>
      </c>
    </row>
    <row r="21" spans="1:14" ht="15.75" thickBot="1" x14ac:dyDescent="0.3">
      <c r="A21" s="387"/>
      <c r="B21" s="387"/>
      <c r="C21" s="89"/>
      <c r="D21" s="90"/>
      <c r="E21" s="90"/>
      <c r="F21" s="90"/>
      <c r="G21" s="90"/>
      <c r="H21" s="90"/>
      <c r="I21" s="90"/>
      <c r="J21" s="348"/>
      <c r="K21" s="87">
        <f t="shared" si="0"/>
        <v>0</v>
      </c>
    </row>
    <row r="22" spans="1:14" ht="15.75" thickBot="1" x14ac:dyDescent="0.3">
      <c r="A22" s="381"/>
      <c r="B22" s="386"/>
      <c r="C22" s="103"/>
      <c r="D22" s="104"/>
      <c r="E22" s="104"/>
      <c r="F22" s="104"/>
      <c r="G22" s="104"/>
      <c r="H22" s="104"/>
      <c r="I22" s="104"/>
      <c r="J22" s="349"/>
      <c r="K22" s="87">
        <f t="shared" si="0"/>
        <v>0</v>
      </c>
    </row>
    <row r="23" spans="1:14" ht="19.5" thickBot="1" x14ac:dyDescent="0.35">
      <c r="A23" s="105" t="s">
        <v>4</v>
      </c>
      <c r="B23" s="86"/>
      <c r="C23" s="106"/>
      <c r="D23" s="108">
        <f t="shared" ref="D23:J23" si="1">SUM(D4:D22)</f>
        <v>0</v>
      </c>
      <c r="E23" s="108">
        <f t="shared" si="1"/>
        <v>0</v>
      </c>
      <c r="F23" s="108">
        <f t="shared" si="1"/>
        <v>0</v>
      </c>
      <c r="G23" s="108">
        <f t="shared" si="1"/>
        <v>0</v>
      </c>
      <c r="H23" s="108">
        <f t="shared" si="1"/>
        <v>59.5</v>
      </c>
      <c r="I23" s="108">
        <f t="shared" si="1"/>
        <v>10</v>
      </c>
      <c r="J23" s="108">
        <f t="shared" si="1"/>
        <v>0</v>
      </c>
      <c r="K23" s="108">
        <f>SUM(K4:K22)</f>
        <v>69.5</v>
      </c>
    </row>
    <row r="24" spans="1:14" ht="19.5" thickBot="1" x14ac:dyDescent="0.35">
      <c r="A24" s="2"/>
      <c r="B24" s="109"/>
      <c r="C24" s="110"/>
      <c r="D24" s="111"/>
      <c r="E24" s="111"/>
      <c r="F24" s="111"/>
      <c r="G24" s="111"/>
      <c r="H24" s="111"/>
      <c r="I24" s="111"/>
      <c r="J24" s="111"/>
      <c r="K24" s="111"/>
    </row>
    <row r="25" spans="1:14" ht="24" thickBot="1" x14ac:dyDescent="0.4">
      <c r="A25" s="112" t="s">
        <v>40</v>
      </c>
      <c r="B25" s="109"/>
      <c r="C25" s="110"/>
      <c r="D25" s="111"/>
      <c r="E25" s="111"/>
      <c r="F25" s="111"/>
      <c r="G25" s="111"/>
      <c r="H25" s="111"/>
      <c r="I25" s="111"/>
      <c r="J25" s="111"/>
      <c r="K25" s="111"/>
    </row>
    <row r="26" spans="1:14" ht="15.75" thickBot="1" x14ac:dyDescent="0.3">
      <c r="A26" s="113" t="s">
        <v>3</v>
      </c>
      <c r="B26" s="86" t="s">
        <v>32</v>
      </c>
      <c r="C26" s="114" t="s">
        <v>41</v>
      </c>
      <c r="D26" s="114" t="s">
        <v>34</v>
      </c>
      <c r="E26" s="114" t="s">
        <v>35</v>
      </c>
      <c r="F26" s="86" t="s">
        <v>36</v>
      </c>
      <c r="G26" s="86" t="s">
        <v>37</v>
      </c>
      <c r="H26" s="86" t="s">
        <v>42</v>
      </c>
      <c r="I26" s="86" t="s">
        <v>39</v>
      </c>
      <c r="J26" s="86"/>
      <c r="K26" s="115" t="s">
        <v>4</v>
      </c>
    </row>
    <row r="27" spans="1:14" ht="30.75" customHeight="1" thickBot="1" x14ac:dyDescent="0.3">
      <c r="A27" s="520" t="s">
        <v>632</v>
      </c>
      <c r="B27" s="103" t="s">
        <v>633</v>
      </c>
      <c r="C27" s="103">
        <v>46082</v>
      </c>
      <c r="D27" s="116"/>
      <c r="E27" s="117"/>
      <c r="F27" s="116">
        <v>500</v>
      </c>
      <c r="G27" s="116"/>
      <c r="H27" s="118"/>
      <c r="I27" s="118"/>
      <c r="J27" s="118"/>
      <c r="K27" s="119">
        <f>SUM(D27:I27)</f>
        <v>500</v>
      </c>
    </row>
    <row r="28" spans="1:14" ht="15.75" thickBot="1" x14ac:dyDescent="0.3">
      <c r="A28" s="521"/>
      <c r="B28" s="386" t="s">
        <v>634</v>
      </c>
      <c r="C28" s="103">
        <v>46082</v>
      </c>
      <c r="D28" s="116">
        <v>29</v>
      </c>
      <c r="E28" s="117">
        <v>6</v>
      </c>
      <c r="F28" s="116"/>
      <c r="G28" s="116"/>
      <c r="H28" s="118"/>
      <c r="I28" s="118"/>
      <c r="J28" s="118"/>
      <c r="K28" s="119">
        <f t="shared" ref="K28:K30" si="2">SUM(D28:I28)</f>
        <v>35</v>
      </c>
    </row>
    <row r="29" spans="1:14" ht="30.75" thickBot="1" x14ac:dyDescent="0.3">
      <c r="A29" s="387" t="s">
        <v>639</v>
      </c>
      <c r="B29" s="381" t="s">
        <v>640</v>
      </c>
      <c r="C29" s="89">
        <v>46113</v>
      </c>
      <c r="D29" s="120"/>
      <c r="E29" s="120"/>
      <c r="F29" s="120"/>
      <c r="G29" s="120">
        <v>30</v>
      </c>
      <c r="H29" s="90"/>
      <c r="I29" s="90"/>
      <c r="J29" s="90"/>
      <c r="K29" s="119">
        <f t="shared" si="2"/>
        <v>30</v>
      </c>
    </row>
    <row r="30" spans="1:14" ht="15.75" thickBot="1" x14ac:dyDescent="0.3">
      <c r="A30" s="86"/>
      <c r="B30" s="121"/>
      <c r="C30" s="89"/>
      <c r="D30" s="120"/>
      <c r="E30" s="120"/>
      <c r="F30" s="120"/>
      <c r="G30" s="120"/>
      <c r="H30" s="90"/>
      <c r="I30" s="90"/>
      <c r="J30" s="90"/>
      <c r="K30" s="119">
        <f t="shared" si="2"/>
        <v>0</v>
      </c>
      <c r="M30" s="122" t="s">
        <v>43</v>
      </c>
      <c r="N30" s="123">
        <f>K31+K39</f>
        <v>565</v>
      </c>
    </row>
    <row r="31" spans="1:14" ht="15.75" thickBot="1" x14ac:dyDescent="0.3">
      <c r="A31" s="86" t="s">
        <v>4</v>
      </c>
      <c r="B31" s="388"/>
      <c r="C31" s="125"/>
      <c r="D31" s="116">
        <f>SUM(D27:D30)</f>
        <v>29</v>
      </c>
      <c r="E31" s="116">
        <f t="shared" ref="E31:J31" si="3">SUM(E27:E30)</f>
        <v>6</v>
      </c>
      <c r="F31" s="116">
        <f t="shared" si="3"/>
        <v>500</v>
      </c>
      <c r="G31" s="116">
        <f t="shared" si="3"/>
        <v>30</v>
      </c>
      <c r="H31" s="116">
        <f t="shared" si="3"/>
        <v>0</v>
      </c>
      <c r="I31" s="116">
        <f t="shared" si="3"/>
        <v>0</v>
      </c>
      <c r="J31" s="116">
        <f t="shared" si="3"/>
        <v>0</v>
      </c>
      <c r="K31" s="94">
        <f>SUM(K27:K30)</f>
        <v>565</v>
      </c>
    </row>
    <row r="32" spans="1:14" ht="15.75" thickBot="1" x14ac:dyDescent="0.3">
      <c r="A32" s="109"/>
      <c r="B32" s="127"/>
      <c r="C32" s="128"/>
      <c r="D32" s="129"/>
      <c r="E32" s="129"/>
      <c r="F32" s="129"/>
      <c r="G32" s="129"/>
      <c r="H32" s="129"/>
      <c r="I32" s="129"/>
      <c r="J32" s="129"/>
      <c r="K32" s="130"/>
    </row>
    <row r="33" spans="1:14" ht="24" thickBot="1" x14ac:dyDescent="0.4">
      <c r="A33" s="112" t="s">
        <v>40</v>
      </c>
      <c r="B33" s="109"/>
      <c r="C33" s="110"/>
      <c r="D33" s="111"/>
      <c r="E33" s="111"/>
      <c r="F33" s="111"/>
      <c r="G33" s="111"/>
      <c r="H33" s="111"/>
      <c r="I33" s="111"/>
      <c r="J33" s="111"/>
      <c r="K33" s="111"/>
    </row>
    <row r="34" spans="1:14" ht="45.75" thickBot="1" x14ac:dyDescent="0.3">
      <c r="A34" s="131" t="s">
        <v>44</v>
      </c>
      <c r="B34" s="86" t="s">
        <v>45</v>
      </c>
      <c r="C34" s="114" t="s">
        <v>41</v>
      </c>
      <c r="D34" s="114" t="s">
        <v>34</v>
      </c>
      <c r="E34" s="114" t="s">
        <v>35</v>
      </c>
      <c r="F34" s="114" t="s">
        <v>46</v>
      </c>
      <c r="G34" s="114" t="s">
        <v>47</v>
      </c>
      <c r="H34" s="114" t="s">
        <v>42</v>
      </c>
      <c r="I34" s="132" t="s">
        <v>48</v>
      </c>
      <c r="J34" s="86"/>
      <c r="K34" s="115" t="s">
        <v>4</v>
      </c>
    </row>
    <row r="35" spans="1:14" ht="15.75" thickBot="1" x14ac:dyDescent="0.3">
      <c r="A35" s="133"/>
      <c r="B35" s="99"/>
      <c r="C35" s="89"/>
      <c r="D35" s="90"/>
      <c r="E35" s="90"/>
      <c r="F35" s="90"/>
      <c r="G35" s="90"/>
      <c r="H35" s="90"/>
      <c r="I35" s="90"/>
      <c r="J35" s="348"/>
      <c r="K35" s="87">
        <f t="shared" ref="K35:K38" si="4">SUM(D35:I35)</f>
        <v>0</v>
      </c>
    </row>
    <row r="36" spans="1:14" ht="15.75" thickBot="1" x14ac:dyDescent="0.3">
      <c r="A36" s="95"/>
      <c r="B36" s="103"/>
      <c r="C36" s="89"/>
      <c r="D36" s="116"/>
      <c r="E36" s="116"/>
      <c r="F36" s="116"/>
      <c r="G36" s="116"/>
      <c r="H36" s="118"/>
      <c r="I36" s="118"/>
      <c r="J36" s="118"/>
      <c r="K36" s="119">
        <f t="shared" si="4"/>
        <v>0</v>
      </c>
    </row>
    <row r="37" spans="1:14" ht="15.75" thickBot="1" x14ac:dyDescent="0.3">
      <c r="A37" s="387"/>
      <c r="B37" s="381"/>
      <c r="C37" s="89"/>
      <c r="D37" s="120"/>
      <c r="E37" s="120"/>
      <c r="F37" s="120"/>
      <c r="G37" s="120"/>
      <c r="H37" s="90"/>
      <c r="I37" s="90"/>
      <c r="J37" s="90"/>
      <c r="K37" s="119">
        <f t="shared" si="4"/>
        <v>0</v>
      </c>
    </row>
    <row r="38" spans="1:14" ht="15.75" thickBot="1" x14ac:dyDescent="0.3">
      <c r="A38" s="86"/>
      <c r="B38" s="121"/>
      <c r="C38" s="89"/>
      <c r="D38" s="120"/>
      <c r="E38" s="120"/>
      <c r="F38" s="120"/>
      <c r="G38" s="120"/>
      <c r="H38" s="90"/>
      <c r="I38" s="90"/>
      <c r="J38" s="90"/>
      <c r="K38" s="119">
        <f t="shared" si="4"/>
        <v>0</v>
      </c>
      <c r="M38" s="134"/>
      <c r="N38" s="135"/>
    </row>
    <row r="39" spans="1:14" ht="15.75" thickBot="1" x14ac:dyDescent="0.3">
      <c r="A39" s="86" t="s">
        <v>4</v>
      </c>
      <c r="B39" s="388"/>
      <c r="C39" s="125"/>
      <c r="D39" s="116">
        <f>SUM(D35:D38)</f>
        <v>0</v>
      </c>
      <c r="E39" s="116">
        <f t="shared" ref="E39:J39" si="5">SUM(E35:E38)</f>
        <v>0</v>
      </c>
      <c r="F39" s="116">
        <f t="shared" si="5"/>
        <v>0</v>
      </c>
      <c r="G39" s="116">
        <f t="shared" si="5"/>
        <v>0</v>
      </c>
      <c r="H39" s="116">
        <f t="shared" si="5"/>
        <v>0</v>
      </c>
      <c r="I39" s="116">
        <f t="shared" si="5"/>
        <v>0</v>
      </c>
      <c r="J39" s="116">
        <f t="shared" si="5"/>
        <v>0</v>
      </c>
      <c r="K39" s="94">
        <f>SUM(K35:K38)</f>
        <v>0</v>
      </c>
    </row>
    <row r="40" spans="1:14" x14ac:dyDescent="0.25">
      <c r="A40" s="109"/>
      <c r="B40" s="127"/>
      <c r="C40" s="128"/>
      <c r="D40" s="129"/>
      <c r="E40" s="129"/>
      <c r="F40" s="129"/>
      <c r="G40" s="129"/>
      <c r="H40" s="129"/>
      <c r="I40" s="129"/>
      <c r="J40" s="129"/>
      <c r="K40" s="130"/>
    </row>
    <row r="41" spans="1:14" x14ac:dyDescent="0.25">
      <c r="A41" s="109"/>
      <c r="B41" s="127"/>
      <c r="C41" s="128"/>
      <c r="D41" s="129"/>
      <c r="E41" s="129"/>
      <c r="F41" s="129"/>
      <c r="G41" s="129"/>
      <c r="H41" s="129"/>
      <c r="I41" s="129"/>
      <c r="J41" s="129"/>
      <c r="K41" s="130"/>
    </row>
    <row r="42" spans="1:14" ht="15.75" thickBot="1" x14ac:dyDescent="0.3">
      <c r="A42" s="84"/>
      <c r="B42" s="84"/>
      <c r="C42" s="84"/>
      <c r="K42" s="85"/>
    </row>
    <row r="43" spans="1:14" ht="45.75" thickBot="1" x14ac:dyDescent="0.3">
      <c r="A43" s="114" t="s">
        <v>49</v>
      </c>
      <c r="B43" s="86" t="s">
        <v>45</v>
      </c>
      <c r="C43" s="114" t="s">
        <v>41</v>
      </c>
      <c r="D43" s="114" t="s">
        <v>34</v>
      </c>
      <c r="E43" s="114" t="s">
        <v>35</v>
      </c>
      <c r="F43" s="114" t="s">
        <v>46</v>
      </c>
      <c r="G43" s="114" t="s">
        <v>47</v>
      </c>
      <c r="H43" s="86" t="s">
        <v>48</v>
      </c>
      <c r="I43" s="132" t="s">
        <v>42</v>
      </c>
      <c r="J43" s="86" t="s">
        <v>497</v>
      </c>
      <c r="K43" s="115" t="s">
        <v>4</v>
      </c>
    </row>
    <row r="44" spans="1:14" ht="15.75" thickBot="1" x14ac:dyDescent="0.3">
      <c r="A44" s="512" t="s">
        <v>641</v>
      </c>
      <c r="B44" s="512" t="s">
        <v>642</v>
      </c>
      <c r="C44" s="222">
        <v>46082</v>
      </c>
      <c r="D44" s="118">
        <v>52.4</v>
      </c>
      <c r="E44" s="118">
        <v>75</v>
      </c>
      <c r="F44" s="118"/>
      <c r="G44" s="118"/>
      <c r="H44" s="118"/>
      <c r="I44" s="118"/>
      <c r="J44" s="118"/>
      <c r="K44" s="119">
        <f t="shared" ref="K44:K57" si="6">SUM(D44:J44)</f>
        <v>127.4</v>
      </c>
    </row>
    <row r="45" spans="1:14" ht="15.75" thickBot="1" x14ac:dyDescent="0.3">
      <c r="A45" s="513"/>
      <c r="B45" s="513"/>
      <c r="C45" s="222">
        <v>46113</v>
      </c>
      <c r="D45" s="118"/>
      <c r="E45" s="118"/>
      <c r="F45" s="118">
        <v>60</v>
      </c>
      <c r="G45" s="118">
        <v>5</v>
      </c>
      <c r="H45" s="118"/>
      <c r="I45" s="118"/>
      <c r="J45" s="118"/>
      <c r="K45" s="119">
        <f t="shared" si="6"/>
        <v>65</v>
      </c>
    </row>
    <row r="46" spans="1:14" ht="15.75" thickBot="1" x14ac:dyDescent="0.3">
      <c r="A46" s="103" t="s">
        <v>651</v>
      </c>
      <c r="B46" s="103" t="s">
        <v>652</v>
      </c>
      <c r="C46" s="222">
        <v>46082</v>
      </c>
      <c r="D46" s="118">
        <v>56.1</v>
      </c>
      <c r="E46" s="118"/>
      <c r="F46" s="118"/>
      <c r="G46" s="118"/>
      <c r="H46" s="118"/>
      <c r="I46" s="118"/>
      <c r="J46" s="118"/>
      <c r="K46" s="119">
        <f t="shared" si="6"/>
        <v>56.1</v>
      </c>
    </row>
    <row r="47" spans="1:14" ht="15.75" thickBot="1" x14ac:dyDescent="0.3">
      <c r="A47" s="103" t="s">
        <v>657</v>
      </c>
      <c r="B47" s="103" t="s">
        <v>658</v>
      </c>
      <c r="C47" s="222">
        <v>46082</v>
      </c>
      <c r="D47" s="118">
        <v>586.20000000000005</v>
      </c>
      <c r="E47" s="118">
        <v>17.2</v>
      </c>
      <c r="F47" s="118">
        <v>60</v>
      </c>
      <c r="G47" s="118">
        <v>5</v>
      </c>
      <c r="H47" s="118"/>
      <c r="I47" s="118"/>
      <c r="J47" s="118"/>
      <c r="K47" s="119">
        <f t="shared" si="6"/>
        <v>668.40000000000009</v>
      </c>
    </row>
    <row r="48" spans="1:14" ht="15.75" thickBot="1" x14ac:dyDescent="0.3">
      <c r="A48" s="103" t="s">
        <v>659</v>
      </c>
      <c r="B48" s="103" t="s">
        <v>660</v>
      </c>
      <c r="C48" s="222">
        <v>46082</v>
      </c>
      <c r="D48" s="118">
        <v>232.4</v>
      </c>
      <c r="E48" s="118">
        <v>70.400000000000006</v>
      </c>
      <c r="F48" s="118">
        <v>60</v>
      </c>
      <c r="G48" s="118">
        <v>5</v>
      </c>
      <c r="H48" s="118"/>
      <c r="I48" s="118"/>
      <c r="J48" s="118"/>
      <c r="K48" s="119">
        <f t="shared" si="6"/>
        <v>367.8</v>
      </c>
    </row>
    <row r="49" spans="1:11" ht="15.75" thickBot="1" x14ac:dyDescent="0.3">
      <c r="A49" s="381" t="s">
        <v>651</v>
      </c>
      <c r="B49" s="103" t="s">
        <v>663</v>
      </c>
      <c r="C49" s="222">
        <v>46113</v>
      </c>
      <c r="D49" s="118"/>
      <c r="E49" s="118"/>
      <c r="F49" s="118">
        <v>60</v>
      </c>
      <c r="G49" s="118">
        <v>5</v>
      </c>
      <c r="H49" s="118"/>
      <c r="I49" s="118"/>
      <c r="J49" s="118"/>
      <c r="K49" s="119">
        <f t="shared" si="6"/>
        <v>65</v>
      </c>
    </row>
    <row r="50" spans="1:11" ht="15.75" thickBot="1" x14ac:dyDescent="0.3">
      <c r="A50" s="381"/>
      <c r="B50" s="103"/>
      <c r="C50" s="103"/>
      <c r="D50" s="118"/>
      <c r="E50" s="118"/>
      <c r="F50" s="118"/>
      <c r="G50" s="118"/>
      <c r="H50" s="118"/>
      <c r="I50" s="118"/>
      <c r="J50" s="118"/>
      <c r="K50" s="119">
        <f t="shared" si="6"/>
        <v>0</v>
      </c>
    </row>
    <row r="51" spans="1:11" ht="15.75" thickBot="1" x14ac:dyDescent="0.3">
      <c r="A51" s="381"/>
      <c r="B51" s="103"/>
      <c r="C51" s="103"/>
      <c r="D51" s="118"/>
      <c r="E51" s="118"/>
      <c r="F51" s="118"/>
      <c r="G51" s="118"/>
      <c r="H51" s="118"/>
      <c r="I51" s="118"/>
      <c r="J51" s="118"/>
      <c r="K51" s="119">
        <f t="shared" si="6"/>
        <v>0</v>
      </c>
    </row>
    <row r="52" spans="1:11" ht="15.75" thickBot="1" x14ac:dyDescent="0.3">
      <c r="A52" s="381"/>
      <c r="B52" s="103"/>
      <c r="C52" s="103"/>
      <c r="D52" s="118"/>
      <c r="E52" s="118"/>
      <c r="F52" s="118"/>
      <c r="G52" s="118"/>
      <c r="H52" s="118"/>
      <c r="I52" s="118"/>
      <c r="J52" s="118"/>
      <c r="K52" s="119">
        <f t="shared" si="6"/>
        <v>0</v>
      </c>
    </row>
    <row r="53" spans="1:11" ht="15.75" thickBot="1" x14ac:dyDescent="0.3">
      <c r="A53" s="381"/>
      <c r="B53" s="103"/>
      <c r="C53" s="103"/>
      <c r="D53" s="118"/>
      <c r="E53" s="118"/>
      <c r="F53" s="118"/>
      <c r="G53" s="118"/>
      <c r="H53" s="118"/>
      <c r="I53" s="118"/>
      <c r="J53" s="118"/>
      <c r="K53" s="119">
        <f t="shared" si="6"/>
        <v>0</v>
      </c>
    </row>
    <row r="54" spans="1:11" ht="15.75" thickBot="1" x14ac:dyDescent="0.3">
      <c r="A54" s="137"/>
      <c r="B54" s="103"/>
      <c r="C54" s="103"/>
      <c r="D54" s="118"/>
      <c r="E54" s="118"/>
      <c r="F54" s="118"/>
      <c r="G54" s="118"/>
      <c r="H54" s="118"/>
      <c r="I54" s="118"/>
      <c r="J54" s="118"/>
      <c r="K54" s="119">
        <f t="shared" si="6"/>
        <v>0</v>
      </c>
    </row>
    <row r="55" spans="1:11" ht="15.75" thickBot="1" x14ac:dyDescent="0.3">
      <c r="A55" s="121"/>
      <c r="B55" s="103"/>
      <c r="C55" s="103"/>
      <c r="D55" s="118"/>
      <c r="F55" s="118"/>
      <c r="G55" s="118"/>
      <c r="H55" s="118"/>
      <c r="I55" s="118"/>
      <c r="J55" s="118"/>
      <c r="K55" s="119">
        <f t="shared" si="6"/>
        <v>0</v>
      </c>
    </row>
    <row r="56" spans="1:11" ht="15.75" thickBot="1" x14ac:dyDescent="0.3">
      <c r="A56" s="121"/>
      <c r="B56" s="103"/>
      <c r="C56" s="103"/>
      <c r="D56" s="118"/>
      <c r="E56" s="118"/>
      <c r="F56" s="118"/>
      <c r="G56" s="118"/>
      <c r="H56" s="118"/>
      <c r="I56" s="118"/>
      <c r="J56" s="118"/>
      <c r="K56" s="119">
        <f t="shared" si="6"/>
        <v>0</v>
      </c>
    </row>
    <row r="57" spans="1:11" ht="15.75" thickBot="1" x14ac:dyDescent="0.3">
      <c r="A57" s="121"/>
      <c r="B57" s="103"/>
      <c r="C57" s="103"/>
      <c r="D57" s="138"/>
      <c r="E57" s="138"/>
      <c r="F57" s="138"/>
      <c r="G57" s="138"/>
      <c r="H57" s="138"/>
      <c r="I57" s="138"/>
      <c r="J57" s="138"/>
      <c r="K57" s="119">
        <f t="shared" si="6"/>
        <v>0</v>
      </c>
    </row>
    <row r="58" spans="1:11" ht="19.5" thickBot="1" x14ac:dyDescent="0.35">
      <c r="A58" s="105" t="s">
        <v>4</v>
      </c>
      <c r="B58" s="86"/>
      <c r="C58" s="106"/>
      <c r="D58" s="107">
        <f t="shared" ref="D58:I58" si="7">SUM(D44:D57)</f>
        <v>927.1</v>
      </c>
      <c r="E58" s="107">
        <f t="shared" si="7"/>
        <v>162.60000000000002</v>
      </c>
      <c r="F58" s="107">
        <f t="shared" si="7"/>
        <v>240</v>
      </c>
      <c r="G58" s="107">
        <f t="shared" si="7"/>
        <v>20</v>
      </c>
      <c r="H58" s="107">
        <f t="shared" si="7"/>
        <v>0</v>
      </c>
      <c r="I58" s="107">
        <f t="shared" si="7"/>
        <v>0</v>
      </c>
      <c r="J58" s="107"/>
      <c r="K58" s="107">
        <f>SUM(K44:K57)</f>
        <v>1349.7</v>
      </c>
    </row>
    <row r="59" spans="1:11" ht="15.75" x14ac:dyDescent="0.25">
      <c r="A59" s="139"/>
      <c r="B59" s="139"/>
      <c r="C59" s="140"/>
      <c r="D59" s="141"/>
      <c r="E59" s="141"/>
      <c r="F59" s="141"/>
      <c r="G59" s="141"/>
      <c r="H59" s="141"/>
      <c r="I59" s="141"/>
      <c r="J59" s="141"/>
      <c r="K59" s="141"/>
    </row>
    <row r="60" spans="1:11" ht="16.5" thickBot="1" x14ac:dyDescent="0.3">
      <c r="A60" s="139"/>
      <c r="B60" s="139"/>
      <c r="C60" s="140"/>
      <c r="D60" s="141"/>
      <c r="E60" s="141"/>
      <c r="F60" s="141"/>
      <c r="G60" s="141"/>
      <c r="H60" s="141"/>
      <c r="I60" s="141"/>
      <c r="J60" s="141"/>
      <c r="K60" s="141"/>
    </row>
    <row r="61" spans="1:11" ht="19.5" thickBot="1" x14ac:dyDescent="0.35">
      <c r="A61" s="492" t="s">
        <v>50</v>
      </c>
      <c r="B61" s="493"/>
      <c r="C61" s="142"/>
      <c r="D61" s="143"/>
      <c r="E61" s="143"/>
      <c r="F61" s="143"/>
      <c r="G61" s="143"/>
      <c r="H61" s="143"/>
      <c r="I61" s="143"/>
      <c r="J61" s="143"/>
      <c r="K61" s="108">
        <f>+K23+K58</f>
        <v>1419.2</v>
      </c>
    </row>
    <row r="62" spans="1:11" x14ac:dyDescent="0.25">
      <c r="A62" s="84"/>
      <c r="B62" s="84"/>
      <c r="C62" s="144"/>
      <c r="D62" s="85"/>
      <c r="E62" s="85"/>
      <c r="F62" s="85"/>
      <c r="G62" s="85"/>
      <c r="H62" s="85"/>
      <c r="I62" s="85"/>
      <c r="J62" s="85"/>
      <c r="K62" s="85"/>
    </row>
    <row r="63" spans="1:11" x14ac:dyDescent="0.25">
      <c r="A63" s="84"/>
      <c r="B63" s="84"/>
      <c r="C63" s="144"/>
      <c r="D63" s="85"/>
      <c r="E63" s="85"/>
      <c r="F63" s="85"/>
      <c r="G63" s="85"/>
      <c r="H63" s="85"/>
      <c r="I63" s="85"/>
      <c r="J63" s="85"/>
      <c r="K63" s="85"/>
    </row>
    <row r="64" spans="1:11" ht="16.5" thickBot="1" x14ac:dyDescent="0.3">
      <c r="A64" s="145" t="s">
        <v>500</v>
      </c>
      <c r="B64" s="84"/>
      <c r="C64" s="144"/>
      <c r="D64" s="85"/>
      <c r="E64" s="85"/>
      <c r="F64" s="85"/>
      <c r="G64" s="85"/>
      <c r="H64" s="85"/>
      <c r="I64" s="85"/>
      <c r="J64" s="85"/>
      <c r="K64" s="85"/>
    </row>
    <row r="65" spans="1:12" ht="19.5" thickBot="1" x14ac:dyDescent="0.35">
      <c r="A65" s="146" t="s">
        <v>52</v>
      </c>
      <c r="B65" s="147"/>
      <c r="C65" s="148"/>
      <c r="D65" s="149"/>
      <c r="E65" s="149"/>
      <c r="F65" s="149"/>
      <c r="G65" s="149"/>
      <c r="H65" s="149"/>
      <c r="I65" s="149"/>
      <c r="J65" s="149"/>
      <c r="K65" s="108"/>
    </row>
    <row r="66" spans="1:12" ht="19.5" thickBot="1" x14ac:dyDescent="0.35">
      <c r="A66" s="146" t="s">
        <v>53</v>
      </c>
      <c r="B66" s="147"/>
      <c r="C66" s="150"/>
      <c r="D66" s="149"/>
      <c r="E66" s="149"/>
      <c r="F66" s="149"/>
      <c r="G66" s="149"/>
      <c r="H66" s="149"/>
      <c r="I66" s="149"/>
      <c r="J66" s="149"/>
      <c r="K66" s="108"/>
      <c r="L66" s="41"/>
    </row>
    <row r="67" spans="1:12" ht="18.75" x14ac:dyDescent="0.3">
      <c r="A67" s="151"/>
      <c r="B67" s="151"/>
      <c r="C67" s="152"/>
      <c r="D67" s="153"/>
      <c r="E67" s="153"/>
      <c r="F67" s="153"/>
      <c r="G67" s="153"/>
      <c r="H67" s="153"/>
      <c r="I67" s="153"/>
      <c r="J67" s="153"/>
      <c r="K67" s="111"/>
    </row>
    <row r="68" spans="1:12" ht="18.75" x14ac:dyDescent="0.3">
      <c r="A68" s="151"/>
      <c r="B68" s="151"/>
      <c r="C68" s="152"/>
      <c r="D68" s="153"/>
      <c r="E68" s="153"/>
      <c r="F68" s="153"/>
      <c r="G68" s="153"/>
      <c r="H68" s="153"/>
      <c r="I68" s="153"/>
      <c r="J68" s="153"/>
      <c r="K68" s="111"/>
      <c r="L68" s="41"/>
    </row>
    <row r="69" spans="1:12" ht="16.5" thickBot="1" x14ac:dyDescent="0.3">
      <c r="A69" s="154" t="s">
        <v>54</v>
      </c>
      <c r="B69" s="155"/>
      <c r="C69" s="144"/>
      <c r="D69" s="85"/>
      <c r="E69" s="85"/>
      <c r="F69" s="85"/>
      <c r="G69" s="85"/>
      <c r="H69" s="85"/>
      <c r="I69" s="85"/>
      <c r="J69" s="85"/>
      <c r="K69" s="85"/>
    </row>
    <row r="70" spans="1:12" ht="19.5" thickBot="1" x14ac:dyDescent="0.35">
      <c r="A70" s="156" t="s">
        <v>55</v>
      </c>
      <c r="B70" s="157"/>
      <c r="C70" s="158"/>
      <c r="D70" s="159"/>
      <c r="E70" s="159"/>
      <c r="F70" s="159"/>
      <c r="G70" s="159"/>
      <c r="H70" s="159"/>
      <c r="I70" s="159"/>
      <c r="J70" s="159"/>
      <c r="K70" s="160">
        <v>546</v>
      </c>
    </row>
    <row r="71" spans="1:12" x14ac:dyDescent="0.25">
      <c r="A71" s="161"/>
      <c r="B71" s="84"/>
      <c r="C71" s="144"/>
      <c r="D71" s="85"/>
      <c r="E71" s="85"/>
      <c r="F71" s="85"/>
      <c r="G71" s="85"/>
      <c r="H71" s="85"/>
      <c r="I71" s="85"/>
      <c r="J71" s="85"/>
      <c r="K71" s="85"/>
    </row>
    <row r="72" spans="1:12" ht="16.5" thickBot="1" x14ac:dyDescent="0.3">
      <c r="A72" s="154"/>
      <c r="B72" s="155"/>
      <c r="C72" s="144"/>
      <c r="D72" s="85"/>
      <c r="E72" s="85"/>
      <c r="F72" s="85"/>
      <c r="G72" s="85"/>
      <c r="H72" s="85"/>
      <c r="I72" s="85"/>
      <c r="J72" s="85"/>
      <c r="K72" s="85"/>
    </row>
    <row r="73" spans="1:12" ht="19.5" thickBot="1" x14ac:dyDescent="0.35">
      <c r="A73" s="156" t="s">
        <v>56</v>
      </c>
      <c r="B73" s="157"/>
      <c r="C73" s="162"/>
      <c r="D73" s="159"/>
      <c r="E73" s="159"/>
      <c r="F73" s="159"/>
      <c r="G73" s="159"/>
      <c r="H73" s="159"/>
      <c r="I73" s="159"/>
      <c r="J73" s="159"/>
      <c r="K73" s="163"/>
    </row>
    <row r="74" spans="1:12" ht="15.75" thickBot="1" x14ac:dyDescent="0.3">
      <c r="A74" s="161"/>
      <c r="B74" s="84"/>
      <c r="C74" s="144"/>
      <c r="D74" s="85"/>
      <c r="E74" s="85"/>
      <c r="F74" s="85"/>
      <c r="G74" s="85"/>
      <c r="H74" s="85"/>
      <c r="I74" s="85"/>
      <c r="J74" s="85"/>
      <c r="K74" s="85"/>
    </row>
    <row r="75" spans="1:12" ht="21.75" thickBot="1" x14ac:dyDescent="0.4">
      <c r="A75" s="494" t="s">
        <v>57</v>
      </c>
      <c r="B75" s="495"/>
      <c r="C75" s="164"/>
      <c r="D75" s="165"/>
      <c r="E75" s="165"/>
      <c r="F75" s="165"/>
      <c r="G75" s="165"/>
      <c r="H75" s="165"/>
      <c r="I75" s="165"/>
      <c r="J75" s="165"/>
      <c r="K75" s="166">
        <f>SUM(K61:K74)</f>
        <v>1965.2</v>
      </c>
    </row>
    <row r="76" spans="1:12" x14ac:dyDescent="0.25">
      <c r="A76" s="84"/>
      <c r="B76" s="84"/>
      <c r="C76" s="144"/>
      <c r="D76" s="85"/>
      <c r="E76" s="85"/>
      <c r="F76" s="85"/>
      <c r="G76" s="85"/>
      <c r="H76" s="85"/>
      <c r="I76" s="85"/>
      <c r="J76" s="85"/>
      <c r="K76" s="85"/>
    </row>
    <row r="77" spans="1:12" ht="21" x14ac:dyDescent="0.35">
      <c r="A77" s="491" t="s">
        <v>631</v>
      </c>
      <c r="B77" s="491"/>
      <c r="C77" s="491"/>
      <c r="D77" s="491"/>
      <c r="E77" s="491"/>
      <c r="F77" s="491"/>
      <c r="G77" s="491"/>
      <c r="H77" s="491"/>
      <c r="I77" s="491"/>
      <c r="J77" s="491"/>
      <c r="K77" s="491"/>
    </row>
    <row r="78" spans="1:12" ht="21.75" thickBot="1" x14ac:dyDescent="0.4">
      <c r="A78" s="382" t="s">
        <v>10</v>
      </c>
      <c r="B78" s="382"/>
      <c r="C78" s="382"/>
      <c r="D78" s="382"/>
      <c r="E78" s="382"/>
      <c r="F78" s="382"/>
      <c r="G78" s="382"/>
      <c r="H78" s="382"/>
      <c r="I78" s="382"/>
      <c r="J78" s="382"/>
      <c r="K78" s="168"/>
    </row>
    <row r="79" spans="1:12" ht="15.75" thickBot="1" x14ac:dyDescent="0.3">
      <c r="A79" s="169" t="s">
        <v>58</v>
      </c>
      <c r="B79" s="170" t="s">
        <v>59</v>
      </c>
      <c r="C79" s="496" t="s">
        <v>33</v>
      </c>
      <c r="D79" s="497"/>
      <c r="E79" s="497"/>
      <c r="F79" s="497"/>
      <c r="G79" s="497"/>
      <c r="H79" s="497"/>
      <c r="I79" s="497"/>
      <c r="J79" s="498"/>
      <c r="K79" s="171" t="s">
        <v>4</v>
      </c>
    </row>
    <row r="80" spans="1:12" ht="15.75" thickBot="1" x14ac:dyDescent="0.3">
      <c r="A80" s="172" t="s">
        <v>142</v>
      </c>
      <c r="B80" s="173" t="s">
        <v>635</v>
      </c>
      <c r="C80" s="504" t="s">
        <v>636</v>
      </c>
      <c r="D80" s="505"/>
      <c r="E80" s="505"/>
      <c r="F80" s="505"/>
      <c r="G80" s="505"/>
      <c r="H80" s="505"/>
      <c r="I80" s="505"/>
      <c r="J80" s="528"/>
      <c r="K80" s="104">
        <v>24</v>
      </c>
    </row>
    <row r="81" spans="1:11" ht="15.75" thickBot="1" x14ac:dyDescent="0.3">
      <c r="A81" s="121" t="s">
        <v>271</v>
      </c>
      <c r="B81" s="394">
        <v>67765</v>
      </c>
      <c r="C81" s="504" t="s">
        <v>637</v>
      </c>
      <c r="D81" s="505"/>
      <c r="E81" s="505"/>
      <c r="F81" s="505"/>
      <c r="G81" s="505"/>
      <c r="H81" s="505"/>
      <c r="I81" s="505"/>
      <c r="J81" s="528"/>
      <c r="K81" s="104">
        <v>11.4</v>
      </c>
    </row>
    <row r="82" spans="1:11" ht="15.75" thickBot="1" x14ac:dyDescent="0.3">
      <c r="A82" s="121" t="s">
        <v>638</v>
      </c>
      <c r="B82" s="173">
        <v>1051398</v>
      </c>
      <c r="C82" s="504" t="s">
        <v>672</v>
      </c>
      <c r="D82" s="505"/>
      <c r="E82" s="505"/>
      <c r="F82" s="505"/>
      <c r="G82" s="505"/>
      <c r="H82" s="505"/>
      <c r="I82" s="505"/>
      <c r="J82" s="528"/>
      <c r="K82" s="174">
        <v>19.8</v>
      </c>
    </row>
    <row r="83" spans="1:11" ht="15.75" thickBot="1" x14ac:dyDescent="0.3">
      <c r="A83" s="121" t="s">
        <v>109</v>
      </c>
      <c r="B83" s="173" t="s">
        <v>643</v>
      </c>
      <c r="C83" s="504" t="s">
        <v>644</v>
      </c>
      <c r="D83" s="505"/>
      <c r="E83" s="505"/>
      <c r="F83" s="505"/>
      <c r="G83" s="505"/>
      <c r="H83" s="505"/>
      <c r="I83" s="505"/>
      <c r="J83" s="528"/>
      <c r="K83" s="104">
        <v>64</v>
      </c>
    </row>
    <row r="84" spans="1:11" ht="15.75" thickBot="1" x14ac:dyDescent="0.3">
      <c r="A84" s="121" t="s">
        <v>645</v>
      </c>
      <c r="B84" s="173" t="s">
        <v>646</v>
      </c>
      <c r="C84" s="504" t="s">
        <v>647</v>
      </c>
      <c r="D84" s="505"/>
      <c r="E84" s="505"/>
      <c r="F84" s="505"/>
      <c r="G84" s="505"/>
      <c r="H84" s="505"/>
      <c r="I84" s="505"/>
      <c r="J84" s="528"/>
      <c r="K84" s="104">
        <v>52</v>
      </c>
    </row>
    <row r="85" spans="1:11" ht="15.75" thickBot="1" x14ac:dyDescent="0.3">
      <c r="A85" s="121" t="s">
        <v>649</v>
      </c>
      <c r="B85" s="173" t="s">
        <v>650</v>
      </c>
      <c r="C85" s="504" t="s">
        <v>648</v>
      </c>
      <c r="D85" s="505"/>
      <c r="E85" s="505"/>
      <c r="F85" s="505"/>
      <c r="G85" s="505"/>
      <c r="H85" s="505"/>
      <c r="I85" s="505"/>
      <c r="J85" s="528"/>
      <c r="K85" s="104">
        <v>2</v>
      </c>
    </row>
    <row r="86" spans="1:11" ht="30.75" thickBot="1" x14ac:dyDescent="0.3">
      <c r="A86" s="121" t="s">
        <v>654</v>
      </c>
      <c r="B86" s="173" t="s">
        <v>655</v>
      </c>
      <c r="C86" s="504" t="s">
        <v>656</v>
      </c>
      <c r="D86" s="505"/>
      <c r="E86" s="505"/>
      <c r="F86" s="505"/>
      <c r="G86" s="505"/>
      <c r="H86" s="505"/>
      <c r="I86" s="505"/>
      <c r="J86" s="528"/>
      <c r="K86" s="118">
        <v>330</v>
      </c>
    </row>
    <row r="87" spans="1:11" ht="15.75" thickBot="1" x14ac:dyDescent="0.3">
      <c r="A87" s="121" t="s">
        <v>661</v>
      </c>
      <c r="B87" s="173" t="s">
        <v>662</v>
      </c>
      <c r="C87" s="504" t="s">
        <v>671</v>
      </c>
      <c r="D87" s="505"/>
      <c r="E87" s="505"/>
      <c r="F87" s="505"/>
      <c r="G87" s="505"/>
      <c r="H87" s="505"/>
      <c r="I87" s="505"/>
      <c r="J87" s="528"/>
      <c r="K87" s="118">
        <v>330</v>
      </c>
    </row>
    <row r="88" spans="1:11" ht="15.75" thickBot="1" x14ac:dyDescent="0.3">
      <c r="A88" s="121" t="s">
        <v>481</v>
      </c>
      <c r="B88" s="173">
        <v>892</v>
      </c>
      <c r="C88" s="504" t="s">
        <v>667</v>
      </c>
      <c r="D88" s="505"/>
      <c r="E88" s="505"/>
      <c r="F88" s="505"/>
      <c r="G88" s="505"/>
      <c r="H88" s="505"/>
      <c r="I88" s="505"/>
      <c r="J88" s="528"/>
      <c r="K88" s="118">
        <v>5</v>
      </c>
    </row>
    <row r="89" spans="1:11" ht="15.75" thickBot="1" x14ac:dyDescent="0.3">
      <c r="A89" s="121" t="s">
        <v>464</v>
      </c>
      <c r="B89" s="173" t="s">
        <v>665</v>
      </c>
      <c r="C89" s="504" t="s">
        <v>666</v>
      </c>
      <c r="D89" s="505"/>
      <c r="E89" s="505"/>
      <c r="F89" s="505"/>
      <c r="G89" s="505"/>
      <c r="H89" s="505"/>
      <c r="I89" s="505"/>
      <c r="J89" s="528"/>
      <c r="K89" s="118">
        <v>15.6</v>
      </c>
    </row>
    <row r="90" spans="1:11" ht="15.75" thickBot="1" x14ac:dyDescent="0.3">
      <c r="A90" s="404" t="s">
        <v>673</v>
      </c>
      <c r="B90" s="393">
        <v>882</v>
      </c>
      <c r="C90" s="504" t="s">
        <v>674</v>
      </c>
      <c r="D90" s="505"/>
      <c r="E90" s="505"/>
      <c r="F90" s="505"/>
      <c r="G90" s="505"/>
      <c r="H90" s="505"/>
      <c r="I90" s="505"/>
      <c r="J90" s="528"/>
      <c r="K90" s="405">
        <v>13.5</v>
      </c>
    </row>
    <row r="91" spans="1:11" ht="19.5" thickBot="1" x14ac:dyDescent="0.35">
      <c r="A91" s="175" t="s">
        <v>60</v>
      </c>
      <c r="B91" s="492"/>
      <c r="C91" s="499"/>
      <c r="D91" s="499"/>
      <c r="E91" s="499"/>
      <c r="F91" s="499"/>
      <c r="G91" s="499"/>
      <c r="H91" s="499"/>
      <c r="I91" s="499"/>
      <c r="J91" s="493"/>
      <c r="K91" s="176">
        <f>SUM(K80:K90)</f>
        <v>867.30000000000007</v>
      </c>
    </row>
    <row r="92" spans="1:11" ht="18.75" x14ac:dyDescent="0.3">
      <c r="A92" s="2"/>
      <c r="B92" s="2"/>
      <c r="C92" s="177"/>
      <c r="D92" s="177"/>
      <c r="E92" s="177"/>
      <c r="F92" s="178"/>
      <c r="G92" s="177"/>
      <c r="H92" s="177"/>
      <c r="I92" s="177"/>
      <c r="J92" s="177"/>
      <c r="K92" s="111"/>
    </row>
    <row r="93" spans="1:11" ht="18.75" x14ac:dyDescent="0.3">
      <c r="A93" s="2"/>
      <c r="B93" s="2"/>
      <c r="C93" s="177"/>
      <c r="D93" s="177"/>
      <c r="E93" s="177"/>
      <c r="F93" s="178"/>
      <c r="G93" s="177"/>
      <c r="H93" s="177"/>
      <c r="I93" s="177"/>
      <c r="J93" s="177"/>
      <c r="K93" s="111"/>
    </row>
    <row r="94" spans="1:11" ht="18.75" x14ac:dyDescent="0.3">
      <c r="A94" s="139" t="s">
        <v>61</v>
      </c>
      <c r="B94" s="2"/>
      <c r="C94" s="84"/>
      <c r="D94" s="85"/>
      <c r="F94" s="85"/>
      <c r="K94" s="85"/>
    </row>
    <row r="95" spans="1:11" x14ac:dyDescent="0.25">
      <c r="A95" s="84" t="s">
        <v>62</v>
      </c>
      <c r="B95" s="144">
        <f>+K75</f>
        <v>1965.2</v>
      </c>
      <c r="C95" s="179"/>
      <c r="D95" s="85"/>
      <c r="F95" s="85"/>
      <c r="K95" s="85"/>
    </row>
    <row r="96" spans="1:11" ht="15.75" thickBot="1" x14ac:dyDescent="0.3">
      <c r="A96" s="84" t="s">
        <v>60</v>
      </c>
      <c r="B96" s="180">
        <f>+K91</f>
        <v>867.30000000000007</v>
      </c>
      <c r="C96" s="181"/>
      <c r="D96" s="85"/>
      <c r="F96" s="85"/>
      <c r="G96" s="182"/>
      <c r="H96" s="182"/>
      <c r="I96" s="183"/>
      <c r="J96" s="183"/>
      <c r="K96" s="183"/>
    </row>
    <row r="97" spans="1:10" ht="17.25" thickTop="1" thickBot="1" x14ac:dyDescent="0.3">
      <c r="A97" s="139" t="s">
        <v>8</v>
      </c>
      <c r="B97" s="184">
        <f>++B95-B96</f>
        <v>1097.9000000000001</v>
      </c>
      <c r="C97" s="185"/>
      <c r="D97" s="186"/>
      <c r="E97" s="41"/>
      <c r="F97" s="186"/>
      <c r="G97" s="187"/>
      <c r="H97" s="187"/>
      <c r="I97" s="85"/>
      <c r="J97" s="85"/>
    </row>
    <row r="98" spans="1:10" ht="15.75" thickTop="1" x14ac:dyDescent="0.25"/>
  </sheetData>
  <mergeCells count="20">
    <mergeCell ref="A1:K1"/>
    <mergeCell ref="A61:B61"/>
    <mergeCell ref="A75:B75"/>
    <mergeCell ref="A77:K77"/>
    <mergeCell ref="C79:J79"/>
    <mergeCell ref="B44:B45"/>
    <mergeCell ref="A44:A45"/>
    <mergeCell ref="A27:A28"/>
    <mergeCell ref="C84:J84"/>
    <mergeCell ref="C85:J85"/>
    <mergeCell ref="C86:J86"/>
    <mergeCell ref="C80:J80"/>
    <mergeCell ref="B91:J91"/>
    <mergeCell ref="C90:J90"/>
    <mergeCell ref="C87:J87"/>
    <mergeCell ref="C88:J88"/>
    <mergeCell ref="C89:J89"/>
    <mergeCell ref="C81:J81"/>
    <mergeCell ref="C82:J82"/>
    <mergeCell ref="C83:J83"/>
  </mergeCells>
  <phoneticPr fontId="15" type="noConversion"/>
  <pageMargins left="0.17" right="0.17" top="0.17" bottom="0.17" header="0.17" footer="0.17"/>
  <pageSetup paperSize="9" scale="48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7B30-C323-44D8-82C3-3D808C99FF55}">
  <sheetPr>
    <pageSetUpPr fitToPage="1"/>
  </sheetPr>
  <dimension ref="A1:O97"/>
  <sheetViews>
    <sheetView topLeftCell="A61" workbookViewId="0">
      <selection activeCell="C87" sqref="C87:J87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11" max="11" width="14" bestFit="1" customWidth="1"/>
  </cols>
  <sheetData>
    <row r="1" spans="1:11" ht="21" x14ac:dyDescent="0.35">
      <c r="A1" s="491" t="s">
        <v>668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</row>
    <row r="2" spans="1:11" ht="15.75" thickBot="1" x14ac:dyDescent="0.3">
      <c r="A2" s="83"/>
      <c r="B2" s="84"/>
      <c r="C2" s="84"/>
      <c r="K2" s="85"/>
    </row>
    <row r="3" spans="1:11" ht="4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347" t="s">
        <v>489</v>
      </c>
      <c r="K3" s="87" t="s">
        <v>4</v>
      </c>
    </row>
    <row r="4" spans="1:11" ht="15.75" thickBot="1" x14ac:dyDescent="0.3">
      <c r="A4" s="88" t="s">
        <v>78</v>
      </c>
      <c r="B4" s="88" t="s">
        <v>675</v>
      </c>
      <c r="C4" s="89">
        <v>46113</v>
      </c>
      <c r="D4" s="90"/>
      <c r="E4" s="90"/>
      <c r="F4" s="90"/>
      <c r="G4" s="90"/>
      <c r="H4" s="90"/>
      <c r="I4" s="90">
        <v>10</v>
      </c>
      <c r="J4" s="348"/>
      <c r="K4" s="87">
        <f>SUM(D4:J4)</f>
        <v>10</v>
      </c>
    </row>
    <row r="5" spans="1:11" ht="15.75" thickBot="1" x14ac:dyDescent="0.3">
      <c r="A5" s="88"/>
      <c r="B5" s="88"/>
      <c r="C5" s="89"/>
      <c r="D5" s="90"/>
      <c r="E5" s="90"/>
      <c r="F5" s="90"/>
      <c r="G5" s="90"/>
      <c r="H5" s="90"/>
      <c r="I5" s="90"/>
      <c r="J5" s="348"/>
      <c r="K5" s="87">
        <f t="shared" ref="K5:K22" si="0">SUM(D5:J5)</f>
        <v>0</v>
      </c>
    </row>
    <row r="6" spans="1:11" ht="15.75" thickBot="1" x14ac:dyDescent="0.3">
      <c r="A6" s="88" t="s">
        <v>203</v>
      </c>
      <c r="B6" s="88" t="s">
        <v>670</v>
      </c>
      <c r="C6" s="89">
        <v>46082</v>
      </c>
      <c r="D6" s="90"/>
      <c r="E6" s="90"/>
      <c r="F6" s="90">
        <v>300</v>
      </c>
      <c r="G6" s="90"/>
      <c r="H6" s="90"/>
      <c r="I6" s="90"/>
      <c r="J6" s="348"/>
      <c r="K6" s="87">
        <f t="shared" si="0"/>
        <v>300</v>
      </c>
    </row>
    <row r="7" spans="1:11" ht="15.75" thickBot="1" x14ac:dyDescent="0.3">
      <c r="A7" s="88" t="s">
        <v>38</v>
      </c>
      <c r="B7" s="88" t="s">
        <v>690</v>
      </c>
      <c r="C7" s="89">
        <v>46113</v>
      </c>
      <c r="D7" s="90"/>
      <c r="E7" s="90"/>
      <c r="F7" s="90"/>
      <c r="G7" s="90"/>
      <c r="H7" s="90">
        <v>61.2</v>
      </c>
      <c r="I7" s="90"/>
      <c r="J7" s="348"/>
      <c r="K7" s="87">
        <f t="shared" si="0"/>
        <v>61.2</v>
      </c>
    </row>
    <row r="8" spans="1:11" ht="15.75" thickBot="1" x14ac:dyDescent="0.3">
      <c r="A8" s="88"/>
      <c r="B8" s="88"/>
      <c r="C8" s="89"/>
      <c r="D8" s="90"/>
      <c r="E8" s="90"/>
      <c r="F8" s="90"/>
      <c r="G8" s="90"/>
      <c r="H8" s="90"/>
      <c r="I8" s="90"/>
      <c r="J8" s="348"/>
      <c r="K8" s="87">
        <f t="shared" si="0"/>
        <v>0</v>
      </c>
    </row>
    <row r="9" spans="1:11" ht="15.75" thickBot="1" x14ac:dyDescent="0.3">
      <c r="A9" s="88"/>
      <c r="B9" s="88"/>
      <c r="C9" s="89"/>
      <c r="D9" s="90"/>
      <c r="E9" s="90"/>
      <c r="F9" s="90"/>
      <c r="G9" s="90"/>
      <c r="H9" s="90"/>
      <c r="I9" s="90"/>
      <c r="J9" s="348"/>
      <c r="K9" s="87">
        <f t="shared" si="0"/>
        <v>0</v>
      </c>
    </row>
    <row r="10" spans="1:11" ht="15.75" thickBot="1" x14ac:dyDescent="0.3">
      <c r="A10" s="401"/>
      <c r="B10" s="103"/>
      <c r="C10" s="103"/>
      <c r="D10" s="116"/>
      <c r="E10" s="116"/>
      <c r="F10" s="116"/>
      <c r="G10" s="116"/>
      <c r="H10" s="90"/>
      <c r="I10" s="90"/>
      <c r="J10" s="348"/>
      <c r="K10" s="87">
        <f t="shared" si="0"/>
        <v>0</v>
      </c>
    </row>
    <row r="11" spans="1:11" ht="15.75" thickBot="1" x14ac:dyDescent="0.3">
      <c r="A11" s="88"/>
      <c r="B11" s="88"/>
      <c r="C11" s="89"/>
      <c r="D11" s="90"/>
      <c r="E11" s="90"/>
      <c r="F11" s="90"/>
      <c r="G11" s="90"/>
      <c r="H11" s="90"/>
      <c r="I11" s="90"/>
      <c r="J11" s="348"/>
      <c r="K11" s="87">
        <f t="shared" si="0"/>
        <v>0</v>
      </c>
    </row>
    <row r="12" spans="1:11" ht="15.75" thickBot="1" x14ac:dyDescent="0.3">
      <c r="A12" s="397"/>
      <c r="B12" s="88"/>
      <c r="C12" s="89"/>
      <c r="D12" s="90"/>
      <c r="E12" s="90"/>
      <c r="F12" s="90"/>
      <c r="G12" s="90"/>
      <c r="H12" s="90"/>
      <c r="I12" s="90"/>
      <c r="J12" s="348"/>
      <c r="K12" s="87">
        <f t="shared" si="0"/>
        <v>0</v>
      </c>
    </row>
    <row r="13" spans="1:11" ht="15.75" thickBot="1" x14ac:dyDescent="0.3">
      <c r="A13" s="397"/>
      <c r="B13" s="395"/>
      <c r="C13" s="89"/>
      <c r="D13" s="90"/>
      <c r="E13" s="90"/>
      <c r="F13" s="90"/>
      <c r="G13" s="90"/>
      <c r="H13" s="90"/>
      <c r="I13" s="93"/>
      <c r="J13" s="99"/>
      <c r="K13" s="87">
        <f t="shared" si="0"/>
        <v>0</v>
      </c>
    </row>
    <row r="14" spans="1:11" ht="15.75" thickBot="1" x14ac:dyDescent="0.3">
      <c r="A14" s="88"/>
      <c r="B14" s="88"/>
      <c r="C14" s="89"/>
      <c r="D14" s="90"/>
      <c r="E14" s="90"/>
      <c r="F14" s="90"/>
      <c r="G14" s="90"/>
      <c r="H14" s="90"/>
      <c r="I14" s="90"/>
      <c r="J14" s="348"/>
      <c r="K14" s="87">
        <f t="shared" si="0"/>
        <v>0</v>
      </c>
    </row>
    <row r="15" spans="1:11" ht="15.75" thickBot="1" x14ac:dyDescent="0.3">
      <c r="A15" s="95"/>
      <c r="B15" s="396"/>
      <c r="C15" s="89"/>
      <c r="D15" s="90"/>
      <c r="E15" s="90"/>
      <c r="F15" s="90"/>
      <c r="G15" s="90"/>
      <c r="H15" s="90"/>
      <c r="I15" s="90"/>
      <c r="J15" s="348"/>
      <c r="K15" s="87">
        <f t="shared" si="0"/>
        <v>0</v>
      </c>
    </row>
    <row r="16" spans="1:11" ht="15.75" thickBot="1" x14ac:dyDescent="0.3">
      <c r="A16" s="97"/>
      <c r="B16" s="95"/>
      <c r="C16" s="89"/>
      <c r="D16" s="90"/>
      <c r="E16" s="90"/>
      <c r="F16" s="90"/>
      <c r="G16" s="90"/>
      <c r="H16" s="90"/>
      <c r="I16" s="90"/>
      <c r="J16" s="348"/>
      <c r="K16" s="87">
        <f t="shared" si="0"/>
        <v>0</v>
      </c>
    </row>
    <row r="17" spans="1:14" ht="15.75" thickBot="1" x14ac:dyDescent="0.3">
      <c r="A17" s="398"/>
      <c r="B17" s="398"/>
      <c r="C17" s="89"/>
      <c r="D17" s="90"/>
      <c r="E17" s="90"/>
      <c r="F17" s="90"/>
      <c r="G17" s="90"/>
      <c r="H17" s="90"/>
      <c r="I17" s="90"/>
      <c r="J17" s="348"/>
      <c r="K17" s="87">
        <f t="shared" si="0"/>
        <v>0</v>
      </c>
    </row>
    <row r="18" spans="1:14" ht="15.75" thickBot="1" x14ac:dyDescent="0.3">
      <c r="A18" s="99"/>
      <c r="B18" s="398"/>
      <c r="C18" s="89"/>
      <c r="D18" s="90"/>
      <c r="E18" s="90"/>
      <c r="F18" s="90"/>
      <c r="G18" s="90"/>
      <c r="H18" s="90"/>
      <c r="I18" s="90"/>
      <c r="J18" s="348"/>
      <c r="K18" s="87">
        <f t="shared" si="0"/>
        <v>0</v>
      </c>
    </row>
    <row r="19" spans="1:14" ht="15.75" thickBot="1" x14ac:dyDescent="0.3">
      <c r="A19" s="99"/>
      <c r="B19" s="398"/>
      <c r="C19" s="89"/>
      <c r="D19" s="90"/>
      <c r="E19" s="90"/>
      <c r="F19" s="90"/>
      <c r="G19" s="90"/>
      <c r="H19" s="90"/>
      <c r="I19" s="90"/>
      <c r="J19" s="348"/>
      <c r="K19" s="87">
        <f t="shared" si="0"/>
        <v>0</v>
      </c>
    </row>
    <row r="20" spans="1:14" ht="15.75" thickBot="1" x14ac:dyDescent="0.3">
      <c r="A20" s="100"/>
      <c r="B20" s="398"/>
      <c r="C20" s="89"/>
      <c r="D20" s="90"/>
      <c r="E20" s="90"/>
      <c r="F20" s="90"/>
      <c r="G20" s="90"/>
      <c r="H20" s="90"/>
      <c r="I20" s="90"/>
      <c r="J20" s="348"/>
      <c r="K20" s="87">
        <f t="shared" si="0"/>
        <v>0</v>
      </c>
    </row>
    <row r="21" spans="1:14" ht="15.75" thickBot="1" x14ac:dyDescent="0.3">
      <c r="A21" s="401"/>
      <c r="B21" s="401"/>
      <c r="C21" s="89"/>
      <c r="D21" s="90"/>
      <c r="E21" s="90"/>
      <c r="F21" s="90"/>
      <c r="G21" s="90"/>
      <c r="H21" s="90"/>
      <c r="I21" s="90"/>
      <c r="J21" s="348"/>
      <c r="K21" s="87">
        <f t="shared" si="0"/>
        <v>0</v>
      </c>
    </row>
    <row r="22" spans="1:14" ht="15.75" thickBot="1" x14ac:dyDescent="0.3">
      <c r="A22" s="398"/>
      <c r="B22" s="400"/>
      <c r="C22" s="103"/>
      <c r="D22" s="104"/>
      <c r="E22" s="104"/>
      <c r="F22" s="104"/>
      <c r="G22" s="104"/>
      <c r="H22" s="104"/>
      <c r="I22" s="104"/>
      <c r="J22" s="349"/>
      <c r="K22" s="87">
        <f t="shared" si="0"/>
        <v>0</v>
      </c>
    </row>
    <row r="23" spans="1:14" ht="19.5" thickBot="1" x14ac:dyDescent="0.35">
      <c r="A23" s="105" t="s">
        <v>4</v>
      </c>
      <c r="B23" s="86"/>
      <c r="C23" s="106"/>
      <c r="D23" s="108">
        <f t="shared" ref="D23:J23" si="1">SUM(D4:D22)</f>
        <v>0</v>
      </c>
      <c r="E23" s="108">
        <f t="shared" si="1"/>
        <v>0</v>
      </c>
      <c r="F23" s="108">
        <f t="shared" si="1"/>
        <v>300</v>
      </c>
      <c r="G23" s="108">
        <f t="shared" si="1"/>
        <v>0</v>
      </c>
      <c r="H23" s="108">
        <f t="shared" si="1"/>
        <v>61.2</v>
      </c>
      <c r="I23" s="108">
        <f t="shared" si="1"/>
        <v>10</v>
      </c>
      <c r="J23" s="108">
        <f t="shared" si="1"/>
        <v>0</v>
      </c>
      <c r="K23" s="108">
        <f>SUM(K4:K22)</f>
        <v>371.2</v>
      </c>
    </row>
    <row r="24" spans="1:14" ht="19.5" thickBot="1" x14ac:dyDescent="0.35">
      <c r="A24" s="2"/>
      <c r="B24" s="109"/>
      <c r="C24" s="110"/>
      <c r="D24" s="111"/>
      <c r="E24" s="111"/>
      <c r="F24" s="111"/>
      <c r="G24" s="111"/>
      <c r="H24" s="111"/>
      <c r="I24" s="111"/>
      <c r="J24" s="111"/>
      <c r="K24" s="111"/>
    </row>
    <row r="25" spans="1:14" ht="24" thickBot="1" x14ac:dyDescent="0.4">
      <c r="A25" s="112" t="s">
        <v>40</v>
      </c>
      <c r="B25" s="109"/>
      <c r="C25" s="110"/>
      <c r="D25" s="111"/>
      <c r="E25" s="111"/>
      <c r="F25" s="111"/>
      <c r="G25" s="111"/>
      <c r="H25" s="111"/>
      <c r="I25" s="111"/>
      <c r="J25" s="111"/>
      <c r="K25" s="111"/>
    </row>
    <row r="26" spans="1:14" ht="30.75" thickBot="1" x14ac:dyDescent="0.3">
      <c r="A26" s="113" t="s">
        <v>3</v>
      </c>
      <c r="B26" s="86" t="s">
        <v>32</v>
      </c>
      <c r="C26" s="114" t="s">
        <v>41</v>
      </c>
      <c r="D26" s="114" t="s">
        <v>34</v>
      </c>
      <c r="E26" s="114" t="s">
        <v>35</v>
      </c>
      <c r="F26" s="86" t="s">
        <v>36</v>
      </c>
      <c r="G26" s="86" t="s">
        <v>37</v>
      </c>
      <c r="H26" s="86" t="s">
        <v>42</v>
      </c>
      <c r="I26" s="86" t="s">
        <v>39</v>
      </c>
      <c r="J26" s="86"/>
      <c r="K26" s="115" t="s">
        <v>4</v>
      </c>
    </row>
    <row r="27" spans="1:14" ht="30.75" thickBot="1" x14ac:dyDescent="0.3">
      <c r="A27" s="401" t="s">
        <v>282</v>
      </c>
      <c r="B27" s="103" t="s">
        <v>681</v>
      </c>
      <c r="C27" s="103">
        <v>46113</v>
      </c>
      <c r="D27" s="116"/>
      <c r="E27" s="117"/>
      <c r="F27" s="116"/>
      <c r="G27" s="116">
        <v>30</v>
      </c>
      <c r="H27" s="118"/>
      <c r="I27" s="118"/>
      <c r="J27" s="118"/>
      <c r="K27" s="119">
        <f>SUM(D27:I27)</f>
        <v>30</v>
      </c>
    </row>
    <row r="28" spans="1:14" ht="15.75" thickBot="1" x14ac:dyDescent="0.3">
      <c r="A28" s="401"/>
      <c r="B28" s="400"/>
      <c r="C28" s="103"/>
      <c r="D28" s="116"/>
      <c r="E28" s="117"/>
      <c r="F28" s="116"/>
      <c r="G28" s="116"/>
      <c r="H28" s="118"/>
      <c r="I28" s="118"/>
      <c r="J28" s="118"/>
      <c r="K28" s="119"/>
    </row>
    <row r="29" spans="1:14" ht="15.75" thickBot="1" x14ac:dyDescent="0.3">
      <c r="A29" s="401"/>
      <c r="B29" s="398"/>
      <c r="C29" s="89"/>
      <c r="D29" s="120"/>
      <c r="E29" s="120"/>
      <c r="F29" s="120"/>
      <c r="G29" s="120"/>
      <c r="H29" s="90"/>
      <c r="I29" s="90"/>
      <c r="J29" s="90"/>
      <c r="K29" s="119">
        <f t="shared" ref="K29:K30" si="2">SUM(D29:I29)</f>
        <v>0</v>
      </c>
    </row>
    <row r="30" spans="1:14" ht="15.75" thickBot="1" x14ac:dyDescent="0.3">
      <c r="A30" s="86"/>
      <c r="B30" s="121"/>
      <c r="C30" s="89"/>
      <c r="D30" s="120"/>
      <c r="E30" s="120"/>
      <c r="F30" s="120"/>
      <c r="G30" s="120"/>
      <c r="H30" s="90"/>
      <c r="I30" s="90"/>
      <c r="J30" s="90"/>
      <c r="K30" s="119">
        <f t="shared" si="2"/>
        <v>0</v>
      </c>
      <c r="M30" s="122" t="s">
        <v>43</v>
      </c>
      <c r="N30" s="123">
        <f>K31+K39</f>
        <v>30</v>
      </c>
    </row>
    <row r="31" spans="1:14" ht="15.75" thickBot="1" x14ac:dyDescent="0.3">
      <c r="A31" s="86" t="s">
        <v>4</v>
      </c>
      <c r="B31" s="402"/>
      <c r="C31" s="125"/>
      <c r="D31" s="116">
        <f>SUM(D27:D30)</f>
        <v>0</v>
      </c>
      <c r="E31" s="116">
        <f t="shared" ref="E31:J31" si="3">SUM(E27:E30)</f>
        <v>0</v>
      </c>
      <c r="F31" s="116">
        <f t="shared" si="3"/>
        <v>0</v>
      </c>
      <c r="G31" s="116">
        <f t="shared" si="3"/>
        <v>30</v>
      </c>
      <c r="H31" s="116">
        <f t="shared" si="3"/>
        <v>0</v>
      </c>
      <c r="I31" s="116">
        <f t="shared" si="3"/>
        <v>0</v>
      </c>
      <c r="J31" s="116">
        <f t="shared" si="3"/>
        <v>0</v>
      </c>
      <c r="K31" s="94">
        <f>SUM(K27:K30)</f>
        <v>30</v>
      </c>
    </row>
    <row r="32" spans="1:14" ht="15.75" thickBot="1" x14ac:dyDescent="0.3">
      <c r="A32" s="109"/>
      <c r="B32" s="127"/>
      <c r="C32" s="128"/>
      <c r="D32" s="129"/>
      <c r="E32" s="129"/>
      <c r="F32" s="129"/>
      <c r="G32" s="129"/>
      <c r="H32" s="129"/>
      <c r="I32" s="129"/>
      <c r="J32" s="129"/>
      <c r="K32" s="130"/>
    </row>
    <row r="33" spans="1:14" ht="24" thickBot="1" x14ac:dyDescent="0.4">
      <c r="A33" s="112" t="s">
        <v>40</v>
      </c>
      <c r="B33" s="109"/>
      <c r="C33" s="110"/>
      <c r="D33" s="111"/>
      <c r="E33" s="111"/>
      <c r="F33" s="111"/>
      <c r="G33" s="111"/>
      <c r="H33" s="111"/>
      <c r="I33" s="111"/>
      <c r="J33" s="111"/>
      <c r="K33" s="111"/>
    </row>
    <row r="34" spans="1:14" ht="45.75" thickBot="1" x14ac:dyDescent="0.3">
      <c r="A34" s="131" t="s">
        <v>44</v>
      </c>
      <c r="B34" s="86" t="s">
        <v>45</v>
      </c>
      <c r="C34" s="114" t="s">
        <v>41</v>
      </c>
      <c r="D34" s="114" t="s">
        <v>34</v>
      </c>
      <c r="E34" s="114" t="s">
        <v>35</v>
      </c>
      <c r="F34" s="114" t="s">
        <v>46</v>
      </c>
      <c r="G34" s="114" t="s">
        <v>47</v>
      </c>
      <c r="H34" s="114" t="s">
        <v>42</v>
      </c>
      <c r="I34" s="132" t="s">
        <v>48</v>
      </c>
      <c r="J34" s="86"/>
      <c r="K34" s="115" t="s">
        <v>4</v>
      </c>
    </row>
    <row r="35" spans="1:14" ht="15.75" thickBot="1" x14ac:dyDescent="0.3">
      <c r="A35" s="133"/>
      <c r="B35" s="99"/>
      <c r="C35" s="89"/>
      <c r="D35" s="90"/>
      <c r="E35" s="90"/>
      <c r="F35" s="90"/>
      <c r="G35" s="90"/>
      <c r="H35" s="90"/>
      <c r="I35" s="90"/>
      <c r="J35" s="348"/>
      <c r="K35" s="87">
        <f t="shared" ref="K35:K38" si="4">SUM(D35:I35)</f>
        <v>0</v>
      </c>
    </row>
    <row r="36" spans="1:14" ht="15.75" thickBot="1" x14ac:dyDescent="0.3">
      <c r="A36" s="95"/>
      <c r="B36" s="103"/>
      <c r="C36" s="89"/>
      <c r="D36" s="116"/>
      <c r="E36" s="116"/>
      <c r="F36" s="116"/>
      <c r="G36" s="116"/>
      <c r="H36" s="118"/>
      <c r="I36" s="118"/>
      <c r="J36" s="118"/>
      <c r="K36" s="119">
        <f t="shared" si="4"/>
        <v>0</v>
      </c>
    </row>
    <row r="37" spans="1:14" ht="15.75" thickBot="1" x14ac:dyDescent="0.3">
      <c r="A37" s="401"/>
      <c r="B37" s="398"/>
      <c r="C37" s="89"/>
      <c r="D37" s="120"/>
      <c r="E37" s="120"/>
      <c r="F37" s="120"/>
      <c r="G37" s="120"/>
      <c r="H37" s="90"/>
      <c r="I37" s="90"/>
      <c r="J37" s="90"/>
      <c r="K37" s="119">
        <f t="shared" si="4"/>
        <v>0</v>
      </c>
    </row>
    <row r="38" spans="1:14" ht="15.75" thickBot="1" x14ac:dyDescent="0.3">
      <c r="A38" s="86"/>
      <c r="B38" s="121"/>
      <c r="C38" s="89"/>
      <c r="D38" s="120"/>
      <c r="E38" s="120"/>
      <c r="F38" s="120"/>
      <c r="G38" s="120"/>
      <c r="H38" s="90"/>
      <c r="I38" s="90"/>
      <c r="J38" s="90"/>
      <c r="K38" s="119">
        <f t="shared" si="4"/>
        <v>0</v>
      </c>
      <c r="M38" s="134"/>
      <c r="N38" s="135"/>
    </row>
    <row r="39" spans="1:14" ht="15.75" thickBot="1" x14ac:dyDescent="0.3">
      <c r="A39" s="86" t="s">
        <v>4</v>
      </c>
      <c r="B39" s="402"/>
      <c r="C39" s="125"/>
      <c r="D39" s="116">
        <f>SUM(D35:D38)</f>
        <v>0</v>
      </c>
      <c r="E39" s="116">
        <f t="shared" ref="E39:J39" si="5">SUM(E35:E38)</f>
        <v>0</v>
      </c>
      <c r="F39" s="116">
        <f t="shared" si="5"/>
        <v>0</v>
      </c>
      <c r="G39" s="116">
        <f t="shared" si="5"/>
        <v>0</v>
      </c>
      <c r="H39" s="116">
        <f t="shared" si="5"/>
        <v>0</v>
      </c>
      <c r="I39" s="116">
        <f t="shared" si="5"/>
        <v>0</v>
      </c>
      <c r="J39" s="116">
        <f t="shared" si="5"/>
        <v>0</v>
      </c>
      <c r="K39" s="94">
        <f>SUM(K35:K38)</f>
        <v>0</v>
      </c>
    </row>
    <row r="40" spans="1:14" x14ac:dyDescent="0.25">
      <c r="A40" s="109"/>
      <c r="B40" s="127"/>
      <c r="C40" s="128"/>
      <c r="D40" s="129"/>
      <c r="E40" s="129"/>
      <c r="F40" s="129"/>
      <c r="G40" s="129"/>
      <c r="H40" s="129"/>
      <c r="I40" s="129"/>
      <c r="J40" s="129"/>
      <c r="K40" s="130"/>
    </row>
    <row r="41" spans="1:14" x14ac:dyDescent="0.25">
      <c r="A41" s="109"/>
      <c r="B41" s="127"/>
      <c r="C41" s="128"/>
      <c r="D41" s="129"/>
      <c r="E41" s="129"/>
      <c r="F41" s="129"/>
      <c r="G41" s="129"/>
      <c r="H41" s="129"/>
      <c r="I41" s="129"/>
      <c r="J41" s="129"/>
      <c r="K41" s="130"/>
    </row>
    <row r="42" spans="1:14" ht="15.75" thickBot="1" x14ac:dyDescent="0.3">
      <c r="A42" s="84"/>
      <c r="B42" s="84"/>
      <c r="C42" s="84"/>
      <c r="K42" s="85"/>
    </row>
    <row r="43" spans="1:14" ht="45.75" thickBot="1" x14ac:dyDescent="0.3">
      <c r="A43" s="114" t="s">
        <v>49</v>
      </c>
      <c r="B43" s="86" t="s">
        <v>45</v>
      </c>
      <c r="C43" s="114" t="s">
        <v>41</v>
      </c>
      <c r="D43" s="114" t="s">
        <v>34</v>
      </c>
      <c r="E43" s="114" t="s">
        <v>35</v>
      </c>
      <c r="F43" s="114" t="s">
        <v>46</v>
      </c>
      <c r="G43" s="114" t="s">
        <v>47</v>
      </c>
      <c r="H43" s="86" t="s">
        <v>48</v>
      </c>
      <c r="I43" s="132" t="s">
        <v>42</v>
      </c>
      <c r="J43" s="86" t="s">
        <v>497</v>
      </c>
      <c r="K43" s="115" t="s">
        <v>4</v>
      </c>
    </row>
    <row r="44" spans="1:14" ht="15.75" thickBot="1" x14ac:dyDescent="0.3">
      <c r="A44" s="103" t="s">
        <v>676</v>
      </c>
      <c r="B44" s="103" t="s">
        <v>677</v>
      </c>
      <c r="C44" s="417">
        <v>46082</v>
      </c>
      <c r="D44" s="118">
        <v>23.3</v>
      </c>
      <c r="E44" s="118">
        <v>6</v>
      </c>
      <c r="F44" s="118"/>
      <c r="G44" s="118"/>
      <c r="H44" s="118"/>
      <c r="I44" s="118"/>
      <c r="J44" s="118"/>
      <c r="K44" s="119">
        <f>SUM(D44:J44)</f>
        <v>29.3</v>
      </c>
    </row>
    <row r="45" spans="1:14" ht="15.75" thickBot="1" x14ac:dyDescent="0.3">
      <c r="A45" s="103" t="s">
        <v>682</v>
      </c>
      <c r="B45" s="103" t="s">
        <v>683</v>
      </c>
      <c r="C45" s="417">
        <v>46082</v>
      </c>
      <c r="D45" s="118"/>
      <c r="E45" s="118"/>
      <c r="F45" s="118">
        <v>60</v>
      </c>
      <c r="G45" s="118">
        <v>5</v>
      </c>
      <c r="H45" s="118"/>
      <c r="I45" s="118"/>
      <c r="J45" s="118"/>
      <c r="K45" s="119">
        <f>SUM(D45:J45)</f>
        <v>65</v>
      </c>
    </row>
    <row r="46" spans="1:14" ht="15.75" thickBot="1" x14ac:dyDescent="0.3">
      <c r="A46" s="103"/>
      <c r="B46" s="103"/>
      <c r="C46" s="415"/>
      <c r="D46" s="118"/>
      <c r="E46" s="118"/>
      <c r="F46" s="118"/>
      <c r="G46" s="118"/>
      <c r="H46" s="118"/>
      <c r="I46" s="118"/>
      <c r="J46" s="118"/>
      <c r="K46" s="119">
        <f t="shared" ref="K46:K57" si="6">SUM(D46:J46)</f>
        <v>0</v>
      </c>
    </row>
    <row r="47" spans="1:14" ht="15.75" thickBot="1" x14ac:dyDescent="0.3">
      <c r="A47" s="103"/>
      <c r="B47" s="103"/>
      <c r="C47" s="415"/>
      <c r="D47" s="118"/>
      <c r="E47" s="118"/>
      <c r="F47" s="118"/>
      <c r="G47" s="118"/>
      <c r="H47" s="118"/>
      <c r="I47" s="118"/>
      <c r="J47" s="118"/>
      <c r="K47" s="119">
        <f t="shared" si="6"/>
        <v>0</v>
      </c>
    </row>
    <row r="48" spans="1:14" ht="15.75" thickBot="1" x14ac:dyDescent="0.3">
      <c r="A48" s="103"/>
      <c r="B48" s="103"/>
      <c r="C48" s="415"/>
      <c r="D48" s="118"/>
      <c r="E48" s="118"/>
      <c r="F48" s="118"/>
      <c r="G48" s="118"/>
      <c r="H48" s="118"/>
      <c r="I48" s="118"/>
      <c r="J48" s="118"/>
      <c r="K48" s="119">
        <f t="shared" si="6"/>
        <v>0</v>
      </c>
    </row>
    <row r="49" spans="1:11" ht="15.75" thickBot="1" x14ac:dyDescent="0.3">
      <c r="A49" s="398"/>
      <c r="B49" s="103"/>
      <c r="C49" s="416"/>
      <c r="D49" s="118"/>
      <c r="E49" s="118"/>
      <c r="F49" s="118"/>
      <c r="G49" s="118"/>
      <c r="H49" s="118"/>
      <c r="I49" s="118"/>
      <c r="J49" s="118"/>
      <c r="K49" s="119">
        <f t="shared" si="6"/>
        <v>0</v>
      </c>
    </row>
    <row r="50" spans="1:11" ht="15.75" thickBot="1" x14ac:dyDescent="0.3">
      <c r="A50" s="398"/>
      <c r="B50" s="103"/>
      <c r="C50" s="416"/>
      <c r="D50" s="118"/>
      <c r="E50" s="118"/>
      <c r="F50" s="118"/>
      <c r="G50" s="118"/>
      <c r="H50" s="118"/>
      <c r="I50" s="118"/>
      <c r="J50" s="118"/>
      <c r="K50" s="119">
        <f t="shared" si="6"/>
        <v>0</v>
      </c>
    </row>
    <row r="51" spans="1:11" ht="15.75" thickBot="1" x14ac:dyDescent="0.3">
      <c r="A51" s="398"/>
      <c r="B51" s="103"/>
      <c r="C51" s="103"/>
      <c r="D51" s="118"/>
      <c r="E51" s="118"/>
      <c r="F51" s="118"/>
      <c r="G51" s="118"/>
      <c r="H51" s="118"/>
      <c r="I51" s="118"/>
      <c r="J51" s="118"/>
      <c r="K51" s="119">
        <f t="shared" si="6"/>
        <v>0</v>
      </c>
    </row>
    <row r="52" spans="1:11" ht="15.75" thickBot="1" x14ac:dyDescent="0.3">
      <c r="A52" s="398"/>
      <c r="B52" s="103"/>
      <c r="C52" s="103"/>
      <c r="D52" s="118"/>
      <c r="E52" s="118"/>
      <c r="F52" s="118"/>
      <c r="G52" s="118"/>
      <c r="H52" s="118"/>
      <c r="I52" s="118"/>
      <c r="J52" s="118"/>
      <c r="K52" s="119">
        <f t="shared" si="6"/>
        <v>0</v>
      </c>
    </row>
    <row r="53" spans="1:11" ht="15.75" thickBot="1" x14ac:dyDescent="0.3">
      <c r="A53" s="398"/>
      <c r="B53" s="103"/>
      <c r="C53" s="103"/>
      <c r="D53" s="118"/>
      <c r="E53" s="118"/>
      <c r="F53" s="118"/>
      <c r="G53" s="118"/>
      <c r="H53" s="118"/>
      <c r="I53" s="118"/>
      <c r="J53" s="118"/>
      <c r="K53" s="119">
        <f t="shared" si="6"/>
        <v>0</v>
      </c>
    </row>
    <row r="54" spans="1:11" ht="15.75" thickBot="1" x14ac:dyDescent="0.3">
      <c r="A54" s="137"/>
      <c r="B54" s="103"/>
      <c r="C54" s="103"/>
      <c r="D54" s="118"/>
      <c r="E54" s="118"/>
      <c r="F54" s="118"/>
      <c r="G54" s="118"/>
      <c r="H54" s="118"/>
      <c r="I54" s="118"/>
      <c r="J54" s="118"/>
      <c r="K54" s="119">
        <f t="shared" si="6"/>
        <v>0</v>
      </c>
    </row>
    <row r="55" spans="1:11" ht="15.75" thickBot="1" x14ac:dyDescent="0.3">
      <c r="A55" s="121"/>
      <c r="B55" s="103"/>
      <c r="C55" s="103"/>
      <c r="D55" s="118"/>
      <c r="F55" s="118"/>
      <c r="G55" s="118"/>
      <c r="H55" s="118"/>
      <c r="I55" s="118"/>
      <c r="J55" s="118"/>
      <c r="K55" s="119">
        <f t="shared" si="6"/>
        <v>0</v>
      </c>
    </row>
    <row r="56" spans="1:11" ht="15.75" thickBot="1" x14ac:dyDescent="0.3">
      <c r="A56" s="121"/>
      <c r="B56" s="103"/>
      <c r="C56" s="103"/>
      <c r="D56" s="118"/>
      <c r="E56" s="118"/>
      <c r="F56" s="118"/>
      <c r="G56" s="118"/>
      <c r="H56" s="118"/>
      <c r="I56" s="118"/>
      <c r="J56" s="118"/>
      <c r="K56" s="119">
        <f t="shared" si="6"/>
        <v>0</v>
      </c>
    </row>
    <row r="57" spans="1:11" ht="15.75" thickBot="1" x14ac:dyDescent="0.3">
      <c r="A57" s="121"/>
      <c r="B57" s="103"/>
      <c r="C57" s="103"/>
      <c r="D57" s="138"/>
      <c r="E57" s="138"/>
      <c r="F57" s="138"/>
      <c r="G57" s="138"/>
      <c r="H57" s="138"/>
      <c r="I57" s="138"/>
      <c r="J57" s="138"/>
      <c r="K57" s="119">
        <f t="shared" si="6"/>
        <v>0</v>
      </c>
    </row>
    <row r="58" spans="1:11" ht="19.5" thickBot="1" x14ac:dyDescent="0.35">
      <c r="A58" s="105" t="s">
        <v>4</v>
      </c>
      <c r="B58" s="86"/>
      <c r="C58" s="106"/>
      <c r="D58" s="107">
        <f t="shared" ref="D58:I58" si="7">SUM(D44:D57)</f>
        <v>23.3</v>
      </c>
      <c r="E58" s="107">
        <f t="shared" si="7"/>
        <v>6</v>
      </c>
      <c r="F58" s="107">
        <f t="shared" si="7"/>
        <v>60</v>
      </c>
      <c r="G58" s="107">
        <f t="shared" si="7"/>
        <v>5</v>
      </c>
      <c r="H58" s="107">
        <f t="shared" si="7"/>
        <v>0</v>
      </c>
      <c r="I58" s="107">
        <f t="shared" si="7"/>
        <v>0</v>
      </c>
      <c r="J58" s="107"/>
      <c r="K58" s="107">
        <f>SUM(K44:K57)</f>
        <v>94.3</v>
      </c>
    </row>
    <row r="59" spans="1:11" ht="15.75" x14ac:dyDescent="0.25">
      <c r="A59" s="139"/>
      <c r="B59" s="139"/>
      <c r="C59" s="140"/>
      <c r="D59" s="141"/>
      <c r="E59" s="141"/>
      <c r="F59" s="141"/>
      <c r="G59" s="141"/>
      <c r="H59" s="141"/>
      <c r="I59" s="141"/>
      <c r="J59" s="141"/>
      <c r="K59" s="141"/>
    </row>
    <row r="60" spans="1:11" ht="16.5" thickBot="1" x14ac:dyDescent="0.3">
      <c r="A60" s="139"/>
      <c r="B60" s="139"/>
      <c r="C60" s="140"/>
      <c r="D60" s="141"/>
      <c r="E60" s="141"/>
      <c r="F60" s="141"/>
      <c r="G60" s="141"/>
      <c r="H60" s="141"/>
      <c r="I60" s="141"/>
      <c r="J60" s="141"/>
      <c r="K60" s="141"/>
    </row>
    <row r="61" spans="1:11" ht="19.5" thickBot="1" x14ac:dyDescent="0.35">
      <c r="A61" s="492" t="s">
        <v>50</v>
      </c>
      <c r="B61" s="493"/>
      <c r="C61" s="142"/>
      <c r="D61" s="143"/>
      <c r="E61" s="143"/>
      <c r="F61" s="143"/>
      <c r="G61" s="143"/>
      <c r="H61" s="143"/>
      <c r="I61" s="143"/>
      <c r="J61" s="143"/>
      <c r="K61" s="108">
        <f>+K23+K58</f>
        <v>465.5</v>
      </c>
    </row>
    <row r="62" spans="1:11" x14ac:dyDescent="0.25">
      <c r="A62" s="84"/>
      <c r="B62" s="84"/>
      <c r="C62" s="144"/>
      <c r="D62" s="85"/>
      <c r="E62" s="85"/>
      <c r="F62" s="85"/>
      <c r="G62" s="85"/>
      <c r="H62" s="85"/>
      <c r="I62" s="85"/>
      <c r="J62" s="85"/>
      <c r="K62" s="85"/>
    </row>
    <row r="63" spans="1:11" x14ac:dyDescent="0.25">
      <c r="A63" s="84"/>
      <c r="B63" s="84"/>
      <c r="C63" s="144"/>
      <c r="D63" s="85"/>
      <c r="E63" s="85"/>
      <c r="F63" s="85"/>
      <c r="G63" s="85"/>
      <c r="H63" s="85"/>
      <c r="I63" s="85"/>
      <c r="J63" s="85"/>
      <c r="K63" s="85"/>
    </row>
    <row r="64" spans="1:11" ht="16.5" thickBot="1" x14ac:dyDescent="0.3">
      <c r="A64" s="145" t="s">
        <v>500</v>
      </c>
      <c r="B64" s="84"/>
      <c r="C64" s="144"/>
      <c r="D64" s="85"/>
      <c r="E64" s="85"/>
      <c r="F64" s="85"/>
      <c r="G64" s="85"/>
      <c r="H64" s="85"/>
      <c r="I64" s="85"/>
      <c r="J64" s="85"/>
      <c r="K64" s="85"/>
    </row>
    <row r="65" spans="1:15" ht="19.5" thickBot="1" x14ac:dyDescent="0.35">
      <c r="A65" s="146" t="s">
        <v>52</v>
      </c>
      <c r="B65" s="147"/>
      <c r="C65" s="148"/>
      <c r="D65" s="149"/>
      <c r="E65" s="149"/>
      <c r="F65" s="149"/>
      <c r="G65" s="149"/>
      <c r="H65" s="149"/>
      <c r="I65" s="149"/>
      <c r="J65" s="149"/>
      <c r="K65" s="108">
        <v>1495</v>
      </c>
    </row>
    <row r="66" spans="1:15" ht="19.5" thickBot="1" x14ac:dyDescent="0.35">
      <c r="A66" s="146" t="s">
        <v>53</v>
      </c>
      <c r="B66" s="147"/>
      <c r="C66" s="150"/>
      <c r="D66" s="149"/>
      <c r="E66" s="149"/>
      <c r="F66" s="149"/>
      <c r="G66" s="149"/>
      <c r="H66" s="149"/>
      <c r="I66" s="149"/>
      <c r="J66" s="149"/>
      <c r="K66" s="108">
        <v>2220</v>
      </c>
      <c r="L66" s="41">
        <f>K65+K66</f>
        <v>3715</v>
      </c>
    </row>
    <row r="67" spans="1:15" ht="18.75" x14ac:dyDescent="0.3">
      <c r="A67" s="151"/>
      <c r="B67" s="151"/>
      <c r="C67" s="152"/>
      <c r="D67" s="153"/>
      <c r="E67" s="153"/>
      <c r="F67" s="153"/>
      <c r="G67" s="153"/>
      <c r="H67" s="153"/>
      <c r="I67" s="153"/>
      <c r="J67" s="153"/>
      <c r="K67" s="111"/>
      <c r="L67">
        <v>100</v>
      </c>
    </row>
    <row r="68" spans="1:15" ht="18.75" x14ac:dyDescent="0.3">
      <c r="A68" s="151"/>
      <c r="B68" s="151"/>
      <c r="C68" s="152"/>
      <c r="D68" s="153"/>
      <c r="E68" s="153"/>
      <c r="F68" s="153"/>
      <c r="G68" s="153"/>
      <c r="H68" s="153"/>
      <c r="I68" s="153"/>
      <c r="J68" s="153"/>
      <c r="K68" s="111"/>
      <c r="L68" s="41">
        <f>L66+L67</f>
        <v>3815</v>
      </c>
    </row>
    <row r="69" spans="1:15" ht="16.5" thickBot="1" x14ac:dyDescent="0.3">
      <c r="A69" s="154" t="s">
        <v>54</v>
      </c>
      <c r="B69" s="155"/>
      <c r="C69" s="144"/>
      <c r="D69" s="85"/>
      <c r="E69" s="85"/>
      <c r="F69" s="85"/>
      <c r="G69" s="85"/>
      <c r="H69" s="85"/>
      <c r="I69" s="85"/>
      <c r="J69" s="85"/>
      <c r="K69" s="85"/>
      <c r="M69">
        <v>100</v>
      </c>
      <c r="N69">
        <v>19</v>
      </c>
      <c r="O69">
        <f>N69*M69</f>
        <v>1900</v>
      </c>
    </row>
    <row r="70" spans="1:15" ht="19.5" thickBot="1" x14ac:dyDescent="0.35">
      <c r="A70" s="156" t="s">
        <v>55</v>
      </c>
      <c r="B70" s="157"/>
      <c r="C70" s="158"/>
      <c r="D70" s="159"/>
      <c r="E70" s="159"/>
      <c r="F70" s="159"/>
      <c r="G70" s="159"/>
      <c r="H70" s="159"/>
      <c r="I70" s="159"/>
      <c r="J70" s="159"/>
      <c r="K70" s="160">
        <v>520</v>
      </c>
      <c r="M70">
        <v>50</v>
      </c>
      <c r="N70">
        <v>21</v>
      </c>
      <c r="O70">
        <f t="shared" ref="O70:O75" si="8">N70*M70</f>
        <v>1050</v>
      </c>
    </row>
    <row r="71" spans="1:15" x14ac:dyDescent="0.25">
      <c r="A71" s="161"/>
      <c r="B71" s="84"/>
      <c r="C71" s="144"/>
      <c r="D71" s="85"/>
      <c r="E71" s="85"/>
      <c r="F71" s="85"/>
      <c r="G71" s="85"/>
      <c r="H71" s="85"/>
      <c r="I71" s="85"/>
      <c r="J71" s="85"/>
      <c r="K71" s="85"/>
      <c r="M71">
        <v>20</v>
      </c>
      <c r="N71">
        <v>37</v>
      </c>
      <c r="O71">
        <f t="shared" si="8"/>
        <v>740</v>
      </c>
    </row>
    <row r="72" spans="1:15" ht="16.5" thickBot="1" x14ac:dyDescent="0.3">
      <c r="A72" s="154"/>
      <c r="B72" s="155"/>
      <c r="C72" s="144"/>
      <c r="D72" s="85"/>
      <c r="E72" s="85"/>
      <c r="F72" s="85"/>
      <c r="G72" s="85"/>
      <c r="H72" s="85"/>
      <c r="I72" s="85"/>
      <c r="J72" s="85"/>
      <c r="K72" s="85"/>
      <c r="M72">
        <v>10</v>
      </c>
      <c r="N72">
        <v>9</v>
      </c>
      <c r="O72">
        <f t="shared" si="8"/>
        <v>90</v>
      </c>
    </row>
    <row r="73" spans="1:15" ht="19.5" thickBot="1" x14ac:dyDescent="0.35">
      <c r="A73" s="156" t="s">
        <v>56</v>
      </c>
      <c r="B73" s="157"/>
      <c r="C73" s="162"/>
      <c r="D73" s="159"/>
      <c r="E73" s="159"/>
      <c r="F73" s="159"/>
      <c r="G73" s="159"/>
      <c r="H73" s="159"/>
      <c r="I73" s="159"/>
      <c r="J73" s="159"/>
      <c r="K73" s="163"/>
      <c r="M73">
        <v>5</v>
      </c>
      <c r="N73">
        <v>5</v>
      </c>
      <c r="O73">
        <f t="shared" si="8"/>
        <v>25</v>
      </c>
    </row>
    <row r="74" spans="1:15" ht="15.75" thickBot="1" x14ac:dyDescent="0.3">
      <c r="A74" s="161"/>
      <c r="B74" s="84"/>
      <c r="C74" s="144"/>
      <c r="D74" s="85"/>
      <c r="E74" s="85"/>
      <c r="F74" s="85"/>
      <c r="G74" s="85"/>
      <c r="H74" s="85"/>
      <c r="I74" s="85"/>
      <c r="J74" s="85"/>
      <c r="K74" s="85"/>
      <c r="M74">
        <v>2</v>
      </c>
      <c r="N74">
        <v>4</v>
      </c>
      <c r="O74">
        <f t="shared" si="8"/>
        <v>8</v>
      </c>
    </row>
    <row r="75" spans="1:15" ht="21.75" thickBot="1" x14ac:dyDescent="0.4">
      <c r="A75" s="494" t="s">
        <v>57</v>
      </c>
      <c r="B75" s="495"/>
      <c r="C75" s="164"/>
      <c r="D75" s="165"/>
      <c r="E75" s="165"/>
      <c r="F75" s="165"/>
      <c r="G75" s="165"/>
      <c r="H75" s="165"/>
      <c r="I75" s="165"/>
      <c r="J75" s="165"/>
      <c r="K75" s="166">
        <f>SUM(K61:K74)</f>
        <v>4700.5</v>
      </c>
      <c r="M75">
        <v>1</v>
      </c>
      <c r="N75">
        <v>2</v>
      </c>
      <c r="O75">
        <f t="shared" si="8"/>
        <v>2</v>
      </c>
    </row>
    <row r="76" spans="1:15" x14ac:dyDescent="0.25">
      <c r="A76" s="84"/>
      <c r="B76" s="84"/>
      <c r="C76" s="144"/>
      <c r="D76" s="85"/>
      <c r="E76" s="85"/>
      <c r="F76" s="85"/>
      <c r="G76" s="85"/>
      <c r="H76" s="85"/>
      <c r="I76" s="85"/>
      <c r="J76" s="85"/>
      <c r="K76" s="85"/>
      <c r="O76">
        <f>SUM(O69:O75)</f>
        <v>3815</v>
      </c>
    </row>
    <row r="77" spans="1:15" ht="21" x14ac:dyDescent="0.35">
      <c r="A77" s="491" t="s">
        <v>669</v>
      </c>
      <c r="B77" s="491"/>
      <c r="C77" s="491"/>
      <c r="D77" s="491"/>
      <c r="E77" s="491"/>
      <c r="F77" s="491"/>
      <c r="G77" s="491"/>
      <c r="H77" s="491"/>
      <c r="I77" s="491"/>
      <c r="J77" s="491"/>
      <c r="K77" s="491"/>
    </row>
    <row r="78" spans="1:15" ht="21.75" thickBot="1" x14ac:dyDescent="0.4">
      <c r="A78" s="399" t="s">
        <v>10</v>
      </c>
      <c r="B78" s="399"/>
      <c r="C78" s="399"/>
      <c r="D78" s="399"/>
      <c r="E78" s="399"/>
      <c r="F78" s="399"/>
      <c r="G78" s="399"/>
      <c r="H78" s="399"/>
      <c r="I78" s="399"/>
      <c r="J78" s="399"/>
      <c r="K78" s="168"/>
    </row>
    <row r="79" spans="1:15" ht="15.75" thickBot="1" x14ac:dyDescent="0.3">
      <c r="A79" s="169" t="s">
        <v>58</v>
      </c>
      <c r="B79" s="170" t="s">
        <v>59</v>
      </c>
      <c r="C79" s="496" t="s">
        <v>33</v>
      </c>
      <c r="D79" s="497"/>
      <c r="E79" s="497"/>
      <c r="F79" s="497"/>
      <c r="G79" s="497"/>
      <c r="H79" s="497"/>
      <c r="I79" s="497"/>
      <c r="J79" s="498"/>
      <c r="K79" s="171" t="s">
        <v>4</v>
      </c>
    </row>
    <row r="80" spans="1:15" ht="15.75" thickBot="1" x14ac:dyDescent="0.3">
      <c r="A80" s="172" t="s">
        <v>678</v>
      </c>
      <c r="B80" s="173" t="s">
        <v>679</v>
      </c>
      <c r="C80" s="504" t="s">
        <v>680</v>
      </c>
      <c r="D80" s="505"/>
      <c r="E80" s="505"/>
      <c r="F80" s="505"/>
      <c r="G80" s="505"/>
      <c r="H80" s="505"/>
      <c r="I80" s="505"/>
      <c r="J80" s="528"/>
      <c r="K80" s="104">
        <v>105.4</v>
      </c>
    </row>
    <row r="81" spans="1:11" ht="15.75" thickBot="1" x14ac:dyDescent="0.3">
      <c r="A81" s="121" t="s">
        <v>684</v>
      </c>
      <c r="B81" s="173" t="s">
        <v>686</v>
      </c>
      <c r="C81" s="504" t="s">
        <v>685</v>
      </c>
      <c r="D81" s="505"/>
      <c r="E81" s="505"/>
      <c r="F81" s="505"/>
      <c r="G81" s="505"/>
      <c r="H81" s="505"/>
      <c r="I81" s="505"/>
      <c r="J81" s="528"/>
      <c r="K81" s="104">
        <v>22.5</v>
      </c>
    </row>
    <row r="82" spans="1:11" ht="30.75" thickBot="1" x14ac:dyDescent="0.3">
      <c r="A82" s="121" t="s">
        <v>687</v>
      </c>
      <c r="B82" s="173" t="s">
        <v>688</v>
      </c>
      <c r="C82" s="504" t="s">
        <v>689</v>
      </c>
      <c r="D82" s="505"/>
      <c r="E82" s="505"/>
      <c r="F82" s="505"/>
      <c r="G82" s="505"/>
      <c r="H82" s="505"/>
      <c r="I82" s="505"/>
      <c r="J82" s="528"/>
      <c r="K82" s="174">
        <v>5</v>
      </c>
    </row>
    <row r="83" spans="1:11" ht="15.75" thickBot="1" x14ac:dyDescent="0.3">
      <c r="A83" s="121"/>
      <c r="B83" s="173" t="s">
        <v>179</v>
      </c>
      <c r="C83" s="525"/>
      <c r="D83" s="526"/>
      <c r="E83" s="526"/>
      <c r="F83" s="526"/>
      <c r="G83" s="526"/>
      <c r="H83" s="526"/>
      <c r="I83" s="526"/>
      <c r="J83" s="527"/>
      <c r="K83" s="104"/>
    </row>
    <row r="84" spans="1:11" ht="15.75" thickBot="1" x14ac:dyDescent="0.3">
      <c r="A84" s="121"/>
      <c r="B84" s="173"/>
      <c r="C84" s="525"/>
      <c r="D84" s="526"/>
      <c r="E84" s="526"/>
      <c r="F84" s="526"/>
      <c r="G84" s="526"/>
      <c r="H84" s="526"/>
      <c r="I84" s="526"/>
      <c r="J84" s="527"/>
      <c r="K84" s="104"/>
    </row>
    <row r="85" spans="1:11" ht="15.75" thickBot="1" x14ac:dyDescent="0.3">
      <c r="A85" s="121"/>
      <c r="B85" s="173"/>
      <c r="C85" s="525"/>
      <c r="D85" s="526"/>
      <c r="E85" s="526"/>
      <c r="F85" s="526"/>
      <c r="G85" s="526"/>
      <c r="H85" s="526"/>
      <c r="I85" s="526"/>
      <c r="J85" s="527"/>
      <c r="K85" s="104"/>
    </row>
    <row r="86" spans="1:11" ht="15.75" thickBot="1" x14ac:dyDescent="0.3">
      <c r="A86" s="121"/>
      <c r="B86" s="173"/>
      <c r="C86" s="525"/>
      <c r="D86" s="526"/>
      <c r="E86" s="526"/>
      <c r="F86" s="526"/>
      <c r="G86" s="526"/>
      <c r="H86" s="526"/>
      <c r="I86" s="526"/>
      <c r="J86" s="527"/>
      <c r="K86" s="118"/>
    </row>
    <row r="87" spans="1:11" ht="15.75" thickBot="1" x14ac:dyDescent="0.3">
      <c r="A87" s="121"/>
      <c r="B87" s="173"/>
      <c r="C87" s="525"/>
      <c r="D87" s="526"/>
      <c r="E87" s="526"/>
      <c r="F87" s="526"/>
      <c r="G87" s="526"/>
      <c r="H87" s="526"/>
      <c r="I87" s="526"/>
      <c r="J87" s="527"/>
      <c r="K87" s="118"/>
    </row>
    <row r="88" spans="1:11" ht="15.75" thickBot="1" x14ac:dyDescent="0.3">
      <c r="A88" s="121"/>
      <c r="B88" s="173"/>
      <c r="C88" s="525"/>
      <c r="D88" s="526"/>
      <c r="E88" s="526"/>
      <c r="F88" s="526"/>
      <c r="G88" s="526"/>
      <c r="H88" s="526"/>
      <c r="I88" s="526"/>
      <c r="J88" s="527"/>
      <c r="K88" s="118"/>
    </row>
    <row r="89" spans="1:11" ht="15.75" thickBot="1" x14ac:dyDescent="0.3">
      <c r="A89" s="121"/>
      <c r="B89" s="173"/>
      <c r="C89" s="525"/>
      <c r="D89" s="526"/>
      <c r="E89" s="526"/>
      <c r="F89" s="526"/>
      <c r="G89" s="526"/>
      <c r="H89" s="526"/>
      <c r="I89" s="526"/>
      <c r="J89" s="527"/>
      <c r="K89" s="118"/>
    </row>
    <row r="90" spans="1:11" ht="19.5" thickBot="1" x14ac:dyDescent="0.35">
      <c r="A90" s="175" t="s">
        <v>60</v>
      </c>
      <c r="B90" s="492"/>
      <c r="C90" s="499"/>
      <c r="D90" s="499"/>
      <c r="E90" s="499"/>
      <c r="F90" s="499"/>
      <c r="G90" s="499"/>
      <c r="H90" s="499"/>
      <c r="I90" s="499"/>
      <c r="J90" s="403"/>
      <c r="K90" s="176">
        <f>SUM(K80:K89)</f>
        <v>132.9</v>
      </c>
    </row>
    <row r="91" spans="1:11" ht="18.75" x14ac:dyDescent="0.3">
      <c r="A91" s="2"/>
      <c r="B91" s="2"/>
      <c r="C91" s="177"/>
      <c r="D91" s="177"/>
      <c r="E91" s="177"/>
      <c r="F91" s="178"/>
      <c r="G91" s="177"/>
      <c r="H91" s="177"/>
      <c r="I91" s="177"/>
      <c r="J91" s="177"/>
      <c r="K91" s="111"/>
    </row>
    <row r="92" spans="1:11" ht="18.75" x14ac:dyDescent="0.3">
      <c r="A92" s="2"/>
      <c r="B92" s="2"/>
      <c r="C92" s="177"/>
      <c r="D92" s="177"/>
      <c r="E92" s="177"/>
      <c r="F92" s="178"/>
      <c r="G92" s="177"/>
      <c r="H92" s="177"/>
      <c r="I92" s="177"/>
      <c r="J92" s="177"/>
      <c r="K92" s="111"/>
    </row>
    <row r="93" spans="1:11" ht="18.75" x14ac:dyDescent="0.3">
      <c r="A93" s="139" t="s">
        <v>61</v>
      </c>
      <c r="B93" s="2"/>
      <c r="C93" s="84"/>
      <c r="D93" s="85"/>
      <c r="F93" s="85"/>
      <c r="K93" s="85"/>
    </row>
    <row r="94" spans="1:11" x14ac:dyDescent="0.25">
      <c r="A94" s="84" t="s">
        <v>62</v>
      </c>
      <c r="B94" s="144">
        <f>+K75</f>
        <v>4700.5</v>
      </c>
      <c r="C94" s="179"/>
      <c r="D94" s="85"/>
      <c r="F94" s="85"/>
      <c r="K94" s="85"/>
    </row>
    <row r="95" spans="1:11" ht="15.75" thickBot="1" x14ac:dyDescent="0.3">
      <c r="A95" s="84" t="s">
        <v>60</v>
      </c>
      <c r="B95" s="180">
        <f>+K90</f>
        <v>132.9</v>
      </c>
      <c r="C95" s="181"/>
      <c r="D95" s="85"/>
      <c r="F95" s="85"/>
      <c r="G95" s="182"/>
      <c r="H95" s="182"/>
      <c r="I95" s="183"/>
      <c r="J95" s="183"/>
      <c r="K95" s="183"/>
    </row>
    <row r="96" spans="1:11" ht="17.25" thickTop="1" thickBot="1" x14ac:dyDescent="0.3">
      <c r="A96" s="139" t="s">
        <v>8</v>
      </c>
      <c r="B96" s="184">
        <f>++B94-B95</f>
        <v>4567.6000000000004</v>
      </c>
      <c r="C96" s="185"/>
      <c r="D96" s="186"/>
      <c r="E96" s="41"/>
      <c r="F96" s="186"/>
      <c r="G96" s="187"/>
      <c r="H96" s="187"/>
      <c r="I96" s="85"/>
      <c r="J96" s="85"/>
    </row>
    <row r="97" ht="15.75" thickTop="1" x14ac:dyDescent="0.25"/>
  </sheetData>
  <mergeCells count="16">
    <mergeCell ref="C87:J87"/>
    <mergeCell ref="C88:J88"/>
    <mergeCell ref="C89:J89"/>
    <mergeCell ref="B90:I90"/>
    <mergeCell ref="C81:J81"/>
    <mergeCell ref="C82:J82"/>
    <mergeCell ref="C83:J83"/>
    <mergeCell ref="C84:J84"/>
    <mergeCell ref="C85:J85"/>
    <mergeCell ref="C86:J86"/>
    <mergeCell ref="C80:J80"/>
    <mergeCell ref="A1:K1"/>
    <mergeCell ref="A61:B61"/>
    <mergeCell ref="A75:B75"/>
    <mergeCell ref="A77:K77"/>
    <mergeCell ref="C79:J79"/>
  </mergeCells>
  <phoneticPr fontId="15" type="noConversion"/>
  <pageMargins left="0.17" right="0.17" top="0.17" bottom="0.17" header="0.17" footer="0.17"/>
  <pageSetup paperSize="9" scale="48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D1B9-B271-4B36-AC6B-4BFEC4954E27}">
  <sheetPr>
    <pageSetUpPr fitToPage="1"/>
  </sheetPr>
  <dimension ref="A1:N97"/>
  <sheetViews>
    <sheetView topLeftCell="A3" workbookViewId="0">
      <selection sqref="A1:N96"/>
    </sheetView>
  </sheetViews>
  <sheetFormatPr baseColWidth="10" defaultRowHeight="15" x14ac:dyDescent="0.25"/>
  <cols>
    <col min="1" max="1" width="32.140625" bestFit="1" customWidth="1"/>
    <col min="2" max="2" width="15.42578125" bestFit="1" customWidth="1"/>
  </cols>
  <sheetData>
    <row r="1" spans="1:11" ht="21" x14ac:dyDescent="0.35">
      <c r="A1" s="491" t="s">
        <v>692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</row>
    <row r="2" spans="1:11" ht="15.75" thickBot="1" x14ac:dyDescent="0.3">
      <c r="A2" s="83"/>
      <c r="B2" s="84"/>
      <c r="C2" s="84"/>
      <c r="K2" s="85"/>
    </row>
    <row r="3" spans="1:11" ht="4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347" t="s">
        <v>489</v>
      </c>
      <c r="K3" s="87" t="s">
        <v>4</v>
      </c>
    </row>
    <row r="4" spans="1:11" ht="15.75" thickBot="1" x14ac:dyDescent="0.3">
      <c r="A4" s="88" t="s">
        <v>78</v>
      </c>
      <c r="B4" s="88" t="s">
        <v>700</v>
      </c>
      <c r="C4" s="89">
        <v>46113</v>
      </c>
      <c r="D4" s="90"/>
      <c r="E4" s="90"/>
      <c r="F4" s="90"/>
      <c r="G4" s="90"/>
      <c r="H4" s="90"/>
      <c r="I4" s="90">
        <v>10</v>
      </c>
      <c r="J4" s="348"/>
      <c r="K4" s="87">
        <f>SUM(D4:J4)</f>
        <v>10</v>
      </c>
    </row>
    <row r="5" spans="1:11" ht="15.75" thickBot="1" x14ac:dyDescent="0.3">
      <c r="A5" s="88"/>
      <c r="B5" s="88"/>
      <c r="C5" s="89"/>
      <c r="D5" s="90"/>
      <c r="E5" s="90"/>
      <c r="F5" s="90"/>
      <c r="G5" s="90"/>
      <c r="H5" s="90"/>
      <c r="I5" s="90"/>
      <c r="J5" s="348"/>
      <c r="K5" s="87">
        <f t="shared" ref="K5:K22" si="0">SUM(D5:J5)</f>
        <v>0</v>
      </c>
    </row>
    <row r="6" spans="1:11" ht="15.75" thickBot="1" x14ac:dyDescent="0.3">
      <c r="A6" s="88" t="s">
        <v>38</v>
      </c>
      <c r="B6" s="88" t="s">
        <v>706</v>
      </c>
      <c r="C6" s="89">
        <v>46113</v>
      </c>
      <c r="D6" s="90"/>
      <c r="E6" s="90"/>
      <c r="F6" s="90"/>
      <c r="G6" s="90"/>
      <c r="H6" s="90">
        <v>61.5</v>
      </c>
      <c r="I6" s="90"/>
      <c r="J6" s="348"/>
      <c r="K6" s="87">
        <f t="shared" si="0"/>
        <v>61.5</v>
      </c>
    </row>
    <row r="7" spans="1:11" ht="15.75" thickBot="1" x14ac:dyDescent="0.3">
      <c r="A7" s="88"/>
      <c r="B7" s="88"/>
      <c r="C7" s="89"/>
      <c r="D7" s="90"/>
      <c r="E7" s="90"/>
      <c r="F7" s="90"/>
      <c r="G7" s="90"/>
      <c r="H7" s="90"/>
      <c r="I7" s="90"/>
      <c r="J7" s="348"/>
      <c r="K7" s="87">
        <f t="shared" si="0"/>
        <v>0</v>
      </c>
    </row>
    <row r="8" spans="1:11" ht="15.75" thickBot="1" x14ac:dyDescent="0.3">
      <c r="A8" s="88"/>
      <c r="B8" s="88"/>
      <c r="C8" s="89"/>
      <c r="D8" s="90"/>
      <c r="E8" s="90"/>
      <c r="F8" s="90"/>
      <c r="G8" s="90"/>
      <c r="H8" s="90"/>
      <c r="I8" s="90"/>
      <c r="J8" s="348"/>
      <c r="K8" s="87">
        <f t="shared" si="0"/>
        <v>0</v>
      </c>
    </row>
    <row r="9" spans="1:11" ht="15.75" thickBot="1" x14ac:dyDescent="0.3">
      <c r="A9" s="88"/>
      <c r="B9" s="88"/>
      <c r="C9" s="89"/>
      <c r="D9" s="90"/>
      <c r="E9" s="90"/>
      <c r="F9" s="90"/>
      <c r="G9" s="90"/>
      <c r="H9" s="90"/>
      <c r="I9" s="90"/>
      <c r="J9" s="348"/>
      <c r="K9" s="87">
        <f t="shared" si="0"/>
        <v>0</v>
      </c>
    </row>
    <row r="10" spans="1:11" ht="15.75" thickBot="1" x14ac:dyDescent="0.3">
      <c r="A10" s="412"/>
      <c r="B10" s="103"/>
      <c r="C10" s="103"/>
      <c r="D10" s="116"/>
      <c r="E10" s="116"/>
      <c r="F10" s="116"/>
      <c r="G10" s="116"/>
      <c r="H10" s="90"/>
      <c r="I10" s="90"/>
      <c r="J10" s="348"/>
      <c r="K10" s="87">
        <f t="shared" si="0"/>
        <v>0</v>
      </c>
    </row>
    <row r="11" spans="1:11" ht="15.75" thickBot="1" x14ac:dyDescent="0.3">
      <c r="A11" s="88"/>
      <c r="B11" s="88"/>
      <c r="C11" s="89"/>
      <c r="D11" s="90"/>
      <c r="E11" s="90"/>
      <c r="F11" s="90"/>
      <c r="G11" s="90"/>
      <c r="H11" s="90"/>
      <c r="I11" s="90"/>
      <c r="J11" s="348"/>
      <c r="K11" s="87">
        <f t="shared" si="0"/>
        <v>0</v>
      </c>
    </row>
    <row r="12" spans="1:11" ht="15.75" thickBot="1" x14ac:dyDescent="0.3">
      <c r="A12" s="410"/>
      <c r="B12" s="88"/>
      <c r="C12" s="89"/>
      <c r="D12" s="90"/>
      <c r="E12" s="90"/>
      <c r="F12" s="90"/>
      <c r="G12" s="90"/>
      <c r="H12" s="90"/>
      <c r="I12" s="90"/>
      <c r="J12" s="348"/>
      <c r="K12" s="87">
        <f t="shared" si="0"/>
        <v>0</v>
      </c>
    </row>
    <row r="13" spans="1:11" ht="15.75" thickBot="1" x14ac:dyDescent="0.3">
      <c r="A13" s="410"/>
      <c r="B13" s="408"/>
      <c r="C13" s="89"/>
      <c r="D13" s="90"/>
      <c r="E13" s="90"/>
      <c r="F13" s="90"/>
      <c r="G13" s="90"/>
      <c r="H13" s="90"/>
      <c r="I13" s="93"/>
      <c r="J13" s="99"/>
      <c r="K13" s="87">
        <f t="shared" si="0"/>
        <v>0</v>
      </c>
    </row>
    <row r="14" spans="1:11" ht="15.75" thickBot="1" x14ac:dyDescent="0.3">
      <c r="A14" s="88"/>
      <c r="B14" s="88"/>
      <c r="C14" s="89"/>
      <c r="D14" s="90"/>
      <c r="E14" s="90"/>
      <c r="F14" s="90"/>
      <c r="G14" s="90"/>
      <c r="H14" s="90"/>
      <c r="I14" s="90"/>
      <c r="J14" s="348"/>
      <c r="K14" s="87">
        <f t="shared" si="0"/>
        <v>0</v>
      </c>
    </row>
    <row r="15" spans="1:11" ht="15.75" thickBot="1" x14ac:dyDescent="0.3">
      <c r="A15" s="95"/>
      <c r="B15" s="409"/>
      <c r="C15" s="89"/>
      <c r="D15" s="90"/>
      <c r="E15" s="90"/>
      <c r="F15" s="90"/>
      <c r="G15" s="90"/>
      <c r="H15" s="90"/>
      <c r="I15" s="90"/>
      <c r="J15" s="348"/>
      <c r="K15" s="87">
        <f t="shared" si="0"/>
        <v>0</v>
      </c>
    </row>
    <row r="16" spans="1:11" ht="15.75" thickBot="1" x14ac:dyDescent="0.3">
      <c r="A16" s="97"/>
      <c r="B16" s="95"/>
      <c r="C16" s="89"/>
      <c r="D16" s="90"/>
      <c r="E16" s="90"/>
      <c r="F16" s="90"/>
      <c r="G16" s="90"/>
      <c r="H16" s="90"/>
      <c r="I16" s="90"/>
      <c r="J16" s="348"/>
      <c r="K16" s="87">
        <f t="shared" si="0"/>
        <v>0</v>
      </c>
    </row>
    <row r="17" spans="1:14" ht="15.75" thickBot="1" x14ac:dyDescent="0.3">
      <c r="A17" s="406"/>
      <c r="B17" s="406"/>
      <c r="C17" s="89"/>
      <c r="D17" s="90"/>
      <c r="E17" s="90"/>
      <c r="F17" s="90"/>
      <c r="G17" s="90"/>
      <c r="H17" s="90"/>
      <c r="I17" s="90"/>
      <c r="J17" s="348"/>
      <c r="K17" s="87">
        <f t="shared" si="0"/>
        <v>0</v>
      </c>
    </row>
    <row r="18" spans="1:14" ht="15.75" thickBot="1" x14ac:dyDescent="0.3">
      <c r="A18" s="99"/>
      <c r="B18" s="406"/>
      <c r="C18" s="89"/>
      <c r="D18" s="90"/>
      <c r="E18" s="90"/>
      <c r="F18" s="90"/>
      <c r="G18" s="90"/>
      <c r="H18" s="90"/>
      <c r="I18" s="90"/>
      <c r="J18" s="348"/>
      <c r="K18" s="87">
        <f t="shared" si="0"/>
        <v>0</v>
      </c>
    </row>
    <row r="19" spans="1:14" ht="15.75" thickBot="1" x14ac:dyDescent="0.3">
      <c r="A19" s="99"/>
      <c r="B19" s="406"/>
      <c r="C19" s="89"/>
      <c r="D19" s="90"/>
      <c r="E19" s="90"/>
      <c r="F19" s="90"/>
      <c r="G19" s="90"/>
      <c r="H19" s="90"/>
      <c r="I19" s="90"/>
      <c r="J19" s="348"/>
      <c r="K19" s="87">
        <f t="shared" si="0"/>
        <v>0</v>
      </c>
    </row>
    <row r="20" spans="1:14" ht="15.75" thickBot="1" x14ac:dyDescent="0.3">
      <c r="A20" s="100"/>
      <c r="B20" s="406"/>
      <c r="C20" s="89"/>
      <c r="D20" s="90"/>
      <c r="E20" s="90"/>
      <c r="F20" s="90"/>
      <c r="G20" s="90"/>
      <c r="H20" s="90"/>
      <c r="I20" s="90"/>
      <c r="J20" s="348"/>
      <c r="K20" s="87">
        <f t="shared" si="0"/>
        <v>0</v>
      </c>
    </row>
    <row r="21" spans="1:14" ht="15.75" thickBot="1" x14ac:dyDescent="0.3">
      <c r="A21" s="412"/>
      <c r="B21" s="412"/>
      <c r="C21" s="89"/>
      <c r="D21" s="90"/>
      <c r="E21" s="90"/>
      <c r="F21" s="90"/>
      <c r="G21" s="90"/>
      <c r="H21" s="90"/>
      <c r="I21" s="90"/>
      <c r="J21" s="348"/>
      <c r="K21" s="87">
        <f t="shared" si="0"/>
        <v>0</v>
      </c>
    </row>
    <row r="22" spans="1:14" ht="15.75" thickBot="1" x14ac:dyDescent="0.3">
      <c r="A22" s="406"/>
      <c r="B22" s="411"/>
      <c r="C22" s="103"/>
      <c r="D22" s="104"/>
      <c r="E22" s="104"/>
      <c r="F22" s="104"/>
      <c r="G22" s="104"/>
      <c r="H22" s="104"/>
      <c r="I22" s="104"/>
      <c r="J22" s="349"/>
      <c r="K22" s="87">
        <f t="shared" si="0"/>
        <v>0</v>
      </c>
    </row>
    <row r="23" spans="1:14" ht="19.5" thickBot="1" x14ac:dyDescent="0.35">
      <c r="A23" s="105" t="s">
        <v>4</v>
      </c>
      <c r="B23" s="86"/>
      <c r="C23" s="106"/>
      <c r="D23" s="108">
        <f t="shared" ref="D23:J23" si="1">SUM(D4:D22)</f>
        <v>0</v>
      </c>
      <c r="E23" s="108">
        <f t="shared" si="1"/>
        <v>0</v>
      </c>
      <c r="F23" s="108">
        <f t="shared" si="1"/>
        <v>0</v>
      </c>
      <c r="G23" s="108">
        <f t="shared" si="1"/>
        <v>0</v>
      </c>
      <c r="H23" s="108">
        <f t="shared" si="1"/>
        <v>61.5</v>
      </c>
      <c r="I23" s="108">
        <f t="shared" si="1"/>
        <v>10</v>
      </c>
      <c r="J23" s="108">
        <f t="shared" si="1"/>
        <v>0</v>
      </c>
      <c r="K23" s="108">
        <f>SUM(K4:K22)</f>
        <v>71.5</v>
      </c>
    </row>
    <row r="24" spans="1:14" ht="19.5" thickBot="1" x14ac:dyDescent="0.35">
      <c r="A24" s="2"/>
      <c r="B24" s="109"/>
      <c r="C24" s="110"/>
      <c r="D24" s="111"/>
      <c r="E24" s="111"/>
      <c r="F24" s="111"/>
      <c r="G24" s="111"/>
      <c r="H24" s="111"/>
      <c r="I24" s="111"/>
      <c r="J24" s="111"/>
      <c r="K24" s="111"/>
    </row>
    <row r="25" spans="1:14" ht="24" thickBot="1" x14ac:dyDescent="0.4">
      <c r="A25" s="112" t="s">
        <v>40</v>
      </c>
      <c r="B25" s="109"/>
      <c r="C25" s="110"/>
      <c r="D25" s="111"/>
      <c r="E25" s="111"/>
      <c r="F25" s="111"/>
      <c r="G25" s="111"/>
      <c r="H25" s="111"/>
      <c r="I25" s="111"/>
      <c r="J25" s="111"/>
      <c r="K25" s="111"/>
    </row>
    <row r="26" spans="1:14" ht="30.75" thickBot="1" x14ac:dyDescent="0.3">
      <c r="A26" s="113" t="s">
        <v>3</v>
      </c>
      <c r="B26" s="86" t="s">
        <v>32</v>
      </c>
      <c r="C26" s="114" t="s">
        <v>41</v>
      </c>
      <c r="D26" s="114" t="s">
        <v>34</v>
      </c>
      <c r="E26" s="114" t="s">
        <v>35</v>
      </c>
      <c r="F26" s="86" t="s">
        <v>36</v>
      </c>
      <c r="G26" s="86" t="s">
        <v>37</v>
      </c>
      <c r="H26" s="86" t="s">
        <v>42</v>
      </c>
      <c r="I26" s="86" t="s">
        <v>39</v>
      </c>
      <c r="J26" s="86"/>
      <c r="K26" s="115" t="s">
        <v>4</v>
      </c>
    </row>
    <row r="27" spans="1:14" ht="30.75" thickBot="1" x14ac:dyDescent="0.3">
      <c r="A27" s="412" t="s">
        <v>282</v>
      </c>
      <c r="B27" s="103" t="s">
        <v>697</v>
      </c>
      <c r="C27" s="103">
        <v>46113</v>
      </c>
      <c r="D27" s="116"/>
      <c r="E27" s="117"/>
      <c r="F27" s="116">
        <v>30</v>
      </c>
      <c r="G27" s="116"/>
      <c r="H27" s="118"/>
      <c r="I27" s="118"/>
      <c r="J27" s="118"/>
      <c r="K27" s="119">
        <f>SUM(D27:I27)</f>
        <v>30</v>
      </c>
    </row>
    <row r="28" spans="1:14" ht="15.75" thickBot="1" x14ac:dyDescent="0.3">
      <c r="A28" s="412"/>
      <c r="B28" s="411"/>
      <c r="C28" s="103"/>
      <c r="D28" s="116"/>
      <c r="E28" s="117"/>
      <c r="F28" s="116"/>
      <c r="G28" s="116"/>
      <c r="H28" s="118"/>
      <c r="I28" s="118"/>
      <c r="J28" s="118"/>
      <c r="K28" s="119"/>
    </row>
    <row r="29" spans="1:14" ht="15.75" thickBot="1" x14ac:dyDescent="0.3">
      <c r="A29" s="412"/>
      <c r="B29" s="406"/>
      <c r="C29" s="89"/>
      <c r="D29" s="120"/>
      <c r="E29" s="120"/>
      <c r="F29" s="120"/>
      <c r="G29" s="120"/>
      <c r="H29" s="90"/>
      <c r="I29" s="90"/>
      <c r="J29" s="90"/>
      <c r="K29" s="119">
        <f t="shared" ref="K29:K30" si="2">SUM(D29:I29)</f>
        <v>0</v>
      </c>
    </row>
    <row r="30" spans="1:14" ht="15.75" thickBot="1" x14ac:dyDescent="0.3">
      <c r="A30" s="86"/>
      <c r="B30" s="121"/>
      <c r="C30" s="89"/>
      <c r="D30" s="120"/>
      <c r="E30" s="120"/>
      <c r="F30" s="120"/>
      <c r="G30" s="120"/>
      <c r="H30" s="90"/>
      <c r="I30" s="90"/>
      <c r="J30" s="90"/>
      <c r="K30" s="119">
        <f t="shared" si="2"/>
        <v>0</v>
      </c>
      <c r="M30" s="122" t="s">
        <v>43</v>
      </c>
      <c r="N30" s="123">
        <f>K31+K39</f>
        <v>30</v>
      </c>
    </row>
    <row r="31" spans="1:14" ht="15.75" thickBot="1" x14ac:dyDescent="0.3">
      <c r="A31" s="86" t="s">
        <v>4</v>
      </c>
      <c r="B31" s="413"/>
      <c r="C31" s="125"/>
      <c r="D31" s="116">
        <f>SUM(D27:D30)</f>
        <v>0</v>
      </c>
      <c r="E31" s="116">
        <f t="shared" ref="E31:J31" si="3">SUM(E27:E30)</f>
        <v>0</v>
      </c>
      <c r="F31" s="116">
        <f t="shared" si="3"/>
        <v>30</v>
      </c>
      <c r="G31" s="116">
        <f t="shared" si="3"/>
        <v>0</v>
      </c>
      <c r="H31" s="116">
        <f t="shared" si="3"/>
        <v>0</v>
      </c>
      <c r="I31" s="116">
        <f t="shared" si="3"/>
        <v>0</v>
      </c>
      <c r="J31" s="116">
        <f t="shared" si="3"/>
        <v>0</v>
      </c>
      <c r="K31" s="94">
        <f>SUM(K27:K30)</f>
        <v>30</v>
      </c>
    </row>
    <row r="32" spans="1:14" ht="15.75" thickBot="1" x14ac:dyDescent="0.3">
      <c r="A32" s="109"/>
      <c r="B32" s="127"/>
      <c r="C32" s="128"/>
      <c r="D32" s="129"/>
      <c r="E32" s="129"/>
      <c r="F32" s="129"/>
      <c r="G32" s="129"/>
      <c r="H32" s="129"/>
      <c r="I32" s="129"/>
      <c r="J32" s="129"/>
      <c r="K32" s="130"/>
    </row>
    <row r="33" spans="1:14" ht="24" thickBot="1" x14ac:dyDescent="0.4">
      <c r="A33" s="112" t="s">
        <v>40</v>
      </c>
      <c r="B33" s="109"/>
      <c r="C33" s="110"/>
      <c r="D33" s="111"/>
      <c r="E33" s="111"/>
      <c r="F33" s="111"/>
      <c r="G33" s="111"/>
      <c r="H33" s="111"/>
      <c r="I33" s="111"/>
      <c r="J33" s="111"/>
      <c r="K33" s="111"/>
    </row>
    <row r="34" spans="1:14" ht="45.75" thickBot="1" x14ac:dyDescent="0.3">
      <c r="A34" s="131" t="s">
        <v>44</v>
      </c>
      <c r="B34" s="86" t="s">
        <v>45</v>
      </c>
      <c r="C34" s="114" t="s">
        <v>41</v>
      </c>
      <c r="D34" s="114" t="s">
        <v>34</v>
      </c>
      <c r="E34" s="114" t="s">
        <v>35</v>
      </c>
      <c r="F34" s="114" t="s">
        <v>46</v>
      </c>
      <c r="G34" s="114" t="s">
        <v>47</v>
      </c>
      <c r="H34" s="114" t="s">
        <v>42</v>
      </c>
      <c r="I34" s="132" t="s">
        <v>48</v>
      </c>
      <c r="J34" s="86"/>
      <c r="K34" s="115" t="s">
        <v>4</v>
      </c>
    </row>
    <row r="35" spans="1:14" ht="15.75" thickBot="1" x14ac:dyDescent="0.3">
      <c r="A35" s="133"/>
      <c r="B35" s="99"/>
      <c r="C35" s="89"/>
      <c r="D35" s="90"/>
      <c r="E35" s="90"/>
      <c r="F35" s="90"/>
      <c r="G35" s="90"/>
      <c r="H35" s="90"/>
      <c r="I35" s="90"/>
      <c r="J35" s="348"/>
      <c r="K35" s="87">
        <f t="shared" ref="K35:K38" si="4">SUM(D35:I35)</f>
        <v>0</v>
      </c>
    </row>
    <row r="36" spans="1:14" ht="15.75" thickBot="1" x14ac:dyDescent="0.3">
      <c r="A36" s="95"/>
      <c r="B36" s="103"/>
      <c r="C36" s="89"/>
      <c r="D36" s="116"/>
      <c r="E36" s="116"/>
      <c r="F36" s="116"/>
      <c r="G36" s="116"/>
      <c r="H36" s="118"/>
      <c r="I36" s="118"/>
      <c r="J36" s="118"/>
      <c r="K36" s="119">
        <f t="shared" si="4"/>
        <v>0</v>
      </c>
    </row>
    <row r="37" spans="1:14" ht="15.75" thickBot="1" x14ac:dyDescent="0.3">
      <c r="A37" s="412"/>
      <c r="B37" s="406"/>
      <c r="C37" s="89"/>
      <c r="D37" s="120"/>
      <c r="E37" s="120"/>
      <c r="F37" s="120"/>
      <c r="G37" s="120"/>
      <c r="H37" s="90"/>
      <c r="I37" s="90"/>
      <c r="J37" s="90"/>
      <c r="K37" s="119">
        <f t="shared" si="4"/>
        <v>0</v>
      </c>
    </row>
    <row r="38" spans="1:14" ht="15.75" thickBot="1" x14ac:dyDescent="0.3">
      <c r="A38" s="86"/>
      <c r="B38" s="121"/>
      <c r="C38" s="89"/>
      <c r="D38" s="120"/>
      <c r="E38" s="120"/>
      <c r="F38" s="120"/>
      <c r="G38" s="120"/>
      <c r="H38" s="90"/>
      <c r="I38" s="90"/>
      <c r="J38" s="90"/>
      <c r="K38" s="119">
        <f t="shared" si="4"/>
        <v>0</v>
      </c>
      <c r="M38" s="134"/>
      <c r="N38" s="135"/>
    </row>
    <row r="39" spans="1:14" ht="15.75" thickBot="1" x14ac:dyDescent="0.3">
      <c r="A39" s="86" t="s">
        <v>4</v>
      </c>
      <c r="B39" s="413"/>
      <c r="C39" s="125"/>
      <c r="D39" s="116">
        <f>SUM(D35:D38)</f>
        <v>0</v>
      </c>
      <c r="E39" s="116">
        <f t="shared" ref="E39:J39" si="5">SUM(E35:E38)</f>
        <v>0</v>
      </c>
      <c r="F39" s="116">
        <f t="shared" si="5"/>
        <v>0</v>
      </c>
      <c r="G39" s="116">
        <f t="shared" si="5"/>
        <v>0</v>
      </c>
      <c r="H39" s="116">
        <f t="shared" si="5"/>
        <v>0</v>
      </c>
      <c r="I39" s="116">
        <f t="shared" si="5"/>
        <v>0</v>
      </c>
      <c r="J39" s="116">
        <f t="shared" si="5"/>
        <v>0</v>
      </c>
      <c r="K39" s="94">
        <f>SUM(K35:K38)</f>
        <v>0</v>
      </c>
    </row>
    <row r="40" spans="1:14" x14ac:dyDescent="0.25">
      <c r="A40" s="109"/>
      <c r="B40" s="127"/>
      <c r="C40" s="128"/>
      <c r="D40" s="129"/>
      <c r="E40" s="129"/>
      <c r="F40" s="129"/>
      <c r="G40" s="129"/>
      <c r="H40" s="129"/>
      <c r="I40" s="129"/>
      <c r="J40" s="129"/>
      <c r="K40" s="130"/>
    </row>
    <row r="41" spans="1:14" x14ac:dyDescent="0.25">
      <c r="A41" s="109"/>
      <c r="B41" s="127"/>
      <c r="C41" s="128"/>
      <c r="D41" s="129"/>
      <c r="E41" s="129"/>
      <c r="F41" s="129"/>
      <c r="G41" s="129"/>
      <c r="H41" s="129"/>
      <c r="I41" s="129"/>
      <c r="J41" s="129"/>
      <c r="K41" s="130"/>
    </row>
    <row r="42" spans="1:14" ht="15.75" thickBot="1" x14ac:dyDescent="0.3">
      <c r="A42" s="84"/>
      <c r="B42" s="84"/>
      <c r="C42" s="84"/>
      <c r="K42" s="85"/>
    </row>
    <row r="43" spans="1:14" ht="45.75" thickBot="1" x14ac:dyDescent="0.3">
      <c r="A43" s="114" t="s">
        <v>49</v>
      </c>
      <c r="B43" s="86" t="s">
        <v>45</v>
      </c>
      <c r="C43" s="114" t="s">
        <v>41</v>
      </c>
      <c r="D43" s="114" t="s">
        <v>34</v>
      </c>
      <c r="E43" s="114" t="s">
        <v>35</v>
      </c>
      <c r="F43" s="114" t="s">
        <v>46</v>
      </c>
      <c r="G43" s="114" t="s">
        <v>47</v>
      </c>
      <c r="H43" s="86" t="s">
        <v>48</v>
      </c>
      <c r="I43" s="132" t="s">
        <v>42</v>
      </c>
      <c r="J43" s="86" t="s">
        <v>497</v>
      </c>
      <c r="K43" s="115" t="s">
        <v>4</v>
      </c>
    </row>
    <row r="44" spans="1:14" ht="15.75" thickBot="1" x14ac:dyDescent="0.3">
      <c r="A44" s="103" t="s">
        <v>693</v>
      </c>
      <c r="B44" s="103" t="s">
        <v>694</v>
      </c>
      <c r="C44" s="417">
        <v>46082</v>
      </c>
      <c r="D44" s="118">
        <v>101.8</v>
      </c>
      <c r="E44" s="118">
        <v>6</v>
      </c>
      <c r="F44" s="118">
        <v>60</v>
      </c>
      <c r="G44" s="118">
        <v>5</v>
      </c>
      <c r="H44" s="118"/>
      <c r="I44" s="118"/>
      <c r="J44" s="118"/>
      <c r="K44" s="119">
        <f t="shared" ref="K44:K57" si="6">SUM(D44:J44)</f>
        <v>172.8</v>
      </c>
    </row>
    <row r="45" spans="1:14" ht="15.75" thickBot="1" x14ac:dyDescent="0.3">
      <c r="A45" s="103" t="s">
        <v>695</v>
      </c>
      <c r="B45" s="103" t="s">
        <v>696</v>
      </c>
      <c r="C45" s="417">
        <v>46082</v>
      </c>
      <c r="D45" s="118"/>
      <c r="E45" s="118"/>
      <c r="F45" s="118">
        <v>60</v>
      </c>
      <c r="G45" s="118">
        <v>5</v>
      </c>
      <c r="H45" s="118"/>
      <c r="I45" s="118"/>
      <c r="J45" s="118"/>
      <c r="K45" s="119">
        <f t="shared" si="6"/>
        <v>65</v>
      </c>
    </row>
    <row r="46" spans="1:14" ht="15.75" thickBot="1" x14ac:dyDescent="0.3">
      <c r="A46" s="103"/>
      <c r="B46" s="103"/>
      <c r="C46" s="417"/>
      <c r="D46" s="118"/>
      <c r="E46" s="118"/>
      <c r="F46" s="118"/>
      <c r="G46" s="118"/>
      <c r="H46" s="118"/>
      <c r="I46" s="118"/>
      <c r="J46" s="118"/>
      <c r="K46" s="119">
        <f t="shared" si="6"/>
        <v>0</v>
      </c>
    </row>
    <row r="47" spans="1:14" ht="15.75" thickBot="1" x14ac:dyDescent="0.3">
      <c r="A47" s="103"/>
      <c r="B47" s="103"/>
      <c r="C47" s="417"/>
      <c r="D47" s="118"/>
      <c r="E47" s="118"/>
      <c r="F47" s="118"/>
      <c r="G47" s="118"/>
      <c r="H47" s="118"/>
      <c r="I47" s="118"/>
      <c r="J47" s="118"/>
      <c r="K47" s="119">
        <f t="shared" si="6"/>
        <v>0</v>
      </c>
    </row>
    <row r="48" spans="1:14" ht="15.75" thickBot="1" x14ac:dyDescent="0.3">
      <c r="A48" s="103"/>
      <c r="B48" s="103"/>
      <c r="C48" s="417"/>
      <c r="D48" s="118"/>
      <c r="E48" s="118"/>
      <c r="F48" s="118"/>
      <c r="G48" s="118"/>
      <c r="H48" s="118"/>
      <c r="I48" s="118"/>
      <c r="J48" s="118"/>
      <c r="K48" s="119">
        <f t="shared" si="6"/>
        <v>0</v>
      </c>
    </row>
    <row r="49" spans="1:11" ht="15.75" thickBot="1" x14ac:dyDescent="0.3">
      <c r="A49" s="406"/>
      <c r="B49" s="103"/>
      <c r="C49" s="417"/>
      <c r="D49" s="118"/>
      <c r="E49" s="118"/>
      <c r="F49" s="118"/>
      <c r="G49" s="118"/>
      <c r="H49" s="118"/>
      <c r="I49" s="118"/>
      <c r="J49" s="118"/>
      <c r="K49" s="119">
        <f t="shared" si="6"/>
        <v>0</v>
      </c>
    </row>
    <row r="50" spans="1:11" ht="15.75" thickBot="1" x14ac:dyDescent="0.3">
      <c r="A50" s="406"/>
      <c r="B50" s="103"/>
      <c r="C50" s="417"/>
      <c r="D50" s="118"/>
      <c r="E50" s="118"/>
      <c r="F50" s="118"/>
      <c r="G50" s="118"/>
      <c r="H50" s="118"/>
      <c r="I50" s="118"/>
      <c r="J50" s="118"/>
      <c r="K50" s="119">
        <f t="shared" si="6"/>
        <v>0</v>
      </c>
    </row>
    <row r="51" spans="1:11" ht="15.75" thickBot="1" x14ac:dyDescent="0.3">
      <c r="A51" s="406"/>
      <c r="B51" s="103"/>
      <c r="C51" s="417"/>
      <c r="D51" s="118"/>
      <c r="E51" s="118"/>
      <c r="F51" s="118"/>
      <c r="G51" s="118"/>
      <c r="H51" s="118"/>
      <c r="I51" s="118"/>
      <c r="J51" s="118"/>
      <c r="K51" s="119">
        <f t="shared" si="6"/>
        <v>0</v>
      </c>
    </row>
    <row r="52" spans="1:11" ht="15.75" thickBot="1" x14ac:dyDescent="0.3">
      <c r="A52" s="406"/>
      <c r="B52" s="103"/>
      <c r="C52" s="417"/>
      <c r="D52" s="118"/>
      <c r="E52" s="118"/>
      <c r="F52" s="118"/>
      <c r="G52" s="118"/>
      <c r="H52" s="118"/>
      <c r="I52" s="118"/>
      <c r="J52" s="118"/>
      <c r="K52" s="119">
        <f t="shared" si="6"/>
        <v>0</v>
      </c>
    </row>
    <row r="53" spans="1:11" ht="15.75" thickBot="1" x14ac:dyDescent="0.3">
      <c r="A53" s="406"/>
      <c r="B53" s="103"/>
      <c r="C53" s="103"/>
      <c r="D53" s="118"/>
      <c r="E53" s="118"/>
      <c r="F53" s="118"/>
      <c r="G53" s="118"/>
      <c r="H53" s="118"/>
      <c r="I53" s="118"/>
      <c r="J53" s="118"/>
      <c r="K53" s="119">
        <f t="shared" si="6"/>
        <v>0</v>
      </c>
    </row>
    <row r="54" spans="1:11" ht="15.75" thickBot="1" x14ac:dyDescent="0.3">
      <c r="A54" s="137"/>
      <c r="B54" s="103"/>
      <c r="C54" s="103"/>
      <c r="D54" s="118"/>
      <c r="E54" s="118"/>
      <c r="F54" s="118"/>
      <c r="G54" s="118"/>
      <c r="H54" s="118"/>
      <c r="I54" s="118"/>
      <c r="J54" s="118"/>
      <c r="K54" s="119">
        <f t="shared" si="6"/>
        <v>0</v>
      </c>
    </row>
    <row r="55" spans="1:11" ht="15.75" thickBot="1" x14ac:dyDescent="0.3">
      <c r="A55" s="121"/>
      <c r="B55" s="103"/>
      <c r="C55" s="103"/>
      <c r="D55" s="118"/>
      <c r="F55" s="118"/>
      <c r="G55" s="118"/>
      <c r="H55" s="118"/>
      <c r="I55" s="118"/>
      <c r="J55" s="118"/>
      <c r="K55" s="119">
        <f t="shared" si="6"/>
        <v>0</v>
      </c>
    </row>
    <row r="56" spans="1:11" ht="15.75" thickBot="1" x14ac:dyDescent="0.3">
      <c r="A56" s="121"/>
      <c r="B56" s="103"/>
      <c r="C56" s="103"/>
      <c r="D56" s="118"/>
      <c r="E56" s="118"/>
      <c r="F56" s="118"/>
      <c r="G56" s="118"/>
      <c r="H56" s="118"/>
      <c r="I56" s="118"/>
      <c r="J56" s="118"/>
      <c r="K56" s="119">
        <f t="shared" si="6"/>
        <v>0</v>
      </c>
    </row>
    <row r="57" spans="1:11" ht="15.75" thickBot="1" x14ac:dyDescent="0.3">
      <c r="A57" s="121"/>
      <c r="B57" s="103"/>
      <c r="C57" s="103"/>
      <c r="D57" s="138"/>
      <c r="E57" s="138"/>
      <c r="F57" s="138"/>
      <c r="G57" s="138"/>
      <c r="H57" s="138"/>
      <c r="I57" s="138"/>
      <c r="J57" s="138"/>
      <c r="K57" s="119">
        <f t="shared" si="6"/>
        <v>0</v>
      </c>
    </row>
    <row r="58" spans="1:11" ht="19.5" thickBot="1" x14ac:dyDescent="0.35">
      <c r="A58" s="105" t="s">
        <v>4</v>
      </c>
      <c r="B58" s="86"/>
      <c r="C58" s="106"/>
      <c r="D58" s="107">
        <f t="shared" ref="D58:I58" si="7">SUM(D44:D57)</f>
        <v>101.8</v>
      </c>
      <c r="E58" s="107">
        <f t="shared" si="7"/>
        <v>6</v>
      </c>
      <c r="F58" s="107">
        <f t="shared" si="7"/>
        <v>120</v>
      </c>
      <c r="G58" s="107">
        <f t="shared" si="7"/>
        <v>10</v>
      </c>
      <c r="H58" s="107">
        <f t="shared" si="7"/>
        <v>0</v>
      </c>
      <c r="I58" s="107">
        <f t="shared" si="7"/>
        <v>0</v>
      </c>
      <c r="J58" s="107"/>
      <c r="K58" s="107">
        <f>SUM(K44:K57)</f>
        <v>237.8</v>
      </c>
    </row>
    <row r="59" spans="1:11" ht="15.75" x14ac:dyDescent="0.25">
      <c r="A59" s="139"/>
      <c r="B59" s="139"/>
      <c r="C59" s="140"/>
      <c r="D59" s="141"/>
      <c r="E59" s="141"/>
      <c r="F59" s="141"/>
      <c r="G59" s="141"/>
      <c r="H59" s="141"/>
      <c r="I59" s="141"/>
      <c r="J59" s="141"/>
      <c r="K59" s="141"/>
    </row>
    <row r="60" spans="1:11" ht="16.5" thickBot="1" x14ac:dyDescent="0.3">
      <c r="A60" s="139"/>
      <c r="B60" s="139"/>
      <c r="C60" s="140"/>
      <c r="D60" s="141"/>
      <c r="E60" s="141"/>
      <c r="F60" s="141"/>
      <c r="G60" s="141"/>
      <c r="H60" s="141"/>
      <c r="I60" s="141"/>
      <c r="J60" s="141"/>
      <c r="K60" s="141"/>
    </row>
    <row r="61" spans="1:11" ht="19.5" thickBot="1" x14ac:dyDescent="0.35">
      <c r="A61" s="492" t="s">
        <v>50</v>
      </c>
      <c r="B61" s="493"/>
      <c r="C61" s="142"/>
      <c r="D61" s="143"/>
      <c r="E61" s="143"/>
      <c r="F61" s="143"/>
      <c r="G61" s="143"/>
      <c r="H61" s="143"/>
      <c r="I61" s="143"/>
      <c r="J61" s="143"/>
      <c r="K61" s="108">
        <f>+K23+K58</f>
        <v>309.3</v>
      </c>
    </row>
    <row r="62" spans="1:11" x14ac:dyDescent="0.25">
      <c r="A62" s="84"/>
      <c r="B62" s="84"/>
      <c r="C62" s="144"/>
      <c r="D62" s="85"/>
      <c r="E62" s="85"/>
      <c r="F62" s="85"/>
      <c r="G62" s="85"/>
      <c r="H62" s="85"/>
      <c r="I62" s="85"/>
      <c r="J62" s="85"/>
      <c r="K62" s="85"/>
    </row>
    <row r="63" spans="1:11" x14ac:dyDescent="0.25">
      <c r="A63" s="84"/>
      <c r="B63" s="84"/>
      <c r="C63" s="144"/>
      <c r="D63" s="85"/>
      <c r="E63" s="85"/>
      <c r="F63" s="85"/>
      <c r="G63" s="85"/>
      <c r="H63" s="85"/>
      <c r="I63" s="85"/>
      <c r="J63" s="85"/>
      <c r="K63" s="85"/>
    </row>
    <row r="64" spans="1:11" ht="16.5" thickBot="1" x14ac:dyDescent="0.3">
      <c r="A64" s="145" t="s">
        <v>500</v>
      </c>
      <c r="B64" s="84"/>
      <c r="C64" s="144"/>
      <c r="D64" s="85"/>
      <c r="E64" s="85"/>
      <c r="F64" s="85"/>
      <c r="G64" s="85"/>
      <c r="H64" s="85"/>
      <c r="I64" s="85"/>
      <c r="J64" s="85"/>
      <c r="K64" s="85"/>
    </row>
    <row r="65" spans="1:12" ht="19.5" thickBot="1" x14ac:dyDescent="0.35">
      <c r="A65" s="146" t="s">
        <v>52</v>
      </c>
      <c r="B65" s="147"/>
      <c r="C65" s="148"/>
      <c r="D65" s="149"/>
      <c r="E65" s="149"/>
      <c r="F65" s="149"/>
      <c r="G65" s="149"/>
      <c r="H65" s="149"/>
      <c r="I65" s="149"/>
      <c r="J65" s="149"/>
      <c r="K65" s="108"/>
    </row>
    <row r="66" spans="1:12" ht="19.5" thickBot="1" x14ac:dyDescent="0.35">
      <c r="A66" s="146" t="s">
        <v>53</v>
      </c>
      <c r="B66" s="147"/>
      <c r="C66" s="150"/>
      <c r="D66" s="149"/>
      <c r="E66" s="149"/>
      <c r="F66" s="149"/>
      <c r="G66" s="149"/>
      <c r="H66" s="149"/>
      <c r="I66" s="149"/>
      <c r="J66" s="149"/>
      <c r="K66" s="108"/>
      <c r="L66" s="41"/>
    </row>
    <row r="67" spans="1:12" ht="18.75" x14ac:dyDescent="0.3">
      <c r="A67" s="151"/>
      <c r="B67" s="151"/>
      <c r="C67" s="152"/>
      <c r="D67" s="153"/>
      <c r="E67" s="153"/>
      <c r="F67" s="153"/>
      <c r="G67" s="153"/>
      <c r="H67" s="153"/>
      <c r="I67" s="153"/>
      <c r="J67" s="153"/>
      <c r="K67" s="111"/>
    </row>
    <row r="68" spans="1:12" ht="18.75" x14ac:dyDescent="0.3">
      <c r="A68" s="151"/>
      <c r="B68" s="151"/>
      <c r="C68" s="152"/>
      <c r="D68" s="153"/>
      <c r="E68" s="153"/>
      <c r="F68" s="153"/>
      <c r="G68" s="153"/>
      <c r="H68" s="153"/>
      <c r="I68" s="153"/>
      <c r="J68" s="153"/>
      <c r="K68" s="111"/>
      <c r="L68" s="41"/>
    </row>
    <row r="69" spans="1:12" ht="16.5" thickBot="1" x14ac:dyDescent="0.3">
      <c r="A69" s="154" t="s">
        <v>54</v>
      </c>
      <c r="B69" s="155"/>
      <c r="C69" s="144"/>
      <c r="D69" s="85"/>
      <c r="E69" s="85"/>
      <c r="F69" s="85"/>
      <c r="G69" s="85"/>
      <c r="H69" s="85"/>
      <c r="I69" s="85"/>
      <c r="J69" s="85"/>
      <c r="K69" s="85"/>
    </row>
    <row r="70" spans="1:12" ht="19.5" thickBot="1" x14ac:dyDescent="0.35">
      <c r="A70" s="156" t="s">
        <v>55</v>
      </c>
      <c r="B70" s="157"/>
      <c r="C70" s="158"/>
      <c r="D70" s="159"/>
      <c r="E70" s="159"/>
      <c r="F70" s="159"/>
      <c r="G70" s="159"/>
      <c r="H70" s="159"/>
      <c r="I70" s="159"/>
      <c r="J70" s="159"/>
      <c r="K70" s="160">
        <v>521.5</v>
      </c>
    </row>
    <row r="71" spans="1:12" x14ac:dyDescent="0.25">
      <c r="A71" s="161"/>
      <c r="B71" s="84"/>
      <c r="C71" s="144"/>
      <c r="D71" s="85"/>
      <c r="E71" s="85"/>
      <c r="F71" s="85"/>
      <c r="G71" s="85"/>
      <c r="H71" s="85"/>
      <c r="I71" s="85"/>
      <c r="J71" s="85"/>
      <c r="K71" s="85"/>
    </row>
    <row r="72" spans="1:12" ht="16.5" thickBot="1" x14ac:dyDescent="0.3">
      <c r="A72" s="154"/>
      <c r="B72" s="155"/>
      <c r="C72" s="144"/>
      <c r="D72" s="85"/>
      <c r="E72" s="85"/>
      <c r="F72" s="85"/>
      <c r="G72" s="85"/>
      <c r="H72" s="85"/>
      <c r="I72" s="85"/>
      <c r="J72" s="85"/>
      <c r="K72" s="85"/>
    </row>
    <row r="73" spans="1:12" ht="19.5" thickBot="1" x14ac:dyDescent="0.35">
      <c r="A73" s="156" t="s">
        <v>56</v>
      </c>
      <c r="B73" s="157"/>
      <c r="C73" s="162"/>
      <c r="D73" s="159"/>
      <c r="E73" s="159"/>
      <c r="F73" s="159"/>
      <c r="G73" s="159"/>
      <c r="H73" s="159"/>
      <c r="I73" s="159"/>
      <c r="J73" s="159"/>
      <c r="K73" s="163"/>
    </row>
    <row r="74" spans="1:12" ht="15.75" thickBot="1" x14ac:dyDescent="0.3">
      <c r="A74" s="161"/>
      <c r="B74" s="84"/>
      <c r="C74" s="144"/>
      <c r="D74" s="85"/>
      <c r="E74" s="85"/>
      <c r="F74" s="85"/>
      <c r="G74" s="85"/>
      <c r="H74" s="85"/>
      <c r="I74" s="85"/>
      <c r="J74" s="85"/>
      <c r="K74" s="85"/>
    </row>
    <row r="75" spans="1:12" ht="21.75" thickBot="1" x14ac:dyDescent="0.4">
      <c r="A75" s="494" t="s">
        <v>57</v>
      </c>
      <c r="B75" s="495"/>
      <c r="C75" s="164"/>
      <c r="D75" s="165"/>
      <c r="E75" s="165"/>
      <c r="F75" s="165"/>
      <c r="G75" s="165"/>
      <c r="H75" s="165"/>
      <c r="I75" s="165"/>
      <c r="J75" s="165"/>
      <c r="K75" s="166">
        <f>SUM(K61:K74)</f>
        <v>830.8</v>
      </c>
    </row>
    <row r="76" spans="1:12" x14ac:dyDescent="0.25">
      <c r="A76" s="84"/>
      <c r="B76" s="84"/>
      <c r="C76" s="144"/>
      <c r="D76" s="85"/>
      <c r="E76" s="85"/>
      <c r="F76" s="85"/>
      <c r="G76" s="85"/>
      <c r="H76" s="85"/>
      <c r="I76" s="85"/>
      <c r="J76" s="85"/>
      <c r="K76" s="85"/>
    </row>
    <row r="77" spans="1:12" ht="21" x14ac:dyDescent="0.35">
      <c r="A77" s="491" t="s">
        <v>691</v>
      </c>
      <c r="B77" s="491"/>
      <c r="C77" s="491"/>
      <c r="D77" s="491"/>
      <c r="E77" s="491"/>
      <c r="F77" s="491"/>
      <c r="G77" s="491"/>
      <c r="H77" s="491"/>
      <c r="I77" s="491"/>
      <c r="J77" s="491"/>
      <c r="K77" s="491"/>
    </row>
    <row r="78" spans="1:12" ht="21.75" thickBot="1" x14ac:dyDescent="0.4">
      <c r="A78" s="407" t="s">
        <v>10</v>
      </c>
      <c r="B78" s="407"/>
      <c r="C78" s="407"/>
      <c r="D78" s="407"/>
      <c r="E78" s="407"/>
      <c r="F78" s="407"/>
      <c r="G78" s="407"/>
      <c r="H78" s="407"/>
      <c r="I78" s="407"/>
      <c r="J78" s="407"/>
      <c r="K78" s="168"/>
    </row>
    <row r="79" spans="1:12" ht="15.75" thickBot="1" x14ac:dyDescent="0.3">
      <c r="A79" s="169" t="s">
        <v>58</v>
      </c>
      <c r="B79" s="170" t="s">
        <v>59</v>
      </c>
      <c r="C79" s="496" t="s">
        <v>33</v>
      </c>
      <c r="D79" s="497"/>
      <c r="E79" s="497"/>
      <c r="F79" s="497"/>
      <c r="G79" s="497"/>
      <c r="H79" s="497"/>
      <c r="I79" s="497"/>
      <c r="J79" s="498"/>
      <c r="K79" s="171" t="s">
        <v>4</v>
      </c>
    </row>
    <row r="80" spans="1:12" ht="15.75" thickBot="1" x14ac:dyDescent="0.3">
      <c r="A80" s="172" t="s">
        <v>118</v>
      </c>
      <c r="B80" s="173" t="s">
        <v>698</v>
      </c>
      <c r="C80" s="504" t="s">
        <v>699</v>
      </c>
      <c r="D80" s="505"/>
      <c r="E80" s="505"/>
      <c r="F80" s="505"/>
      <c r="G80" s="505"/>
      <c r="H80" s="505"/>
      <c r="I80" s="505"/>
      <c r="J80" s="528"/>
      <c r="K80" s="104">
        <v>30</v>
      </c>
    </row>
    <row r="81" spans="1:11" ht="15.75" thickBot="1" x14ac:dyDescent="0.3">
      <c r="A81" s="121"/>
      <c r="B81" s="173"/>
      <c r="C81" s="525"/>
      <c r="D81" s="526"/>
      <c r="E81" s="526"/>
      <c r="F81" s="526"/>
      <c r="G81" s="526"/>
      <c r="H81" s="526"/>
      <c r="I81" s="526"/>
      <c r="J81" s="527"/>
      <c r="K81" s="104"/>
    </row>
    <row r="82" spans="1:11" ht="15.75" thickBot="1" x14ac:dyDescent="0.3">
      <c r="A82" s="121"/>
      <c r="B82" s="173"/>
      <c r="C82" s="525"/>
      <c r="D82" s="526"/>
      <c r="E82" s="526"/>
      <c r="F82" s="526"/>
      <c r="G82" s="526"/>
      <c r="H82" s="526"/>
      <c r="I82" s="526"/>
      <c r="J82" s="527"/>
      <c r="K82" s="174"/>
    </row>
    <row r="83" spans="1:11" ht="15.75" thickBot="1" x14ac:dyDescent="0.3">
      <c r="A83" s="121"/>
      <c r="B83" s="173"/>
      <c r="C83" s="525"/>
      <c r="D83" s="526"/>
      <c r="E83" s="526"/>
      <c r="F83" s="526"/>
      <c r="G83" s="526"/>
      <c r="H83" s="526"/>
      <c r="I83" s="526"/>
      <c r="J83" s="527"/>
      <c r="K83" s="104"/>
    </row>
    <row r="84" spans="1:11" ht="15.75" thickBot="1" x14ac:dyDescent="0.3">
      <c r="A84" s="121"/>
      <c r="B84" s="173"/>
      <c r="C84" s="525"/>
      <c r="D84" s="526"/>
      <c r="E84" s="526"/>
      <c r="F84" s="526"/>
      <c r="G84" s="526"/>
      <c r="H84" s="526"/>
      <c r="I84" s="526"/>
      <c r="J84" s="527"/>
      <c r="K84" s="104"/>
    </row>
    <row r="85" spans="1:11" ht="15.75" thickBot="1" x14ac:dyDescent="0.3">
      <c r="A85" s="121"/>
      <c r="B85" s="173"/>
      <c r="C85" s="525"/>
      <c r="D85" s="526"/>
      <c r="E85" s="526"/>
      <c r="F85" s="526"/>
      <c r="G85" s="526"/>
      <c r="H85" s="526"/>
      <c r="I85" s="526"/>
      <c r="J85" s="527"/>
      <c r="K85" s="104"/>
    </row>
    <row r="86" spans="1:11" ht="15.75" thickBot="1" x14ac:dyDescent="0.3">
      <c r="A86" s="121"/>
      <c r="B86" s="173"/>
      <c r="C86" s="525"/>
      <c r="D86" s="526"/>
      <c r="E86" s="526"/>
      <c r="F86" s="526"/>
      <c r="G86" s="526"/>
      <c r="H86" s="526"/>
      <c r="I86" s="526"/>
      <c r="J86" s="527"/>
      <c r="K86" s="118"/>
    </row>
    <row r="87" spans="1:11" ht="15.75" thickBot="1" x14ac:dyDescent="0.3">
      <c r="A87" s="121"/>
      <c r="B87" s="173"/>
      <c r="C87" s="525"/>
      <c r="D87" s="526"/>
      <c r="E87" s="526"/>
      <c r="F87" s="526"/>
      <c r="G87" s="526"/>
      <c r="H87" s="526"/>
      <c r="I87" s="526"/>
      <c r="J87" s="527"/>
      <c r="K87" s="118"/>
    </row>
    <row r="88" spans="1:11" ht="15.75" thickBot="1" x14ac:dyDescent="0.3">
      <c r="A88" s="121"/>
      <c r="B88" s="173"/>
      <c r="C88" s="525"/>
      <c r="D88" s="526"/>
      <c r="E88" s="526"/>
      <c r="F88" s="526"/>
      <c r="G88" s="526"/>
      <c r="H88" s="526"/>
      <c r="I88" s="526"/>
      <c r="J88" s="527"/>
      <c r="K88" s="118"/>
    </row>
    <row r="89" spans="1:11" ht="15.75" thickBot="1" x14ac:dyDescent="0.3">
      <c r="A89" s="121"/>
      <c r="B89" s="173"/>
      <c r="C89" s="525"/>
      <c r="D89" s="526"/>
      <c r="E89" s="526"/>
      <c r="F89" s="526"/>
      <c r="G89" s="526"/>
      <c r="H89" s="526"/>
      <c r="I89" s="526"/>
      <c r="J89" s="527"/>
      <c r="K89" s="118"/>
    </row>
    <row r="90" spans="1:11" ht="19.5" thickBot="1" x14ac:dyDescent="0.35">
      <c r="A90" s="175" t="s">
        <v>60</v>
      </c>
      <c r="B90" s="492"/>
      <c r="C90" s="499"/>
      <c r="D90" s="499"/>
      <c r="E90" s="499"/>
      <c r="F90" s="499"/>
      <c r="G90" s="499"/>
      <c r="H90" s="499"/>
      <c r="I90" s="499"/>
      <c r="J90" s="414"/>
      <c r="K90" s="176">
        <f>SUM(K80:K89)</f>
        <v>30</v>
      </c>
    </row>
    <row r="91" spans="1:11" ht="18.75" x14ac:dyDescent="0.3">
      <c r="A91" s="2"/>
      <c r="B91" s="2"/>
      <c r="C91" s="177"/>
      <c r="D91" s="177"/>
      <c r="E91" s="177"/>
      <c r="F91" s="178"/>
      <c r="G91" s="177"/>
      <c r="H91" s="177"/>
      <c r="I91" s="177"/>
      <c r="J91" s="177"/>
      <c r="K91" s="111"/>
    </row>
    <row r="92" spans="1:11" ht="18.75" x14ac:dyDescent="0.3">
      <c r="A92" s="2"/>
      <c r="B92" s="2"/>
      <c r="C92" s="177"/>
      <c r="D92" s="177"/>
      <c r="E92" s="177"/>
      <c r="F92" s="178"/>
      <c r="G92" s="177"/>
      <c r="H92" s="177"/>
      <c r="I92" s="177"/>
      <c r="J92" s="177"/>
      <c r="K92" s="111"/>
    </row>
    <row r="93" spans="1:11" ht="18.75" x14ac:dyDescent="0.3">
      <c r="A93" s="139" t="s">
        <v>61</v>
      </c>
      <c r="B93" s="2"/>
      <c r="C93" s="84"/>
      <c r="D93" s="85"/>
      <c r="F93" s="85"/>
      <c r="K93" s="85"/>
    </row>
    <row r="94" spans="1:11" x14ac:dyDescent="0.25">
      <c r="A94" s="84" t="s">
        <v>62</v>
      </c>
      <c r="B94" s="144">
        <f>+K75</f>
        <v>830.8</v>
      </c>
      <c r="C94" s="179"/>
      <c r="D94" s="85"/>
      <c r="F94" s="85"/>
      <c r="K94" s="85"/>
    </row>
    <row r="95" spans="1:11" ht="15.75" thickBot="1" x14ac:dyDescent="0.3">
      <c r="A95" s="84" t="s">
        <v>60</v>
      </c>
      <c r="B95" s="180">
        <f>+K90</f>
        <v>30</v>
      </c>
      <c r="C95" s="181"/>
      <c r="D95" s="85"/>
      <c r="F95" s="85"/>
      <c r="G95" s="182"/>
      <c r="H95" s="182"/>
      <c r="I95" s="183"/>
      <c r="J95" s="183"/>
      <c r="K95" s="183"/>
    </row>
    <row r="96" spans="1:11" ht="17.25" thickTop="1" thickBot="1" x14ac:dyDescent="0.3">
      <c r="A96" s="139" t="s">
        <v>8</v>
      </c>
      <c r="B96" s="184">
        <f>++B94-B95</f>
        <v>800.8</v>
      </c>
      <c r="C96" s="185"/>
      <c r="D96" s="186"/>
      <c r="E96" s="41"/>
      <c r="F96" s="186"/>
      <c r="G96" s="187"/>
      <c r="H96" s="187"/>
      <c r="I96" s="85"/>
      <c r="J96" s="85"/>
    </row>
    <row r="97" ht="15.75" thickTop="1" x14ac:dyDescent="0.25"/>
  </sheetData>
  <mergeCells count="16">
    <mergeCell ref="C80:J80"/>
    <mergeCell ref="A1:K1"/>
    <mergeCell ref="A61:B61"/>
    <mergeCell ref="A75:B75"/>
    <mergeCell ref="A77:K77"/>
    <mergeCell ref="C79:J79"/>
    <mergeCell ref="C87:J87"/>
    <mergeCell ref="C88:J88"/>
    <mergeCell ref="C89:J89"/>
    <mergeCell ref="B90:I90"/>
    <mergeCell ref="C81:J81"/>
    <mergeCell ref="C82:J82"/>
    <mergeCell ref="C83:J83"/>
    <mergeCell ref="C84:J84"/>
    <mergeCell ref="C85:J85"/>
    <mergeCell ref="C86:J86"/>
  </mergeCells>
  <phoneticPr fontId="15" type="noConversion"/>
  <pageMargins left="0.17" right="0.17" top="0.17" bottom="0.17" header="0.17" footer="0.17"/>
  <pageSetup paperSize="9" scale="49" fitToWidth="0"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645D-AD09-41A8-A470-75CA717A5120}">
  <sheetPr>
    <pageSetUpPr fitToPage="1"/>
  </sheetPr>
  <dimension ref="A1:N97"/>
  <sheetViews>
    <sheetView topLeftCell="A46" workbookViewId="0">
      <selection sqref="A1:N96"/>
    </sheetView>
  </sheetViews>
  <sheetFormatPr baseColWidth="10" defaultRowHeight="15" x14ac:dyDescent="0.25"/>
  <cols>
    <col min="1" max="1" width="32.140625" bestFit="1" customWidth="1"/>
    <col min="2" max="2" width="15.42578125" bestFit="1" customWidth="1"/>
  </cols>
  <sheetData>
    <row r="1" spans="1:11" ht="21" x14ac:dyDescent="0.35">
      <c r="A1" s="491" t="s">
        <v>701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</row>
    <row r="2" spans="1:11" ht="15.75" thickBot="1" x14ac:dyDescent="0.3">
      <c r="A2" s="83"/>
      <c r="B2" s="84"/>
      <c r="C2" s="84"/>
      <c r="K2" s="85"/>
    </row>
    <row r="3" spans="1:11" ht="4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347" t="s">
        <v>489</v>
      </c>
      <c r="K3" s="87" t="s">
        <v>4</v>
      </c>
    </row>
    <row r="4" spans="1:11" ht="15.75" thickBot="1" x14ac:dyDescent="0.3">
      <c r="A4" s="88"/>
      <c r="B4" s="88"/>
      <c r="C4" s="89"/>
      <c r="D4" s="90"/>
      <c r="E4" s="90"/>
      <c r="F4" s="90"/>
      <c r="G4" s="90"/>
      <c r="H4" s="90"/>
      <c r="I4" s="90"/>
      <c r="J4" s="348"/>
      <c r="K4" s="87">
        <f>SUM(D4:J4)</f>
        <v>0</v>
      </c>
    </row>
    <row r="5" spans="1:11" ht="15.75" thickBot="1" x14ac:dyDescent="0.3">
      <c r="A5" s="88"/>
      <c r="B5" s="88"/>
      <c r="C5" s="89"/>
      <c r="D5" s="90"/>
      <c r="E5" s="90"/>
      <c r="F5" s="90"/>
      <c r="G5" s="90"/>
      <c r="H5" s="90"/>
      <c r="I5" s="90"/>
      <c r="J5" s="348"/>
      <c r="K5" s="87">
        <f t="shared" ref="K5:K22" si="0">SUM(D5:J5)</f>
        <v>0</v>
      </c>
    </row>
    <row r="6" spans="1:11" ht="15.75" thickBot="1" x14ac:dyDescent="0.3">
      <c r="A6" s="88"/>
      <c r="B6" s="88"/>
      <c r="C6" s="89"/>
      <c r="D6" s="90"/>
      <c r="E6" s="90"/>
      <c r="F6" s="90"/>
      <c r="G6" s="90"/>
      <c r="H6" s="90"/>
      <c r="I6" s="90"/>
      <c r="J6" s="348"/>
      <c r="K6" s="87">
        <f t="shared" si="0"/>
        <v>0</v>
      </c>
    </row>
    <row r="7" spans="1:11" ht="15.75" thickBot="1" x14ac:dyDescent="0.3">
      <c r="A7" s="88"/>
      <c r="B7" s="88"/>
      <c r="C7" s="89"/>
      <c r="D7" s="90"/>
      <c r="E7" s="90"/>
      <c r="F7" s="90"/>
      <c r="G7" s="90"/>
      <c r="H7" s="90"/>
      <c r="I7" s="90"/>
      <c r="J7" s="348"/>
      <c r="K7" s="87">
        <f t="shared" si="0"/>
        <v>0</v>
      </c>
    </row>
    <row r="8" spans="1:11" ht="15.75" thickBot="1" x14ac:dyDescent="0.3">
      <c r="A8" s="88"/>
      <c r="B8" s="88"/>
      <c r="C8" s="89"/>
      <c r="D8" s="90"/>
      <c r="E8" s="90"/>
      <c r="F8" s="90"/>
      <c r="G8" s="90"/>
      <c r="H8" s="90"/>
      <c r="I8" s="90"/>
      <c r="J8" s="348"/>
      <c r="K8" s="87">
        <f t="shared" si="0"/>
        <v>0</v>
      </c>
    </row>
    <row r="9" spans="1:11" ht="15.75" thickBot="1" x14ac:dyDescent="0.3">
      <c r="A9" s="88"/>
      <c r="B9" s="88"/>
      <c r="C9" s="89"/>
      <c r="D9" s="90"/>
      <c r="E9" s="90"/>
      <c r="F9" s="90"/>
      <c r="G9" s="90"/>
      <c r="H9" s="90"/>
      <c r="I9" s="90"/>
      <c r="J9" s="348"/>
      <c r="K9" s="87">
        <f t="shared" si="0"/>
        <v>0</v>
      </c>
    </row>
    <row r="10" spans="1:11" ht="15.75" thickBot="1" x14ac:dyDescent="0.3">
      <c r="A10" s="424"/>
      <c r="B10" s="103"/>
      <c r="C10" s="103"/>
      <c r="D10" s="116"/>
      <c r="E10" s="116"/>
      <c r="F10" s="116"/>
      <c r="G10" s="116"/>
      <c r="H10" s="90"/>
      <c r="I10" s="90"/>
      <c r="J10" s="348"/>
      <c r="K10" s="87">
        <f t="shared" si="0"/>
        <v>0</v>
      </c>
    </row>
    <row r="11" spans="1:11" ht="15.75" thickBot="1" x14ac:dyDescent="0.3">
      <c r="A11" s="88"/>
      <c r="B11" s="88"/>
      <c r="C11" s="89"/>
      <c r="D11" s="90"/>
      <c r="E11" s="90"/>
      <c r="F11" s="90"/>
      <c r="G11" s="90"/>
      <c r="H11" s="90"/>
      <c r="I11" s="90"/>
      <c r="J11" s="348"/>
      <c r="K11" s="87">
        <f t="shared" si="0"/>
        <v>0</v>
      </c>
    </row>
    <row r="12" spans="1:11" ht="15.75" thickBot="1" x14ac:dyDescent="0.3">
      <c r="A12" s="422"/>
      <c r="B12" s="88"/>
      <c r="C12" s="89"/>
      <c r="D12" s="90"/>
      <c r="E12" s="90"/>
      <c r="F12" s="90"/>
      <c r="G12" s="90"/>
      <c r="H12" s="90"/>
      <c r="I12" s="90"/>
      <c r="J12" s="348"/>
      <c r="K12" s="87">
        <f t="shared" si="0"/>
        <v>0</v>
      </c>
    </row>
    <row r="13" spans="1:11" ht="15.75" thickBot="1" x14ac:dyDescent="0.3">
      <c r="A13" s="422"/>
      <c r="B13" s="420"/>
      <c r="C13" s="89"/>
      <c r="D13" s="90"/>
      <c r="E13" s="90"/>
      <c r="F13" s="90"/>
      <c r="G13" s="90"/>
      <c r="H13" s="90"/>
      <c r="I13" s="93"/>
      <c r="J13" s="99"/>
      <c r="K13" s="87">
        <f t="shared" si="0"/>
        <v>0</v>
      </c>
    </row>
    <row r="14" spans="1:11" ht="15.75" thickBot="1" x14ac:dyDescent="0.3">
      <c r="A14" s="88"/>
      <c r="B14" s="88"/>
      <c r="C14" s="89"/>
      <c r="D14" s="90"/>
      <c r="E14" s="90"/>
      <c r="F14" s="90"/>
      <c r="G14" s="90"/>
      <c r="H14" s="90"/>
      <c r="I14" s="90"/>
      <c r="J14" s="348"/>
      <c r="K14" s="87">
        <f t="shared" si="0"/>
        <v>0</v>
      </c>
    </row>
    <row r="15" spans="1:11" ht="15.75" thickBot="1" x14ac:dyDescent="0.3">
      <c r="A15" s="95"/>
      <c r="B15" s="421"/>
      <c r="C15" s="89"/>
      <c r="D15" s="90"/>
      <c r="E15" s="90"/>
      <c r="F15" s="90"/>
      <c r="G15" s="90"/>
      <c r="H15" s="90"/>
      <c r="I15" s="90"/>
      <c r="J15" s="348"/>
      <c r="K15" s="87">
        <f t="shared" si="0"/>
        <v>0</v>
      </c>
    </row>
    <row r="16" spans="1:11" ht="15.75" thickBot="1" x14ac:dyDescent="0.3">
      <c r="A16" s="97"/>
      <c r="B16" s="95"/>
      <c r="C16" s="89"/>
      <c r="D16" s="90"/>
      <c r="E16" s="90"/>
      <c r="F16" s="90"/>
      <c r="G16" s="90"/>
      <c r="H16" s="90"/>
      <c r="I16" s="90"/>
      <c r="J16" s="348"/>
      <c r="K16" s="87">
        <f t="shared" si="0"/>
        <v>0</v>
      </c>
    </row>
    <row r="17" spans="1:14" ht="15.75" thickBot="1" x14ac:dyDescent="0.3">
      <c r="A17" s="418"/>
      <c r="B17" s="418"/>
      <c r="C17" s="89"/>
      <c r="D17" s="90"/>
      <c r="E17" s="90"/>
      <c r="F17" s="90"/>
      <c r="G17" s="90"/>
      <c r="H17" s="90"/>
      <c r="I17" s="90"/>
      <c r="J17" s="348"/>
      <c r="K17" s="87">
        <f t="shared" si="0"/>
        <v>0</v>
      </c>
    </row>
    <row r="18" spans="1:14" ht="15.75" thickBot="1" x14ac:dyDescent="0.3">
      <c r="A18" s="99"/>
      <c r="B18" s="418"/>
      <c r="C18" s="89"/>
      <c r="D18" s="90"/>
      <c r="E18" s="90"/>
      <c r="F18" s="90"/>
      <c r="G18" s="90"/>
      <c r="H18" s="90"/>
      <c r="I18" s="90"/>
      <c r="J18" s="348"/>
      <c r="K18" s="87">
        <f t="shared" si="0"/>
        <v>0</v>
      </c>
    </row>
    <row r="19" spans="1:14" ht="15.75" thickBot="1" x14ac:dyDescent="0.3">
      <c r="A19" s="99"/>
      <c r="B19" s="418"/>
      <c r="C19" s="89"/>
      <c r="D19" s="90"/>
      <c r="E19" s="90"/>
      <c r="F19" s="90"/>
      <c r="G19" s="90"/>
      <c r="H19" s="90"/>
      <c r="I19" s="90"/>
      <c r="J19" s="348"/>
      <c r="K19" s="87">
        <f t="shared" si="0"/>
        <v>0</v>
      </c>
    </row>
    <row r="20" spans="1:14" ht="15.75" thickBot="1" x14ac:dyDescent="0.3">
      <c r="A20" s="100"/>
      <c r="B20" s="418"/>
      <c r="C20" s="89"/>
      <c r="D20" s="90"/>
      <c r="E20" s="90"/>
      <c r="F20" s="90"/>
      <c r="G20" s="90"/>
      <c r="H20" s="90"/>
      <c r="I20" s="90"/>
      <c r="J20" s="348"/>
      <c r="K20" s="87">
        <f t="shared" si="0"/>
        <v>0</v>
      </c>
    </row>
    <row r="21" spans="1:14" ht="15.75" thickBot="1" x14ac:dyDescent="0.3">
      <c r="A21" s="424"/>
      <c r="B21" s="424"/>
      <c r="C21" s="89"/>
      <c r="D21" s="90"/>
      <c r="E21" s="90"/>
      <c r="F21" s="90"/>
      <c r="G21" s="90"/>
      <c r="H21" s="90"/>
      <c r="I21" s="90"/>
      <c r="J21" s="348"/>
      <c r="K21" s="87">
        <f t="shared" si="0"/>
        <v>0</v>
      </c>
    </row>
    <row r="22" spans="1:14" ht="15.75" thickBot="1" x14ac:dyDescent="0.3">
      <c r="A22" s="418"/>
      <c r="B22" s="423"/>
      <c r="C22" s="103"/>
      <c r="D22" s="104"/>
      <c r="E22" s="104"/>
      <c r="F22" s="104"/>
      <c r="G22" s="104"/>
      <c r="H22" s="104"/>
      <c r="I22" s="104"/>
      <c r="J22" s="349"/>
      <c r="K22" s="87">
        <f t="shared" si="0"/>
        <v>0</v>
      </c>
    </row>
    <row r="23" spans="1:14" ht="19.5" thickBot="1" x14ac:dyDescent="0.35">
      <c r="A23" s="105" t="s">
        <v>4</v>
      </c>
      <c r="B23" s="86"/>
      <c r="C23" s="106"/>
      <c r="D23" s="108">
        <f t="shared" ref="D23:J23" si="1">SUM(D4:D22)</f>
        <v>0</v>
      </c>
      <c r="E23" s="108">
        <f t="shared" si="1"/>
        <v>0</v>
      </c>
      <c r="F23" s="108">
        <f t="shared" si="1"/>
        <v>0</v>
      </c>
      <c r="G23" s="108">
        <f t="shared" si="1"/>
        <v>0</v>
      </c>
      <c r="H23" s="108">
        <f t="shared" si="1"/>
        <v>0</v>
      </c>
      <c r="I23" s="108">
        <f t="shared" si="1"/>
        <v>0</v>
      </c>
      <c r="J23" s="108">
        <f t="shared" si="1"/>
        <v>0</v>
      </c>
      <c r="K23" s="108">
        <f>SUM(K4:K22)</f>
        <v>0</v>
      </c>
    </row>
    <row r="24" spans="1:14" ht="19.5" thickBot="1" x14ac:dyDescent="0.35">
      <c r="A24" s="2"/>
      <c r="B24" s="109"/>
      <c r="C24" s="110"/>
      <c r="D24" s="111"/>
      <c r="E24" s="111"/>
      <c r="F24" s="111"/>
      <c r="G24" s="111"/>
      <c r="H24" s="111"/>
      <c r="I24" s="111"/>
      <c r="J24" s="111"/>
      <c r="K24" s="111"/>
    </row>
    <row r="25" spans="1:14" ht="24" thickBot="1" x14ac:dyDescent="0.4">
      <c r="A25" s="112" t="s">
        <v>40</v>
      </c>
      <c r="B25" s="109"/>
      <c r="C25" s="110"/>
      <c r="D25" s="111"/>
      <c r="E25" s="111"/>
      <c r="F25" s="111"/>
      <c r="G25" s="111"/>
      <c r="H25" s="111"/>
      <c r="I25" s="111"/>
      <c r="J25" s="111"/>
      <c r="K25" s="111"/>
    </row>
    <row r="26" spans="1:14" ht="30.75" thickBot="1" x14ac:dyDescent="0.3">
      <c r="A26" s="113" t="s">
        <v>3</v>
      </c>
      <c r="B26" s="86" t="s">
        <v>32</v>
      </c>
      <c r="C26" s="114" t="s">
        <v>41</v>
      </c>
      <c r="D26" s="114" t="s">
        <v>34</v>
      </c>
      <c r="E26" s="114" t="s">
        <v>35</v>
      </c>
      <c r="F26" s="86" t="s">
        <v>36</v>
      </c>
      <c r="G26" s="86" t="s">
        <v>37</v>
      </c>
      <c r="H26" s="86" t="s">
        <v>42</v>
      </c>
      <c r="I26" s="86" t="s">
        <v>39</v>
      </c>
      <c r="J26" s="86"/>
      <c r="K26" s="115" t="s">
        <v>4</v>
      </c>
    </row>
    <row r="27" spans="1:14" ht="15.75" thickBot="1" x14ac:dyDescent="0.3">
      <c r="A27" s="424"/>
      <c r="B27" s="103"/>
      <c r="C27" s="103"/>
      <c r="D27" s="116"/>
      <c r="E27" s="117"/>
      <c r="F27" s="116"/>
      <c r="G27" s="116"/>
      <c r="H27" s="118"/>
      <c r="I27" s="118"/>
      <c r="J27" s="118"/>
      <c r="K27" s="119">
        <f>SUM(D27:I27)</f>
        <v>0</v>
      </c>
    </row>
    <row r="28" spans="1:14" ht="15.75" thickBot="1" x14ac:dyDescent="0.3">
      <c r="A28" s="424"/>
      <c r="B28" s="423"/>
      <c r="C28" s="103"/>
      <c r="D28" s="116"/>
      <c r="E28" s="117"/>
      <c r="F28" s="116"/>
      <c r="G28" s="116"/>
      <c r="H28" s="118"/>
      <c r="I28" s="118"/>
      <c r="J28" s="118"/>
      <c r="K28" s="119"/>
    </row>
    <row r="29" spans="1:14" ht="15.75" thickBot="1" x14ac:dyDescent="0.3">
      <c r="A29" s="424"/>
      <c r="B29" s="418"/>
      <c r="C29" s="89"/>
      <c r="D29" s="120"/>
      <c r="E29" s="120"/>
      <c r="F29" s="120"/>
      <c r="G29" s="120"/>
      <c r="H29" s="90"/>
      <c r="I29" s="90"/>
      <c r="J29" s="90"/>
      <c r="K29" s="119">
        <f t="shared" ref="K29:K30" si="2">SUM(D29:I29)</f>
        <v>0</v>
      </c>
    </row>
    <row r="30" spans="1:14" ht="15.75" thickBot="1" x14ac:dyDescent="0.3">
      <c r="A30" s="86"/>
      <c r="B30" s="121"/>
      <c r="C30" s="89"/>
      <c r="D30" s="120"/>
      <c r="E30" s="120"/>
      <c r="F30" s="120"/>
      <c r="G30" s="120"/>
      <c r="H30" s="90"/>
      <c r="I30" s="90"/>
      <c r="J30" s="90"/>
      <c r="K30" s="119">
        <f t="shared" si="2"/>
        <v>0</v>
      </c>
      <c r="M30" s="122" t="s">
        <v>43</v>
      </c>
      <c r="N30" s="123">
        <f>K31+K39</f>
        <v>0</v>
      </c>
    </row>
    <row r="31" spans="1:14" ht="15.75" thickBot="1" x14ac:dyDescent="0.3">
      <c r="A31" s="86" t="s">
        <v>4</v>
      </c>
      <c r="B31" s="425"/>
      <c r="C31" s="125"/>
      <c r="D31" s="116">
        <f>SUM(D27:D30)</f>
        <v>0</v>
      </c>
      <c r="E31" s="116">
        <f t="shared" ref="E31:J31" si="3">SUM(E27:E30)</f>
        <v>0</v>
      </c>
      <c r="F31" s="116">
        <f t="shared" si="3"/>
        <v>0</v>
      </c>
      <c r="G31" s="116">
        <f t="shared" si="3"/>
        <v>0</v>
      </c>
      <c r="H31" s="116">
        <f t="shared" si="3"/>
        <v>0</v>
      </c>
      <c r="I31" s="116">
        <f t="shared" si="3"/>
        <v>0</v>
      </c>
      <c r="J31" s="116">
        <f t="shared" si="3"/>
        <v>0</v>
      </c>
      <c r="K31" s="94">
        <f>SUM(K27:K30)</f>
        <v>0</v>
      </c>
    </row>
    <row r="32" spans="1:14" ht="15.75" thickBot="1" x14ac:dyDescent="0.3">
      <c r="A32" s="109"/>
      <c r="B32" s="127"/>
      <c r="C32" s="128"/>
      <c r="D32" s="129"/>
      <c r="E32" s="129"/>
      <c r="F32" s="129"/>
      <c r="G32" s="129"/>
      <c r="H32" s="129"/>
      <c r="I32" s="129"/>
      <c r="J32" s="129"/>
      <c r="K32" s="130"/>
    </row>
    <row r="33" spans="1:14" ht="24" thickBot="1" x14ac:dyDescent="0.4">
      <c r="A33" s="112" t="s">
        <v>40</v>
      </c>
      <c r="B33" s="109"/>
      <c r="C33" s="110"/>
      <c r="D33" s="111"/>
      <c r="E33" s="111"/>
      <c r="F33" s="111"/>
      <c r="G33" s="111"/>
      <c r="H33" s="111"/>
      <c r="I33" s="111"/>
      <c r="J33" s="111"/>
      <c r="K33" s="111"/>
    </row>
    <row r="34" spans="1:14" ht="45.75" thickBot="1" x14ac:dyDescent="0.3">
      <c r="A34" s="131" t="s">
        <v>44</v>
      </c>
      <c r="B34" s="86" t="s">
        <v>45</v>
      </c>
      <c r="C34" s="114" t="s">
        <v>41</v>
      </c>
      <c r="D34" s="114" t="s">
        <v>34</v>
      </c>
      <c r="E34" s="114" t="s">
        <v>35</v>
      </c>
      <c r="F34" s="114" t="s">
        <v>46</v>
      </c>
      <c r="G34" s="114" t="s">
        <v>47</v>
      </c>
      <c r="H34" s="114" t="s">
        <v>42</v>
      </c>
      <c r="I34" s="132" t="s">
        <v>48</v>
      </c>
      <c r="J34" s="86"/>
      <c r="K34" s="115" t="s">
        <v>4</v>
      </c>
    </row>
    <row r="35" spans="1:14" ht="15.75" thickBot="1" x14ac:dyDescent="0.3">
      <c r="A35" s="133"/>
      <c r="B35" s="99"/>
      <c r="C35" s="89"/>
      <c r="D35" s="90"/>
      <c r="E35" s="90"/>
      <c r="F35" s="90"/>
      <c r="G35" s="90"/>
      <c r="H35" s="90"/>
      <c r="I35" s="90"/>
      <c r="J35" s="348"/>
      <c r="K35" s="87">
        <f t="shared" ref="K35:K38" si="4">SUM(D35:I35)</f>
        <v>0</v>
      </c>
    </row>
    <row r="36" spans="1:14" ht="15.75" thickBot="1" x14ac:dyDescent="0.3">
      <c r="A36" s="95"/>
      <c r="B36" s="103"/>
      <c r="C36" s="89"/>
      <c r="D36" s="116"/>
      <c r="E36" s="116"/>
      <c r="F36" s="116"/>
      <c r="G36" s="116"/>
      <c r="H36" s="118"/>
      <c r="I36" s="118"/>
      <c r="J36" s="118"/>
      <c r="K36" s="119">
        <f t="shared" si="4"/>
        <v>0</v>
      </c>
    </row>
    <row r="37" spans="1:14" ht="15.75" thickBot="1" x14ac:dyDescent="0.3">
      <c r="A37" s="424"/>
      <c r="B37" s="418"/>
      <c r="C37" s="89"/>
      <c r="D37" s="120"/>
      <c r="E37" s="120"/>
      <c r="F37" s="120"/>
      <c r="G37" s="120"/>
      <c r="H37" s="90"/>
      <c r="I37" s="90"/>
      <c r="J37" s="90"/>
      <c r="K37" s="119">
        <f t="shared" si="4"/>
        <v>0</v>
      </c>
    </row>
    <row r="38" spans="1:14" ht="15.75" thickBot="1" x14ac:dyDescent="0.3">
      <c r="A38" s="86"/>
      <c r="B38" s="121"/>
      <c r="C38" s="89"/>
      <c r="D38" s="120"/>
      <c r="E38" s="120"/>
      <c r="F38" s="120"/>
      <c r="G38" s="120"/>
      <c r="H38" s="90"/>
      <c r="I38" s="90"/>
      <c r="J38" s="90"/>
      <c r="K38" s="119">
        <f t="shared" si="4"/>
        <v>0</v>
      </c>
      <c r="M38" s="134"/>
      <c r="N38" s="135"/>
    </row>
    <row r="39" spans="1:14" ht="15.75" thickBot="1" x14ac:dyDescent="0.3">
      <c r="A39" s="86" t="s">
        <v>4</v>
      </c>
      <c r="B39" s="425"/>
      <c r="C39" s="125"/>
      <c r="D39" s="116">
        <f>SUM(D35:D38)</f>
        <v>0</v>
      </c>
      <c r="E39" s="116">
        <f t="shared" ref="E39:J39" si="5">SUM(E35:E38)</f>
        <v>0</v>
      </c>
      <c r="F39" s="116">
        <f t="shared" si="5"/>
        <v>0</v>
      </c>
      <c r="G39" s="116">
        <f t="shared" si="5"/>
        <v>0</v>
      </c>
      <c r="H39" s="116">
        <f t="shared" si="5"/>
        <v>0</v>
      </c>
      <c r="I39" s="116">
        <f t="shared" si="5"/>
        <v>0</v>
      </c>
      <c r="J39" s="116">
        <f t="shared" si="5"/>
        <v>0</v>
      </c>
      <c r="K39" s="94">
        <f>SUM(K35:K38)</f>
        <v>0</v>
      </c>
    </row>
    <row r="40" spans="1:14" x14ac:dyDescent="0.25">
      <c r="A40" s="109"/>
      <c r="B40" s="127"/>
      <c r="C40" s="128"/>
      <c r="D40" s="129"/>
      <c r="E40" s="129"/>
      <c r="F40" s="129"/>
      <c r="G40" s="129"/>
      <c r="H40" s="129"/>
      <c r="I40" s="129"/>
      <c r="J40" s="129"/>
      <c r="K40" s="130"/>
    </row>
    <row r="41" spans="1:14" x14ac:dyDescent="0.25">
      <c r="A41" s="109"/>
      <c r="B41" s="127"/>
      <c r="C41" s="128"/>
      <c r="D41" s="129"/>
      <c r="E41" s="129"/>
      <c r="F41" s="129"/>
      <c r="G41" s="129"/>
      <c r="H41" s="129"/>
      <c r="I41" s="129"/>
      <c r="J41" s="129"/>
      <c r="K41" s="130"/>
    </row>
    <row r="42" spans="1:14" ht="15.75" thickBot="1" x14ac:dyDescent="0.3">
      <c r="A42" s="84"/>
      <c r="B42" s="84"/>
      <c r="C42" s="84"/>
      <c r="K42" s="85"/>
    </row>
    <row r="43" spans="1:14" ht="45.75" thickBot="1" x14ac:dyDescent="0.3">
      <c r="A43" s="114" t="s">
        <v>49</v>
      </c>
      <c r="B43" s="86" t="s">
        <v>45</v>
      </c>
      <c r="C43" s="114" t="s">
        <v>41</v>
      </c>
      <c r="D43" s="114" t="s">
        <v>34</v>
      </c>
      <c r="E43" s="114" t="s">
        <v>35</v>
      </c>
      <c r="F43" s="114" t="s">
        <v>46</v>
      </c>
      <c r="G43" s="114" t="s">
        <v>47</v>
      </c>
      <c r="H43" s="86" t="s">
        <v>48</v>
      </c>
      <c r="I43" s="132" t="s">
        <v>42</v>
      </c>
      <c r="J43" s="86" t="s">
        <v>497</v>
      </c>
      <c r="K43" s="115" t="s">
        <v>4</v>
      </c>
    </row>
    <row r="44" spans="1:14" ht="15.75" thickBot="1" x14ac:dyDescent="0.3">
      <c r="A44" s="103"/>
      <c r="B44" s="103"/>
      <c r="C44" s="118"/>
      <c r="D44" s="118"/>
      <c r="E44" s="118"/>
      <c r="F44" s="118"/>
      <c r="G44" s="118"/>
      <c r="H44" s="118"/>
      <c r="I44" s="118"/>
      <c r="J44" s="118"/>
      <c r="K44" s="119">
        <f t="shared" ref="K44:K57" si="6">SUM(D44:J44)</f>
        <v>0</v>
      </c>
    </row>
    <row r="45" spans="1:14" ht="15.75" thickBot="1" x14ac:dyDescent="0.3">
      <c r="A45" s="103"/>
      <c r="B45" s="103"/>
      <c r="C45" s="118"/>
      <c r="D45" s="118"/>
      <c r="E45" s="118"/>
      <c r="F45" s="118"/>
      <c r="G45" s="118"/>
      <c r="H45" s="118"/>
      <c r="I45" s="118"/>
      <c r="J45" s="118"/>
      <c r="K45" s="119">
        <f t="shared" si="6"/>
        <v>0</v>
      </c>
    </row>
    <row r="46" spans="1:14" ht="15.75" thickBot="1" x14ac:dyDescent="0.3">
      <c r="A46" s="103"/>
      <c r="B46" s="103"/>
      <c r="C46" s="118"/>
      <c r="D46" s="118"/>
      <c r="E46" s="118"/>
      <c r="F46" s="118"/>
      <c r="G46" s="118"/>
      <c r="H46" s="118"/>
      <c r="I46" s="118"/>
      <c r="J46" s="118"/>
      <c r="K46" s="119">
        <f t="shared" si="6"/>
        <v>0</v>
      </c>
    </row>
    <row r="47" spans="1:14" ht="15.75" thickBot="1" x14ac:dyDescent="0.3">
      <c r="A47" s="103"/>
      <c r="B47" s="103"/>
      <c r="C47" s="118"/>
      <c r="D47" s="118"/>
      <c r="E47" s="118"/>
      <c r="F47" s="118"/>
      <c r="G47" s="118"/>
      <c r="H47" s="118"/>
      <c r="I47" s="118"/>
      <c r="J47" s="118"/>
      <c r="K47" s="119">
        <f t="shared" si="6"/>
        <v>0</v>
      </c>
    </row>
    <row r="48" spans="1:14" ht="15.75" thickBot="1" x14ac:dyDescent="0.3">
      <c r="A48" s="103"/>
      <c r="B48" s="103"/>
      <c r="C48" s="118"/>
      <c r="D48" s="118"/>
      <c r="E48" s="118"/>
      <c r="F48" s="118"/>
      <c r="G48" s="118"/>
      <c r="H48" s="118"/>
      <c r="I48" s="118"/>
      <c r="J48" s="118"/>
      <c r="K48" s="119">
        <f t="shared" si="6"/>
        <v>0</v>
      </c>
    </row>
    <row r="49" spans="1:11" ht="15.75" thickBot="1" x14ac:dyDescent="0.3">
      <c r="A49" s="418"/>
      <c r="B49" s="103"/>
      <c r="C49" s="103"/>
      <c r="D49" s="118"/>
      <c r="E49" s="118"/>
      <c r="F49" s="118"/>
      <c r="G49" s="118"/>
      <c r="H49" s="118"/>
      <c r="I49" s="118"/>
      <c r="J49" s="118"/>
      <c r="K49" s="119">
        <f t="shared" si="6"/>
        <v>0</v>
      </c>
    </row>
    <row r="50" spans="1:11" ht="15.75" thickBot="1" x14ac:dyDescent="0.3">
      <c r="A50" s="418"/>
      <c r="B50" s="103"/>
      <c r="C50" s="103"/>
      <c r="D50" s="118"/>
      <c r="E50" s="118"/>
      <c r="F50" s="118"/>
      <c r="G50" s="118"/>
      <c r="H50" s="118"/>
      <c r="I50" s="118"/>
      <c r="J50" s="118"/>
      <c r="K50" s="119">
        <f t="shared" si="6"/>
        <v>0</v>
      </c>
    </row>
    <row r="51" spans="1:11" ht="15.75" thickBot="1" x14ac:dyDescent="0.3">
      <c r="A51" s="418"/>
      <c r="B51" s="103"/>
      <c r="C51" s="103"/>
      <c r="D51" s="118"/>
      <c r="E51" s="118"/>
      <c r="F51" s="118"/>
      <c r="G51" s="118"/>
      <c r="H51" s="118"/>
      <c r="I51" s="118"/>
      <c r="J51" s="118"/>
      <c r="K51" s="119">
        <f t="shared" si="6"/>
        <v>0</v>
      </c>
    </row>
    <row r="52" spans="1:11" ht="15.75" thickBot="1" x14ac:dyDescent="0.3">
      <c r="A52" s="418"/>
      <c r="B52" s="103"/>
      <c r="C52" s="103"/>
      <c r="D52" s="118"/>
      <c r="E52" s="118"/>
      <c r="F52" s="118"/>
      <c r="G52" s="118"/>
      <c r="H52" s="118"/>
      <c r="I52" s="118"/>
      <c r="J52" s="118"/>
      <c r="K52" s="119">
        <f t="shared" si="6"/>
        <v>0</v>
      </c>
    </row>
    <row r="53" spans="1:11" ht="15.75" thickBot="1" x14ac:dyDescent="0.3">
      <c r="A53" s="418"/>
      <c r="B53" s="103"/>
      <c r="C53" s="103"/>
      <c r="D53" s="118"/>
      <c r="E53" s="118"/>
      <c r="F53" s="118"/>
      <c r="G53" s="118"/>
      <c r="H53" s="118"/>
      <c r="I53" s="118"/>
      <c r="J53" s="118"/>
      <c r="K53" s="119">
        <f t="shared" si="6"/>
        <v>0</v>
      </c>
    </row>
    <row r="54" spans="1:11" ht="15.75" thickBot="1" x14ac:dyDescent="0.3">
      <c r="A54" s="137"/>
      <c r="B54" s="103"/>
      <c r="C54" s="103"/>
      <c r="D54" s="118"/>
      <c r="E54" s="118"/>
      <c r="F54" s="118"/>
      <c r="G54" s="118"/>
      <c r="H54" s="118"/>
      <c r="I54" s="118"/>
      <c r="J54" s="118"/>
      <c r="K54" s="119">
        <f t="shared" si="6"/>
        <v>0</v>
      </c>
    </row>
    <row r="55" spans="1:11" ht="15.75" thickBot="1" x14ac:dyDescent="0.3">
      <c r="A55" s="121"/>
      <c r="B55" s="103"/>
      <c r="C55" s="103"/>
      <c r="D55" s="118"/>
      <c r="F55" s="118"/>
      <c r="G55" s="118"/>
      <c r="H55" s="118"/>
      <c r="I55" s="118"/>
      <c r="J55" s="118"/>
      <c r="K55" s="119">
        <f t="shared" si="6"/>
        <v>0</v>
      </c>
    </row>
    <row r="56" spans="1:11" ht="15.75" thickBot="1" x14ac:dyDescent="0.3">
      <c r="A56" s="121"/>
      <c r="B56" s="103"/>
      <c r="C56" s="103"/>
      <c r="D56" s="118"/>
      <c r="E56" s="118"/>
      <c r="F56" s="118"/>
      <c r="G56" s="118"/>
      <c r="H56" s="118"/>
      <c r="I56" s="118"/>
      <c r="J56" s="118"/>
      <c r="K56" s="119">
        <f t="shared" si="6"/>
        <v>0</v>
      </c>
    </row>
    <row r="57" spans="1:11" ht="15.75" thickBot="1" x14ac:dyDescent="0.3">
      <c r="A57" s="121"/>
      <c r="B57" s="103"/>
      <c r="C57" s="103"/>
      <c r="D57" s="138"/>
      <c r="E57" s="138"/>
      <c r="F57" s="138"/>
      <c r="G57" s="138"/>
      <c r="H57" s="138"/>
      <c r="I57" s="138"/>
      <c r="J57" s="138"/>
      <c r="K57" s="119">
        <f t="shared" si="6"/>
        <v>0</v>
      </c>
    </row>
    <row r="58" spans="1:11" ht="19.5" thickBot="1" x14ac:dyDescent="0.35">
      <c r="A58" s="105" t="s">
        <v>4</v>
      </c>
      <c r="B58" s="86"/>
      <c r="C58" s="106"/>
      <c r="D58" s="107">
        <f t="shared" ref="D58:K58" si="7">SUM(D44:D57)</f>
        <v>0</v>
      </c>
      <c r="E58" s="107">
        <f t="shared" si="7"/>
        <v>0</v>
      </c>
      <c r="F58" s="107">
        <f t="shared" si="7"/>
        <v>0</v>
      </c>
      <c r="G58" s="107">
        <f t="shared" si="7"/>
        <v>0</v>
      </c>
      <c r="H58" s="107">
        <f t="shared" si="7"/>
        <v>0</v>
      </c>
      <c r="I58" s="107">
        <f t="shared" si="7"/>
        <v>0</v>
      </c>
      <c r="J58" s="107"/>
      <c r="K58" s="107">
        <f t="shared" si="7"/>
        <v>0</v>
      </c>
    </row>
    <row r="59" spans="1:11" ht="15.75" x14ac:dyDescent="0.25">
      <c r="A59" s="139"/>
      <c r="B59" s="139"/>
      <c r="C59" s="140"/>
      <c r="D59" s="141"/>
      <c r="E59" s="141"/>
      <c r="F59" s="141"/>
      <c r="G59" s="141"/>
      <c r="H59" s="141"/>
      <c r="I59" s="141"/>
      <c r="J59" s="141"/>
      <c r="K59" s="141"/>
    </row>
    <row r="60" spans="1:11" ht="16.5" thickBot="1" x14ac:dyDescent="0.3">
      <c r="A60" s="139"/>
      <c r="B60" s="139"/>
      <c r="C60" s="140"/>
      <c r="D60" s="141"/>
      <c r="E60" s="141"/>
      <c r="F60" s="141"/>
      <c r="G60" s="141"/>
      <c r="H60" s="141"/>
      <c r="I60" s="141"/>
      <c r="J60" s="141"/>
      <c r="K60" s="141"/>
    </row>
    <row r="61" spans="1:11" ht="19.5" thickBot="1" x14ac:dyDescent="0.35">
      <c r="A61" s="492" t="s">
        <v>50</v>
      </c>
      <c r="B61" s="493"/>
      <c r="C61" s="142"/>
      <c r="D61" s="143"/>
      <c r="E61" s="143"/>
      <c r="F61" s="143"/>
      <c r="G61" s="143"/>
      <c r="H61" s="143"/>
      <c r="I61" s="143"/>
      <c r="J61" s="143"/>
      <c r="K61" s="108">
        <f>+K23+K58</f>
        <v>0</v>
      </c>
    </row>
    <row r="62" spans="1:11" x14ac:dyDescent="0.25">
      <c r="A62" s="84"/>
      <c r="B62" s="84"/>
      <c r="C62" s="144"/>
      <c r="D62" s="85"/>
      <c r="E62" s="85"/>
      <c r="F62" s="85"/>
      <c r="G62" s="85"/>
      <c r="H62" s="85"/>
      <c r="I62" s="85"/>
      <c r="J62" s="85"/>
      <c r="K62" s="85"/>
    </row>
    <row r="63" spans="1:11" x14ac:dyDescent="0.25">
      <c r="A63" s="84"/>
      <c r="B63" s="84"/>
      <c r="C63" s="144"/>
      <c r="D63" s="85"/>
      <c r="E63" s="85"/>
      <c r="F63" s="85"/>
      <c r="G63" s="85"/>
      <c r="H63" s="85"/>
      <c r="I63" s="85"/>
      <c r="J63" s="85"/>
      <c r="K63" s="85"/>
    </row>
    <row r="64" spans="1:11" ht="16.5" thickBot="1" x14ac:dyDescent="0.3">
      <c r="A64" s="145" t="s">
        <v>500</v>
      </c>
      <c r="B64" s="84"/>
      <c r="C64" s="144"/>
      <c r="D64" s="85"/>
      <c r="E64" s="85"/>
      <c r="F64" s="85"/>
      <c r="G64" s="85"/>
      <c r="H64" s="85"/>
      <c r="I64" s="85"/>
      <c r="J64" s="85"/>
      <c r="K64" s="85"/>
    </row>
    <row r="65" spans="1:12" ht="19.5" thickBot="1" x14ac:dyDescent="0.35">
      <c r="A65" s="146" t="s">
        <v>52</v>
      </c>
      <c r="B65" s="147"/>
      <c r="C65" s="148"/>
      <c r="D65" s="149"/>
      <c r="E65" s="149"/>
      <c r="F65" s="149"/>
      <c r="G65" s="149"/>
      <c r="H65" s="149"/>
      <c r="I65" s="149"/>
      <c r="J65" s="149"/>
      <c r="K65" s="108"/>
    </row>
    <row r="66" spans="1:12" ht="19.5" thickBot="1" x14ac:dyDescent="0.35">
      <c r="A66" s="146" t="s">
        <v>53</v>
      </c>
      <c r="B66" s="147"/>
      <c r="C66" s="150"/>
      <c r="D66" s="149"/>
      <c r="E66" s="149"/>
      <c r="F66" s="149"/>
      <c r="G66" s="149"/>
      <c r="H66" s="149"/>
      <c r="I66" s="149"/>
      <c r="J66" s="149"/>
      <c r="K66" s="108"/>
      <c r="L66" s="41"/>
    </row>
    <row r="67" spans="1:12" ht="18.75" x14ac:dyDescent="0.3">
      <c r="A67" s="151"/>
      <c r="B67" s="151"/>
      <c r="C67" s="152"/>
      <c r="D67" s="153"/>
      <c r="E67" s="153"/>
      <c r="F67" s="153"/>
      <c r="G67" s="153"/>
      <c r="H67" s="153"/>
      <c r="I67" s="153"/>
      <c r="J67" s="153"/>
      <c r="K67" s="111"/>
    </row>
    <row r="68" spans="1:12" ht="18.75" x14ac:dyDescent="0.3">
      <c r="A68" s="151"/>
      <c r="B68" s="151"/>
      <c r="C68" s="152"/>
      <c r="D68" s="153"/>
      <c r="E68" s="153"/>
      <c r="F68" s="153"/>
      <c r="G68" s="153"/>
      <c r="H68" s="153"/>
      <c r="I68" s="153"/>
      <c r="J68" s="153"/>
      <c r="K68" s="111"/>
      <c r="L68" s="41"/>
    </row>
    <row r="69" spans="1:12" ht="16.5" thickBot="1" x14ac:dyDescent="0.3">
      <c r="A69" s="154" t="s">
        <v>54</v>
      </c>
      <c r="B69" s="155"/>
      <c r="C69" s="144"/>
      <c r="D69" s="85"/>
      <c r="E69" s="85"/>
      <c r="F69" s="85"/>
      <c r="G69" s="85"/>
      <c r="H69" s="85"/>
      <c r="I69" s="85"/>
      <c r="J69" s="85"/>
      <c r="K69" s="85"/>
    </row>
    <row r="70" spans="1:12" ht="19.5" thickBot="1" x14ac:dyDescent="0.35">
      <c r="A70" s="156" t="s">
        <v>55</v>
      </c>
      <c r="B70" s="157"/>
      <c r="C70" s="158"/>
      <c r="D70" s="159"/>
      <c r="E70" s="159"/>
      <c r="F70" s="159"/>
      <c r="G70" s="159"/>
      <c r="H70" s="159"/>
      <c r="I70" s="159"/>
      <c r="J70" s="159"/>
      <c r="K70" s="160">
        <v>598</v>
      </c>
    </row>
    <row r="71" spans="1:12" x14ac:dyDescent="0.25">
      <c r="A71" s="161"/>
      <c r="B71" s="84"/>
      <c r="C71" s="144"/>
      <c r="D71" s="85"/>
      <c r="E71" s="85"/>
      <c r="F71" s="85"/>
      <c r="G71" s="85"/>
      <c r="H71" s="85"/>
      <c r="I71" s="85"/>
      <c r="J71" s="85"/>
      <c r="K71" s="85"/>
    </row>
    <row r="72" spans="1:12" ht="16.5" thickBot="1" x14ac:dyDescent="0.3">
      <c r="A72" s="154"/>
      <c r="B72" s="155"/>
      <c r="C72" s="144"/>
      <c r="D72" s="85"/>
      <c r="E72" s="85"/>
      <c r="F72" s="85"/>
      <c r="G72" s="85"/>
      <c r="H72" s="85"/>
      <c r="I72" s="85"/>
      <c r="J72" s="85"/>
      <c r="K72" s="85"/>
    </row>
    <row r="73" spans="1:12" ht="19.5" thickBot="1" x14ac:dyDescent="0.35">
      <c r="A73" s="156" t="s">
        <v>56</v>
      </c>
      <c r="B73" s="157"/>
      <c r="C73" s="162"/>
      <c r="D73" s="159"/>
      <c r="E73" s="159"/>
      <c r="F73" s="159"/>
      <c r="G73" s="159"/>
      <c r="H73" s="159"/>
      <c r="I73" s="159"/>
      <c r="J73" s="159"/>
      <c r="K73" s="163"/>
    </row>
    <row r="74" spans="1:12" ht="15.75" thickBot="1" x14ac:dyDescent="0.3">
      <c r="A74" s="161"/>
      <c r="B74" s="84"/>
      <c r="C74" s="144"/>
      <c r="D74" s="85"/>
      <c r="E74" s="85"/>
      <c r="F74" s="85"/>
      <c r="G74" s="85"/>
      <c r="H74" s="85"/>
      <c r="I74" s="85"/>
      <c r="J74" s="85"/>
      <c r="K74" s="85"/>
    </row>
    <row r="75" spans="1:12" ht="21.75" thickBot="1" x14ac:dyDescent="0.4">
      <c r="A75" s="494" t="s">
        <v>57</v>
      </c>
      <c r="B75" s="495"/>
      <c r="C75" s="164"/>
      <c r="D75" s="165"/>
      <c r="E75" s="165"/>
      <c r="F75" s="165"/>
      <c r="G75" s="165"/>
      <c r="H75" s="165"/>
      <c r="I75" s="165"/>
      <c r="J75" s="165"/>
      <c r="K75" s="166">
        <f>SUM(K61:K74)</f>
        <v>598</v>
      </c>
    </row>
    <row r="76" spans="1:12" x14ac:dyDescent="0.25">
      <c r="A76" s="84"/>
      <c r="B76" s="84"/>
      <c r="C76" s="144"/>
      <c r="D76" s="85"/>
      <c r="E76" s="85"/>
      <c r="F76" s="85"/>
      <c r="G76" s="85"/>
      <c r="H76" s="85"/>
      <c r="I76" s="85"/>
      <c r="J76" s="85"/>
      <c r="K76" s="85"/>
    </row>
    <row r="77" spans="1:12" ht="21" x14ac:dyDescent="0.35">
      <c r="A77" s="491" t="s">
        <v>506</v>
      </c>
      <c r="B77" s="491"/>
      <c r="C77" s="491"/>
      <c r="D77" s="491"/>
      <c r="E77" s="491"/>
      <c r="F77" s="491"/>
      <c r="G77" s="491"/>
      <c r="H77" s="491"/>
      <c r="I77" s="491"/>
      <c r="J77" s="491"/>
      <c r="K77" s="491"/>
    </row>
    <row r="78" spans="1:12" ht="21.75" thickBot="1" x14ac:dyDescent="0.4">
      <c r="A78" s="419" t="s">
        <v>10</v>
      </c>
      <c r="B78" s="419"/>
      <c r="C78" s="419"/>
      <c r="D78" s="419"/>
      <c r="E78" s="419"/>
      <c r="F78" s="419"/>
      <c r="G78" s="419"/>
      <c r="H78" s="419"/>
      <c r="I78" s="419"/>
      <c r="J78" s="419"/>
      <c r="K78" s="168"/>
    </row>
    <row r="79" spans="1:12" ht="15.75" thickBot="1" x14ac:dyDescent="0.3">
      <c r="A79" s="169" t="s">
        <v>58</v>
      </c>
      <c r="B79" s="170" t="s">
        <v>59</v>
      </c>
      <c r="C79" s="496" t="s">
        <v>33</v>
      </c>
      <c r="D79" s="497"/>
      <c r="E79" s="497"/>
      <c r="F79" s="497"/>
      <c r="G79" s="497"/>
      <c r="H79" s="497"/>
      <c r="I79" s="497"/>
      <c r="J79" s="498"/>
      <c r="K79" s="171" t="s">
        <v>4</v>
      </c>
    </row>
    <row r="80" spans="1:12" ht="15.75" thickBot="1" x14ac:dyDescent="0.3">
      <c r="A80" s="172"/>
      <c r="B80" s="173"/>
      <c r="C80" s="525"/>
      <c r="D80" s="526"/>
      <c r="E80" s="526"/>
      <c r="F80" s="526"/>
      <c r="G80" s="526"/>
      <c r="H80" s="526"/>
      <c r="I80" s="526"/>
      <c r="J80" s="527"/>
      <c r="K80" s="104"/>
    </row>
    <row r="81" spans="1:11" ht="15.75" thickBot="1" x14ac:dyDescent="0.3">
      <c r="A81" s="121"/>
      <c r="B81" s="173"/>
      <c r="C81" s="525"/>
      <c r="D81" s="526"/>
      <c r="E81" s="526"/>
      <c r="F81" s="526"/>
      <c r="G81" s="526"/>
      <c r="H81" s="526"/>
      <c r="I81" s="526"/>
      <c r="J81" s="527"/>
      <c r="K81" s="104"/>
    </row>
    <row r="82" spans="1:11" ht="15.75" thickBot="1" x14ac:dyDescent="0.3">
      <c r="A82" s="121"/>
      <c r="B82" s="173"/>
      <c r="C82" s="525"/>
      <c r="D82" s="526"/>
      <c r="E82" s="526"/>
      <c r="F82" s="526"/>
      <c r="G82" s="526"/>
      <c r="H82" s="526"/>
      <c r="I82" s="526"/>
      <c r="J82" s="527"/>
      <c r="K82" s="174"/>
    </row>
    <row r="83" spans="1:11" ht="15.75" thickBot="1" x14ac:dyDescent="0.3">
      <c r="A83" s="121"/>
      <c r="B83" s="173"/>
      <c r="C83" s="525"/>
      <c r="D83" s="526"/>
      <c r="E83" s="526"/>
      <c r="F83" s="526"/>
      <c r="G83" s="526"/>
      <c r="H83" s="526"/>
      <c r="I83" s="526"/>
      <c r="J83" s="527"/>
      <c r="K83" s="104"/>
    </row>
    <row r="84" spans="1:11" ht="15.75" thickBot="1" x14ac:dyDescent="0.3">
      <c r="A84" s="121"/>
      <c r="B84" s="173"/>
      <c r="C84" s="525"/>
      <c r="D84" s="526"/>
      <c r="E84" s="526"/>
      <c r="F84" s="526"/>
      <c r="G84" s="526"/>
      <c r="H84" s="526"/>
      <c r="I84" s="526"/>
      <c r="J84" s="527"/>
      <c r="K84" s="104"/>
    </row>
    <row r="85" spans="1:11" ht="15.75" thickBot="1" x14ac:dyDescent="0.3">
      <c r="A85" s="121"/>
      <c r="B85" s="173"/>
      <c r="C85" s="525"/>
      <c r="D85" s="526"/>
      <c r="E85" s="526"/>
      <c r="F85" s="526"/>
      <c r="G85" s="526"/>
      <c r="H85" s="526"/>
      <c r="I85" s="526"/>
      <c r="J85" s="527"/>
      <c r="K85" s="104"/>
    </row>
    <row r="86" spans="1:11" ht="15.75" thickBot="1" x14ac:dyDescent="0.3">
      <c r="A86" s="121"/>
      <c r="B86" s="173"/>
      <c r="C86" s="525"/>
      <c r="D86" s="526"/>
      <c r="E86" s="526"/>
      <c r="F86" s="526"/>
      <c r="G86" s="526"/>
      <c r="H86" s="526"/>
      <c r="I86" s="526"/>
      <c r="J86" s="527"/>
      <c r="K86" s="118"/>
    </row>
    <row r="87" spans="1:11" ht="15.75" thickBot="1" x14ac:dyDescent="0.3">
      <c r="A87" s="121"/>
      <c r="B87" s="173"/>
      <c r="C87" s="525"/>
      <c r="D87" s="526"/>
      <c r="E87" s="526"/>
      <c r="F87" s="526"/>
      <c r="G87" s="526"/>
      <c r="H87" s="526"/>
      <c r="I87" s="526"/>
      <c r="J87" s="527"/>
      <c r="K87" s="118"/>
    </row>
    <row r="88" spans="1:11" ht="15.75" thickBot="1" x14ac:dyDescent="0.3">
      <c r="A88" s="121"/>
      <c r="B88" s="173"/>
      <c r="C88" s="525"/>
      <c r="D88" s="526"/>
      <c r="E88" s="526"/>
      <c r="F88" s="526"/>
      <c r="G88" s="526"/>
      <c r="H88" s="526"/>
      <c r="I88" s="526"/>
      <c r="J88" s="527"/>
      <c r="K88" s="118"/>
    </row>
    <row r="89" spans="1:11" ht="15.75" thickBot="1" x14ac:dyDescent="0.3">
      <c r="A89" s="121"/>
      <c r="B89" s="173"/>
      <c r="C89" s="525"/>
      <c r="D89" s="526"/>
      <c r="E89" s="526"/>
      <c r="F89" s="526"/>
      <c r="G89" s="526"/>
      <c r="H89" s="526"/>
      <c r="I89" s="526"/>
      <c r="J89" s="527"/>
      <c r="K89" s="118"/>
    </row>
    <row r="90" spans="1:11" ht="19.5" thickBot="1" x14ac:dyDescent="0.35">
      <c r="A90" s="175" t="s">
        <v>60</v>
      </c>
      <c r="B90" s="492"/>
      <c r="C90" s="499"/>
      <c r="D90" s="499"/>
      <c r="E90" s="499"/>
      <c r="F90" s="499"/>
      <c r="G90" s="499"/>
      <c r="H90" s="499"/>
      <c r="I90" s="499"/>
      <c r="J90" s="426"/>
      <c r="K90" s="176">
        <f>SUM(K80:K89)</f>
        <v>0</v>
      </c>
    </row>
    <row r="91" spans="1:11" ht="18.75" x14ac:dyDescent="0.3">
      <c r="A91" s="2"/>
      <c r="B91" s="2"/>
      <c r="C91" s="177"/>
      <c r="D91" s="177"/>
      <c r="E91" s="177"/>
      <c r="F91" s="178"/>
      <c r="G91" s="177"/>
      <c r="H91" s="177"/>
      <c r="I91" s="177"/>
      <c r="J91" s="177"/>
      <c r="K91" s="111"/>
    </row>
    <row r="92" spans="1:11" ht="18.75" x14ac:dyDescent="0.3">
      <c r="A92" s="2"/>
      <c r="B92" s="2"/>
      <c r="C92" s="177"/>
      <c r="D92" s="177"/>
      <c r="E92" s="177"/>
      <c r="F92" s="178"/>
      <c r="G92" s="177"/>
      <c r="H92" s="177"/>
      <c r="I92" s="177"/>
      <c r="J92" s="177"/>
      <c r="K92" s="111"/>
    </row>
    <row r="93" spans="1:11" ht="18.75" x14ac:dyDescent="0.3">
      <c r="A93" s="139" t="s">
        <v>61</v>
      </c>
      <c r="B93" s="2"/>
      <c r="C93" s="84"/>
      <c r="D93" s="85"/>
      <c r="F93" s="85"/>
      <c r="K93" s="85"/>
    </row>
    <row r="94" spans="1:11" x14ac:dyDescent="0.25">
      <c r="A94" s="84" t="s">
        <v>62</v>
      </c>
      <c r="B94" s="144">
        <f>+K75</f>
        <v>598</v>
      </c>
      <c r="C94" s="179"/>
      <c r="D94" s="85"/>
      <c r="F94" s="85"/>
      <c r="K94" s="85"/>
    </row>
    <row r="95" spans="1:11" ht="15.75" thickBot="1" x14ac:dyDescent="0.3">
      <c r="A95" s="84" t="s">
        <v>60</v>
      </c>
      <c r="B95" s="180">
        <f>+K90</f>
        <v>0</v>
      </c>
      <c r="C95" s="181"/>
      <c r="D95" s="85"/>
      <c r="F95" s="85"/>
      <c r="G95" s="182"/>
      <c r="H95" s="182"/>
      <c r="I95" s="183"/>
      <c r="J95" s="183"/>
      <c r="K95" s="183"/>
    </row>
    <row r="96" spans="1:11" ht="17.25" thickTop="1" thickBot="1" x14ac:dyDescent="0.3">
      <c r="A96" s="139" t="s">
        <v>8</v>
      </c>
      <c r="B96" s="184">
        <f>++B94-B95</f>
        <v>598</v>
      </c>
      <c r="C96" s="185"/>
      <c r="D96" s="186"/>
      <c r="E96" s="41"/>
      <c r="F96" s="186"/>
      <c r="G96" s="187"/>
      <c r="H96" s="187"/>
      <c r="I96" s="85"/>
      <c r="J96" s="85"/>
    </row>
    <row r="97" customFormat="1" ht="15.75" thickTop="1" x14ac:dyDescent="0.25"/>
  </sheetData>
  <mergeCells count="16">
    <mergeCell ref="C80:J80"/>
    <mergeCell ref="A1:K1"/>
    <mergeCell ref="A61:B61"/>
    <mergeCell ref="A75:B75"/>
    <mergeCell ref="A77:K77"/>
    <mergeCell ref="C79:J79"/>
    <mergeCell ref="C87:J87"/>
    <mergeCell ref="C88:J88"/>
    <mergeCell ref="C89:J89"/>
    <mergeCell ref="B90:I90"/>
    <mergeCell ref="C81:J81"/>
    <mergeCell ref="C82:J82"/>
    <mergeCell ref="C83:J83"/>
    <mergeCell ref="C84:J84"/>
    <mergeCell ref="C85:J85"/>
    <mergeCell ref="C86:J86"/>
  </mergeCells>
  <pageMargins left="0.17" right="0.17" top="0.17" bottom="0.17" header="0.17" footer="0.17"/>
  <pageSetup paperSize="9" scale="49" fitToWidth="0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8451-56EE-4D7F-A78F-45FDA1110129}">
  <sheetPr>
    <pageSetUpPr fitToPage="1"/>
  </sheetPr>
  <dimension ref="A1:N100"/>
  <sheetViews>
    <sheetView topLeftCell="A49" workbookViewId="0">
      <selection activeCell="K53" sqref="K53"/>
    </sheetView>
  </sheetViews>
  <sheetFormatPr baseColWidth="10" defaultRowHeight="15" x14ac:dyDescent="0.25"/>
  <cols>
    <col min="1" max="1" width="33.42578125" bestFit="1" customWidth="1"/>
    <col min="2" max="2" width="15.42578125" bestFit="1" customWidth="1"/>
    <col min="9" max="9" width="13.140625" customWidth="1"/>
    <col min="10" max="10" width="14.7109375" customWidth="1"/>
    <col min="11" max="11" width="14" bestFit="1" customWidth="1"/>
  </cols>
  <sheetData>
    <row r="1" spans="1:11" ht="21" x14ac:dyDescent="0.35">
      <c r="A1" s="491" t="s">
        <v>702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</row>
    <row r="2" spans="1:11" ht="15.75" thickBot="1" x14ac:dyDescent="0.3">
      <c r="A2" s="83"/>
      <c r="B2" s="84"/>
      <c r="C2" s="84"/>
      <c r="K2" s="85"/>
    </row>
    <row r="3" spans="1:11" ht="30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347" t="s">
        <v>728</v>
      </c>
      <c r="K3" s="87" t="s">
        <v>4</v>
      </c>
    </row>
    <row r="4" spans="1:11" ht="15.75" thickBot="1" x14ac:dyDescent="0.3">
      <c r="A4" s="88" t="s">
        <v>78</v>
      </c>
      <c r="B4" s="88" t="s">
        <v>711</v>
      </c>
      <c r="C4" s="89">
        <v>46113</v>
      </c>
      <c r="D4" s="90"/>
      <c r="E4" s="90"/>
      <c r="F4" s="90"/>
      <c r="G4" s="90"/>
      <c r="H4" s="90"/>
      <c r="I4" s="90">
        <v>10</v>
      </c>
      <c r="J4" s="348"/>
      <c r="K4" s="87">
        <f>SUM(D4:J4)</f>
        <v>10</v>
      </c>
    </row>
    <row r="5" spans="1:11" ht="15.75" thickBot="1" x14ac:dyDescent="0.3">
      <c r="A5" s="88" t="s">
        <v>139</v>
      </c>
      <c r="B5" s="88" t="s">
        <v>712</v>
      </c>
      <c r="C5" s="89">
        <v>46113</v>
      </c>
      <c r="D5" s="90"/>
      <c r="E5" s="90"/>
      <c r="F5" s="90"/>
      <c r="G5" s="90"/>
      <c r="H5" s="90"/>
      <c r="I5" s="90">
        <v>10</v>
      </c>
      <c r="J5" s="348"/>
      <c r="K5" s="87">
        <f t="shared" ref="K5:K21" si="0">SUM(D5:J5)</f>
        <v>10</v>
      </c>
    </row>
    <row r="6" spans="1:11" ht="15.75" thickBot="1" x14ac:dyDescent="0.3">
      <c r="A6" s="88" t="s">
        <v>78</v>
      </c>
      <c r="B6" s="88" t="s">
        <v>713</v>
      </c>
      <c r="C6" s="89">
        <v>46113</v>
      </c>
      <c r="D6" s="90"/>
      <c r="E6" s="90"/>
      <c r="F6" s="90"/>
      <c r="G6" s="90"/>
      <c r="H6" s="90"/>
      <c r="I6" s="90">
        <v>10</v>
      </c>
      <c r="J6" s="348"/>
      <c r="K6" s="87">
        <f t="shared" si="0"/>
        <v>10</v>
      </c>
    </row>
    <row r="7" spans="1:11" ht="15.75" thickBot="1" x14ac:dyDescent="0.3">
      <c r="A7" s="88" t="s">
        <v>78</v>
      </c>
      <c r="B7" s="88" t="s">
        <v>714</v>
      </c>
      <c r="C7" s="89">
        <v>46113</v>
      </c>
      <c r="D7" s="90"/>
      <c r="E7" s="90"/>
      <c r="F7" s="90"/>
      <c r="G7" s="90"/>
      <c r="H7" s="90"/>
      <c r="I7" s="90">
        <v>10</v>
      </c>
      <c r="J7" s="348"/>
      <c r="K7" s="87">
        <f t="shared" si="0"/>
        <v>10</v>
      </c>
    </row>
    <row r="8" spans="1:11" ht="15.75" thickBot="1" x14ac:dyDescent="0.3">
      <c r="A8" s="88"/>
      <c r="B8" s="88"/>
      <c r="C8" s="89"/>
      <c r="D8" s="90"/>
      <c r="E8" s="90"/>
      <c r="F8" s="90"/>
      <c r="G8" s="90"/>
      <c r="H8" s="90"/>
      <c r="I8" s="90"/>
      <c r="J8" s="348"/>
      <c r="K8" s="87">
        <f t="shared" si="0"/>
        <v>0</v>
      </c>
    </row>
    <row r="9" spans="1:11" ht="15.75" thickBot="1" x14ac:dyDescent="0.3">
      <c r="A9" s="88" t="s">
        <v>126</v>
      </c>
      <c r="B9" s="88" t="s">
        <v>709</v>
      </c>
      <c r="C9" s="89">
        <v>46082</v>
      </c>
      <c r="D9" s="90"/>
      <c r="E9" s="90"/>
      <c r="F9" s="90">
        <v>50</v>
      </c>
      <c r="G9" s="90"/>
      <c r="H9" s="90"/>
      <c r="I9" s="90"/>
      <c r="J9" s="348"/>
      <c r="K9" s="87">
        <f t="shared" si="0"/>
        <v>50</v>
      </c>
    </row>
    <row r="10" spans="1:11" ht="15.75" thickBot="1" x14ac:dyDescent="0.3">
      <c r="A10" s="88" t="s">
        <v>38</v>
      </c>
      <c r="B10" s="88" t="s">
        <v>736</v>
      </c>
      <c r="C10" s="89">
        <v>46113</v>
      </c>
      <c r="D10" s="90"/>
      <c r="E10" s="90"/>
      <c r="F10" s="90"/>
      <c r="G10" s="90"/>
      <c r="H10" s="90">
        <v>70.7</v>
      </c>
      <c r="I10" s="90"/>
      <c r="J10" s="348"/>
      <c r="K10" s="87">
        <f t="shared" si="0"/>
        <v>70.7</v>
      </c>
    </row>
    <row r="11" spans="1:11" ht="15.75" thickBot="1" x14ac:dyDescent="0.3">
      <c r="A11" s="88"/>
      <c r="B11" s="88"/>
      <c r="C11" s="89"/>
      <c r="D11" s="90"/>
      <c r="E11" s="90"/>
      <c r="F11" s="90"/>
      <c r="G11" s="90"/>
      <c r="H11" s="90"/>
      <c r="I11" s="90"/>
      <c r="J11" s="348"/>
      <c r="K11" s="87">
        <f t="shared" si="0"/>
        <v>0</v>
      </c>
    </row>
    <row r="12" spans="1:11" ht="15.75" thickBot="1" x14ac:dyDescent="0.3">
      <c r="A12" s="424"/>
      <c r="B12" s="103"/>
      <c r="C12" s="103"/>
      <c r="D12" s="116"/>
      <c r="E12" s="116"/>
      <c r="F12" s="116"/>
      <c r="G12" s="116"/>
      <c r="H12" s="90"/>
      <c r="I12" s="90"/>
      <c r="J12" s="348"/>
      <c r="K12" s="87">
        <f t="shared" si="0"/>
        <v>0</v>
      </c>
    </row>
    <row r="13" spans="1:11" ht="15.75" thickBot="1" x14ac:dyDescent="0.3">
      <c r="A13" s="502" t="s">
        <v>126</v>
      </c>
      <c r="B13" s="500" t="s">
        <v>710</v>
      </c>
      <c r="C13" s="89">
        <v>46054</v>
      </c>
      <c r="D13" s="90">
        <v>8.5</v>
      </c>
      <c r="E13" s="90">
        <v>6</v>
      </c>
      <c r="F13" s="90"/>
      <c r="G13" s="90"/>
      <c r="H13" s="90"/>
      <c r="I13" s="90"/>
      <c r="J13" s="348"/>
      <c r="K13" s="87">
        <f t="shared" si="0"/>
        <v>14.5</v>
      </c>
    </row>
    <row r="14" spans="1:11" ht="15.75" thickBot="1" x14ac:dyDescent="0.3">
      <c r="A14" s="503"/>
      <c r="B14" s="501"/>
      <c r="C14" s="89">
        <v>46082</v>
      </c>
      <c r="D14" s="90">
        <v>8.1</v>
      </c>
      <c r="E14" s="90">
        <v>6</v>
      </c>
      <c r="F14" s="90"/>
      <c r="G14" s="90"/>
      <c r="H14" s="90"/>
      <c r="I14" s="90"/>
      <c r="J14" s="348"/>
      <c r="K14" s="87">
        <f t="shared" si="0"/>
        <v>14.1</v>
      </c>
    </row>
    <row r="15" spans="1:11" ht="15.75" thickBot="1" x14ac:dyDescent="0.3">
      <c r="A15" s="422"/>
      <c r="B15" s="420"/>
      <c r="C15" s="89"/>
      <c r="D15" s="90"/>
      <c r="E15" s="90"/>
      <c r="F15" s="90"/>
      <c r="G15" s="90"/>
      <c r="H15" s="90"/>
      <c r="I15" s="93"/>
      <c r="J15" s="99"/>
      <c r="K15" s="87">
        <f t="shared" si="0"/>
        <v>0</v>
      </c>
    </row>
    <row r="16" spans="1:11" ht="15.75" thickBot="1" x14ac:dyDescent="0.3">
      <c r="A16" s="88"/>
      <c r="B16" s="88"/>
      <c r="C16" s="89"/>
      <c r="D16" s="90"/>
      <c r="E16" s="90"/>
      <c r="F16" s="90"/>
      <c r="G16" s="90"/>
      <c r="H16" s="90"/>
      <c r="I16" s="90"/>
      <c r="J16" s="348"/>
      <c r="K16" s="87">
        <f t="shared" si="0"/>
        <v>0</v>
      </c>
    </row>
    <row r="17" spans="1:14" ht="15.75" thickBot="1" x14ac:dyDescent="0.3">
      <c r="A17" s="90"/>
      <c r="B17" s="90"/>
      <c r="C17" s="90"/>
      <c r="D17" s="90"/>
      <c r="E17" s="90"/>
      <c r="F17" s="90"/>
      <c r="G17" s="90"/>
      <c r="H17" s="90"/>
      <c r="I17" s="90"/>
      <c r="J17" s="348"/>
      <c r="K17" s="87">
        <f t="shared" si="0"/>
        <v>0</v>
      </c>
    </row>
    <row r="18" spans="1:14" ht="15.75" thickBot="1" x14ac:dyDescent="0.3">
      <c r="A18" s="225" t="s">
        <v>729</v>
      </c>
      <c r="B18" s="443">
        <v>11091</v>
      </c>
      <c r="C18" s="417">
        <v>46113</v>
      </c>
      <c r="D18" s="90"/>
      <c r="E18" s="90"/>
      <c r="F18" s="90"/>
      <c r="G18" s="90"/>
      <c r="H18" s="90"/>
      <c r="I18" s="90"/>
      <c r="J18" s="348">
        <v>5</v>
      </c>
      <c r="K18" s="87">
        <f t="shared" si="0"/>
        <v>5</v>
      </c>
    </row>
    <row r="19" spans="1:14" ht="15.75" thickBot="1" x14ac:dyDescent="0.3">
      <c r="A19" s="225" t="s">
        <v>126</v>
      </c>
      <c r="B19" s="443">
        <v>11092</v>
      </c>
      <c r="C19" s="417">
        <v>46113</v>
      </c>
      <c r="D19" s="90"/>
      <c r="E19" s="90"/>
      <c r="F19" s="90"/>
      <c r="G19" s="90"/>
      <c r="H19" s="90"/>
      <c r="I19" s="90"/>
      <c r="J19" s="348">
        <v>5</v>
      </c>
      <c r="K19" s="87">
        <f t="shared" si="0"/>
        <v>5</v>
      </c>
    </row>
    <row r="20" spans="1:14" ht="15.75" thickBot="1" x14ac:dyDescent="0.3">
      <c r="A20" s="90"/>
      <c r="B20" s="90"/>
      <c r="C20" s="90"/>
      <c r="D20" s="90"/>
      <c r="E20" s="90"/>
      <c r="F20" s="90"/>
      <c r="G20" s="90"/>
      <c r="H20" s="90"/>
      <c r="I20" s="90"/>
      <c r="J20" s="348"/>
      <c r="K20" s="87">
        <f t="shared" si="0"/>
        <v>0</v>
      </c>
    </row>
    <row r="21" spans="1:14" ht="15.75" thickBot="1" x14ac:dyDescent="0.3">
      <c r="A21" s="99"/>
      <c r="B21" s="418"/>
      <c r="C21" s="89"/>
      <c r="D21" s="90"/>
      <c r="E21" s="90"/>
      <c r="F21" s="90"/>
      <c r="G21" s="90"/>
      <c r="H21" s="90"/>
      <c r="I21" s="90"/>
      <c r="J21" s="348"/>
      <c r="K21" s="87">
        <f t="shared" si="0"/>
        <v>0</v>
      </c>
    </row>
    <row r="22" spans="1:14" ht="15.75" thickBot="1" x14ac:dyDescent="0.3">
      <c r="A22" s="100"/>
      <c r="B22" s="418"/>
      <c r="C22" s="89"/>
      <c r="D22" s="90"/>
      <c r="E22" s="90"/>
      <c r="F22" s="90"/>
      <c r="G22" s="90"/>
      <c r="H22" s="90"/>
      <c r="I22" s="90"/>
      <c r="J22" s="348"/>
      <c r="K22" s="87">
        <f t="shared" ref="K22:K24" si="1">SUM(D22:J22)</f>
        <v>0</v>
      </c>
    </row>
    <row r="23" spans="1:14" ht="15.75" thickBot="1" x14ac:dyDescent="0.3">
      <c r="A23" s="424"/>
      <c r="B23" s="424"/>
      <c r="C23" s="89"/>
      <c r="D23" s="90"/>
      <c r="E23" s="90"/>
      <c r="F23" s="90"/>
      <c r="G23" s="90"/>
      <c r="H23" s="90"/>
      <c r="I23" s="90"/>
      <c r="J23" s="348"/>
      <c r="K23" s="87">
        <f t="shared" si="1"/>
        <v>0</v>
      </c>
    </row>
    <row r="24" spans="1:14" ht="15.75" thickBot="1" x14ac:dyDescent="0.3">
      <c r="A24" s="418"/>
      <c r="B24" s="423"/>
      <c r="C24" s="103"/>
      <c r="D24" s="104"/>
      <c r="E24" s="104"/>
      <c r="F24" s="104"/>
      <c r="G24" s="104"/>
      <c r="H24" s="104"/>
      <c r="I24" s="104"/>
      <c r="J24" s="349"/>
      <c r="K24" s="87">
        <f t="shared" si="1"/>
        <v>0</v>
      </c>
    </row>
    <row r="25" spans="1:14" ht="19.5" thickBot="1" x14ac:dyDescent="0.35">
      <c r="A25" s="105" t="s">
        <v>4</v>
      </c>
      <c r="B25" s="86"/>
      <c r="C25" s="106"/>
      <c r="D25" s="108">
        <f t="shared" ref="D25:J25" si="2">SUM(D4:D24)</f>
        <v>16.600000000000001</v>
      </c>
      <c r="E25" s="108">
        <f t="shared" si="2"/>
        <v>12</v>
      </c>
      <c r="F25" s="108">
        <f t="shared" si="2"/>
        <v>50</v>
      </c>
      <c r="G25" s="108">
        <f t="shared" si="2"/>
        <v>0</v>
      </c>
      <c r="H25" s="108">
        <f t="shared" si="2"/>
        <v>70.7</v>
      </c>
      <c r="I25" s="108">
        <f t="shared" si="2"/>
        <v>40</v>
      </c>
      <c r="J25" s="108">
        <f t="shared" si="2"/>
        <v>10</v>
      </c>
      <c r="K25" s="108">
        <f>SUM(K4:K24)</f>
        <v>199.29999999999998</v>
      </c>
    </row>
    <row r="26" spans="1:14" ht="19.5" thickBot="1" x14ac:dyDescent="0.35">
      <c r="A26" s="2"/>
      <c r="B26" s="109"/>
      <c r="C26" s="110"/>
      <c r="D26" s="111"/>
      <c r="E26" s="111"/>
      <c r="F26" s="111"/>
      <c r="G26" s="111"/>
      <c r="H26" s="111"/>
      <c r="I26" s="111"/>
      <c r="J26" s="111"/>
      <c r="K26" s="111"/>
    </row>
    <row r="27" spans="1:14" ht="24" thickBot="1" x14ac:dyDescent="0.4">
      <c r="A27" s="112" t="s">
        <v>40</v>
      </c>
      <c r="B27" s="109"/>
      <c r="C27" s="110"/>
      <c r="D27" s="111"/>
      <c r="E27" s="111"/>
      <c r="F27" s="111"/>
      <c r="G27" s="111"/>
      <c r="H27" s="111"/>
      <c r="I27" s="111"/>
      <c r="J27" s="111"/>
      <c r="K27" s="111"/>
    </row>
    <row r="28" spans="1:14" ht="15.75" thickBot="1" x14ac:dyDescent="0.3">
      <c r="A28" s="113" t="s">
        <v>3</v>
      </c>
      <c r="B28" s="86" t="s">
        <v>32</v>
      </c>
      <c r="C28" s="114" t="s">
        <v>41</v>
      </c>
      <c r="D28" s="114" t="s">
        <v>34</v>
      </c>
      <c r="E28" s="114" t="s">
        <v>35</v>
      </c>
      <c r="F28" s="86" t="s">
        <v>36</v>
      </c>
      <c r="G28" s="86" t="s">
        <v>37</v>
      </c>
      <c r="H28" s="86" t="s">
        <v>42</v>
      </c>
      <c r="I28" s="86" t="s">
        <v>39</v>
      </c>
      <c r="J28" s="86"/>
      <c r="K28" s="115" t="s">
        <v>4</v>
      </c>
    </row>
    <row r="29" spans="1:14" ht="30.75" thickBot="1" x14ac:dyDescent="0.3">
      <c r="A29" s="424" t="s">
        <v>720</v>
      </c>
      <c r="B29" s="103" t="s">
        <v>721</v>
      </c>
      <c r="C29" s="103">
        <v>46113</v>
      </c>
      <c r="D29" s="116"/>
      <c r="E29" s="117"/>
      <c r="F29" s="116"/>
      <c r="G29" s="116">
        <v>30</v>
      </c>
      <c r="H29" s="118"/>
      <c r="I29" s="118"/>
      <c r="J29" s="118"/>
      <c r="K29" s="119">
        <f>SUM(D29:I29)</f>
        <v>30</v>
      </c>
    </row>
    <row r="30" spans="1:14" ht="15.75" thickBot="1" x14ac:dyDescent="0.3">
      <c r="A30" s="424"/>
      <c r="B30" s="423"/>
      <c r="C30" s="103"/>
      <c r="D30" s="116"/>
      <c r="E30" s="117"/>
      <c r="F30" s="116"/>
      <c r="G30" s="116"/>
      <c r="H30" s="118"/>
      <c r="I30" s="118"/>
      <c r="J30" s="118"/>
      <c r="K30" s="119"/>
    </row>
    <row r="31" spans="1:14" ht="15.75" thickBot="1" x14ac:dyDescent="0.3">
      <c r="A31" s="424"/>
      <c r="B31" s="418"/>
      <c r="C31" s="89"/>
      <c r="D31" s="120"/>
      <c r="E31" s="120"/>
      <c r="F31" s="120"/>
      <c r="G31" s="120"/>
      <c r="H31" s="90"/>
      <c r="I31" s="90"/>
      <c r="J31" s="90"/>
      <c r="K31" s="119">
        <f t="shared" ref="K31:K32" si="3">SUM(D31:I31)</f>
        <v>0</v>
      </c>
    </row>
    <row r="32" spans="1:14" ht="15.75" thickBot="1" x14ac:dyDescent="0.3">
      <c r="A32" s="86"/>
      <c r="B32" s="121"/>
      <c r="C32" s="89"/>
      <c r="D32" s="120"/>
      <c r="E32" s="120"/>
      <c r="F32" s="120"/>
      <c r="G32" s="120"/>
      <c r="H32" s="90"/>
      <c r="I32" s="90"/>
      <c r="J32" s="90"/>
      <c r="K32" s="119">
        <f t="shared" si="3"/>
        <v>0</v>
      </c>
      <c r="M32" s="122" t="s">
        <v>43</v>
      </c>
      <c r="N32" s="123">
        <f>K33+K41</f>
        <v>679.1</v>
      </c>
    </row>
    <row r="33" spans="1:14" ht="15.75" thickBot="1" x14ac:dyDescent="0.3">
      <c r="A33" s="86" t="s">
        <v>4</v>
      </c>
      <c r="B33" s="425"/>
      <c r="C33" s="125"/>
      <c r="D33" s="116">
        <f>SUM(D29:D32)</f>
        <v>0</v>
      </c>
      <c r="E33" s="116">
        <f t="shared" ref="E33:J33" si="4">SUM(E29:E32)</f>
        <v>0</v>
      </c>
      <c r="F33" s="116">
        <f t="shared" si="4"/>
        <v>0</v>
      </c>
      <c r="G33" s="116">
        <f t="shared" si="4"/>
        <v>30</v>
      </c>
      <c r="H33" s="116">
        <f t="shared" si="4"/>
        <v>0</v>
      </c>
      <c r="I33" s="116">
        <f t="shared" si="4"/>
        <v>0</v>
      </c>
      <c r="J33" s="116">
        <f t="shared" si="4"/>
        <v>0</v>
      </c>
      <c r="K33" s="94">
        <f>SUM(K29:K32)</f>
        <v>30</v>
      </c>
    </row>
    <row r="34" spans="1:14" ht="15.75" thickBot="1" x14ac:dyDescent="0.3">
      <c r="A34" s="109"/>
      <c r="B34" s="127"/>
      <c r="C34" s="128"/>
      <c r="D34" s="129"/>
      <c r="E34" s="129"/>
      <c r="F34" s="129"/>
      <c r="G34" s="129"/>
      <c r="H34" s="129"/>
      <c r="I34" s="129"/>
      <c r="J34" s="129"/>
      <c r="K34" s="130"/>
    </row>
    <row r="35" spans="1:14" ht="24" thickBot="1" x14ac:dyDescent="0.4">
      <c r="A35" s="112" t="s">
        <v>40</v>
      </c>
      <c r="B35" s="109"/>
      <c r="C35" s="110"/>
      <c r="D35" s="111"/>
      <c r="E35" s="111"/>
      <c r="F35" s="111"/>
      <c r="G35" s="111"/>
      <c r="H35" s="111"/>
      <c r="I35" s="111"/>
      <c r="J35" s="111"/>
      <c r="K35" s="111"/>
    </row>
    <row r="36" spans="1:14" ht="45.75" thickBot="1" x14ac:dyDescent="0.3">
      <c r="A36" s="131" t="s">
        <v>44</v>
      </c>
      <c r="B36" s="86" t="s">
        <v>45</v>
      </c>
      <c r="C36" s="114" t="s">
        <v>41</v>
      </c>
      <c r="D36" s="114" t="s">
        <v>34</v>
      </c>
      <c r="E36" s="114" t="s">
        <v>35</v>
      </c>
      <c r="F36" s="114" t="s">
        <v>46</v>
      </c>
      <c r="G36" s="114" t="s">
        <v>47</v>
      </c>
      <c r="H36" s="114" t="s">
        <v>42</v>
      </c>
      <c r="I36" s="132" t="s">
        <v>48</v>
      </c>
      <c r="J36" s="86"/>
      <c r="K36" s="115" t="s">
        <v>4</v>
      </c>
    </row>
    <row r="37" spans="1:14" ht="15.75" thickBot="1" x14ac:dyDescent="0.3">
      <c r="A37" s="133" t="s">
        <v>715</v>
      </c>
      <c r="B37" s="99" t="s">
        <v>716</v>
      </c>
      <c r="C37" s="89">
        <v>46082</v>
      </c>
      <c r="D37" s="90">
        <v>335.2</v>
      </c>
      <c r="E37" s="90">
        <v>6</v>
      </c>
      <c r="F37" s="90">
        <v>60</v>
      </c>
      <c r="G37" s="90">
        <v>5</v>
      </c>
      <c r="H37" s="90"/>
      <c r="I37" s="90"/>
      <c r="J37" s="348"/>
      <c r="K37" s="87">
        <f t="shared" ref="K37:K40" si="5">SUM(D37:I37)</f>
        <v>406.2</v>
      </c>
    </row>
    <row r="38" spans="1:14" ht="15.75" thickBot="1" x14ac:dyDescent="0.3">
      <c r="A38" s="95" t="s">
        <v>695</v>
      </c>
      <c r="B38" s="103" t="s">
        <v>717</v>
      </c>
      <c r="C38" s="89">
        <v>46082</v>
      </c>
      <c r="D38" s="116">
        <v>227.9</v>
      </c>
      <c r="E38" s="116">
        <v>15</v>
      </c>
      <c r="F38" s="116"/>
      <c r="G38" s="116"/>
      <c r="H38" s="118"/>
      <c r="I38" s="118"/>
      <c r="J38" s="118"/>
      <c r="K38" s="119">
        <f t="shared" si="5"/>
        <v>242.9</v>
      </c>
    </row>
    <row r="39" spans="1:14" ht="15.75" thickBot="1" x14ac:dyDescent="0.3">
      <c r="A39" s="424"/>
      <c r="B39" s="418"/>
      <c r="C39" s="89"/>
      <c r="D39" s="120"/>
      <c r="E39" s="120"/>
      <c r="F39" s="120"/>
      <c r="G39" s="120"/>
      <c r="H39" s="90"/>
      <c r="I39" s="90"/>
      <c r="J39" s="90"/>
      <c r="K39" s="119">
        <f t="shared" si="5"/>
        <v>0</v>
      </c>
    </row>
    <row r="40" spans="1:14" ht="15.75" thickBot="1" x14ac:dyDescent="0.3">
      <c r="A40" s="86"/>
      <c r="B40" s="121"/>
      <c r="C40" s="89"/>
      <c r="D40" s="120"/>
      <c r="E40" s="120"/>
      <c r="F40" s="120"/>
      <c r="G40" s="120"/>
      <c r="H40" s="90"/>
      <c r="I40" s="90"/>
      <c r="J40" s="90"/>
      <c r="K40" s="119">
        <f t="shared" si="5"/>
        <v>0</v>
      </c>
      <c r="M40" s="134"/>
      <c r="N40" s="135"/>
    </row>
    <row r="41" spans="1:14" ht="15.75" thickBot="1" x14ac:dyDescent="0.3">
      <c r="A41" s="86" t="s">
        <v>4</v>
      </c>
      <c r="B41" s="425"/>
      <c r="C41" s="125"/>
      <c r="D41" s="116">
        <f>SUM(D37:D40)</f>
        <v>563.1</v>
      </c>
      <c r="E41" s="116">
        <f t="shared" ref="E41:J41" si="6">SUM(E37:E40)</f>
        <v>21</v>
      </c>
      <c r="F41" s="116">
        <f t="shared" si="6"/>
        <v>60</v>
      </c>
      <c r="G41" s="116">
        <f t="shared" si="6"/>
        <v>5</v>
      </c>
      <c r="H41" s="116">
        <f t="shared" si="6"/>
        <v>0</v>
      </c>
      <c r="I41" s="116">
        <f t="shared" si="6"/>
        <v>0</v>
      </c>
      <c r="J41" s="116">
        <f t="shared" si="6"/>
        <v>0</v>
      </c>
      <c r="K41" s="94">
        <f>SUM(K37:K40)</f>
        <v>649.1</v>
      </c>
    </row>
    <row r="42" spans="1:14" x14ac:dyDescent="0.25">
      <c r="A42" s="109"/>
      <c r="B42" s="127"/>
      <c r="C42" s="128"/>
      <c r="D42" s="129"/>
      <c r="E42" s="129"/>
      <c r="F42" s="129"/>
      <c r="G42" s="129"/>
      <c r="H42" s="129"/>
      <c r="I42" s="129"/>
      <c r="J42" s="129"/>
      <c r="K42" s="130"/>
    </row>
    <row r="43" spans="1:14" x14ac:dyDescent="0.25">
      <c r="A43" s="109"/>
      <c r="B43" s="127"/>
      <c r="C43" s="128"/>
      <c r="D43" s="129"/>
      <c r="E43" s="129"/>
      <c r="F43" s="129"/>
      <c r="G43" s="129"/>
      <c r="H43" s="129"/>
      <c r="I43" s="129"/>
      <c r="J43" s="129"/>
      <c r="K43" s="130"/>
    </row>
    <row r="44" spans="1:14" ht="15.75" thickBot="1" x14ac:dyDescent="0.3">
      <c r="A44" s="84"/>
      <c r="B44" s="84"/>
      <c r="C44" s="84"/>
      <c r="K44" s="85"/>
    </row>
    <row r="45" spans="1:14" ht="45.75" thickBot="1" x14ac:dyDescent="0.3">
      <c r="A45" s="114" t="s">
        <v>49</v>
      </c>
      <c r="B45" s="86" t="s">
        <v>45</v>
      </c>
      <c r="C45" s="114" t="s">
        <v>41</v>
      </c>
      <c r="D45" s="114" t="s">
        <v>34</v>
      </c>
      <c r="E45" s="114" t="s">
        <v>35</v>
      </c>
      <c r="F45" s="114" t="s">
        <v>46</v>
      </c>
      <c r="G45" s="114" t="s">
        <v>47</v>
      </c>
      <c r="H45" s="86" t="s">
        <v>48</v>
      </c>
      <c r="I45" s="132" t="s">
        <v>728</v>
      </c>
      <c r="J45" s="86" t="s">
        <v>497</v>
      </c>
      <c r="K45" s="115" t="s">
        <v>4</v>
      </c>
    </row>
    <row r="46" spans="1:14" ht="15.75" thickBot="1" x14ac:dyDescent="0.3">
      <c r="A46" s="103" t="s">
        <v>704</v>
      </c>
      <c r="B46" s="103" t="s">
        <v>705</v>
      </c>
      <c r="C46" s="417">
        <v>46082</v>
      </c>
      <c r="D46" s="118">
        <v>74</v>
      </c>
      <c r="E46" s="118">
        <v>28.4</v>
      </c>
      <c r="F46" s="118"/>
      <c r="G46" s="118"/>
      <c r="H46" s="118"/>
      <c r="I46" s="118"/>
      <c r="J46" s="118"/>
      <c r="K46" s="119">
        <f t="shared" ref="K46:K60" si="7">SUM(D46:J46)</f>
        <v>102.4</v>
      </c>
    </row>
    <row r="47" spans="1:14" ht="15.75" thickBot="1" x14ac:dyDescent="0.3">
      <c r="A47" s="103" t="s">
        <v>718</v>
      </c>
      <c r="B47" s="103" t="s">
        <v>719</v>
      </c>
      <c r="C47" s="417">
        <v>46082</v>
      </c>
      <c r="D47" s="118"/>
      <c r="E47" s="118"/>
      <c r="F47" s="118">
        <v>60</v>
      </c>
      <c r="G47" s="118">
        <v>5</v>
      </c>
      <c r="H47" s="118"/>
      <c r="I47" s="118"/>
      <c r="J47" s="118"/>
      <c r="K47" s="119">
        <f t="shared" si="7"/>
        <v>65</v>
      </c>
    </row>
    <row r="48" spans="1:14" ht="15.75" thickBot="1" x14ac:dyDescent="0.3">
      <c r="A48" s="103"/>
      <c r="B48" s="442"/>
      <c r="C48" s="118"/>
      <c r="D48" s="118"/>
      <c r="E48" s="118"/>
      <c r="F48" s="118"/>
      <c r="G48" s="118"/>
      <c r="H48" s="118"/>
      <c r="I48" s="118"/>
      <c r="J48" s="118"/>
      <c r="K48" s="119">
        <f t="shared" si="7"/>
        <v>0</v>
      </c>
    </row>
    <row r="49" spans="1:11" ht="15.75" thickBot="1" x14ac:dyDescent="0.3">
      <c r="A49" s="103"/>
      <c r="B49" s="103"/>
      <c r="C49" s="118"/>
      <c r="D49" s="118"/>
      <c r="E49" s="118"/>
      <c r="F49" s="118"/>
      <c r="G49" s="118"/>
      <c r="H49" s="118"/>
      <c r="I49" s="118"/>
      <c r="J49" s="118"/>
      <c r="K49" s="119">
        <f t="shared" si="7"/>
        <v>0</v>
      </c>
    </row>
    <row r="50" spans="1:11" ht="15.75" thickBot="1" x14ac:dyDescent="0.3">
      <c r="A50" s="103" t="s">
        <v>727</v>
      </c>
      <c r="B50" s="442">
        <v>11090</v>
      </c>
      <c r="C50" s="417">
        <v>46113</v>
      </c>
      <c r="D50" s="118"/>
      <c r="E50" s="118"/>
      <c r="F50" s="118"/>
      <c r="G50" s="118"/>
      <c r="H50" s="118"/>
      <c r="I50" s="118">
        <v>5</v>
      </c>
      <c r="J50" s="118"/>
      <c r="K50" s="119">
        <f t="shared" si="7"/>
        <v>5</v>
      </c>
    </row>
    <row r="51" spans="1:11" ht="15.75" thickBot="1" x14ac:dyDescent="0.3">
      <c r="A51" s="427" t="s">
        <v>730</v>
      </c>
      <c r="B51" s="442">
        <v>11093</v>
      </c>
      <c r="C51" s="417">
        <v>46113</v>
      </c>
      <c r="D51" s="118"/>
      <c r="E51" s="118"/>
      <c r="F51" s="118"/>
      <c r="G51" s="118"/>
      <c r="H51" s="118"/>
      <c r="I51" s="118">
        <v>5</v>
      </c>
      <c r="J51" s="118"/>
      <c r="K51" s="119">
        <f t="shared" si="7"/>
        <v>5</v>
      </c>
    </row>
    <row r="52" spans="1:11" ht="15.75" thickBot="1" x14ac:dyDescent="0.3">
      <c r="A52" s="418"/>
      <c r="B52" s="103"/>
      <c r="C52" s="103"/>
      <c r="D52" s="118"/>
      <c r="E52" s="118"/>
      <c r="F52" s="118"/>
      <c r="G52" s="118"/>
      <c r="H52" s="118"/>
      <c r="I52" s="118"/>
      <c r="J52" s="118"/>
      <c r="K52" s="119">
        <f t="shared" si="7"/>
        <v>0</v>
      </c>
    </row>
    <row r="53" spans="1:11" ht="15.75" thickBot="1" x14ac:dyDescent="0.3">
      <c r="A53" s="418" t="s">
        <v>725</v>
      </c>
      <c r="B53" s="103" t="s">
        <v>726</v>
      </c>
      <c r="C53" s="103">
        <v>46082</v>
      </c>
      <c r="D53" s="118">
        <v>358.6</v>
      </c>
      <c r="E53" s="118">
        <v>30</v>
      </c>
      <c r="F53" s="118"/>
      <c r="G53" s="118"/>
      <c r="H53" s="118"/>
      <c r="I53" s="118"/>
      <c r="J53" s="118"/>
      <c r="K53" s="119">
        <f t="shared" si="7"/>
        <v>388.6</v>
      </c>
    </row>
    <row r="54" spans="1:11" ht="15.75" thickBot="1" x14ac:dyDescent="0.3">
      <c r="A54" s="418"/>
      <c r="B54" s="103"/>
      <c r="C54" s="103"/>
      <c r="D54" s="118"/>
      <c r="E54" s="118"/>
      <c r="F54" s="118"/>
      <c r="G54" s="118"/>
      <c r="H54" s="118"/>
      <c r="I54" s="118"/>
      <c r="J54" s="118"/>
      <c r="K54" s="119">
        <f t="shared" si="7"/>
        <v>0</v>
      </c>
    </row>
    <row r="55" spans="1:11" ht="15.75" thickBot="1" x14ac:dyDescent="0.3">
      <c r="A55" s="418"/>
      <c r="B55" s="103"/>
      <c r="C55" s="103"/>
      <c r="D55" s="118"/>
      <c r="E55" s="118"/>
      <c r="F55" s="118"/>
      <c r="G55" s="118"/>
      <c r="H55" s="118"/>
      <c r="I55" s="118"/>
      <c r="J55" s="118"/>
      <c r="K55" s="119">
        <f t="shared" si="7"/>
        <v>0</v>
      </c>
    </row>
    <row r="56" spans="1:11" ht="15.75" thickBot="1" x14ac:dyDescent="0.3">
      <c r="A56" s="418"/>
      <c r="B56" s="103"/>
      <c r="C56" s="103"/>
      <c r="D56" s="118"/>
      <c r="E56" s="118"/>
      <c r="F56" s="118"/>
      <c r="G56" s="118"/>
      <c r="H56" s="118"/>
      <c r="I56" s="118"/>
      <c r="J56" s="118"/>
      <c r="K56" s="119">
        <f t="shared" si="7"/>
        <v>0</v>
      </c>
    </row>
    <row r="57" spans="1:11" ht="15.75" thickBot="1" x14ac:dyDescent="0.3">
      <c r="A57" s="137"/>
      <c r="B57" s="103"/>
      <c r="C57" s="103"/>
      <c r="D57" s="118"/>
      <c r="E57" s="118"/>
      <c r="F57" s="118"/>
      <c r="G57" s="118"/>
      <c r="H57" s="118"/>
      <c r="I57" s="118"/>
      <c r="J57" s="118"/>
      <c r="K57" s="119">
        <f t="shared" si="7"/>
        <v>0</v>
      </c>
    </row>
    <row r="58" spans="1:11" ht="15.75" thickBot="1" x14ac:dyDescent="0.3">
      <c r="A58" s="121"/>
      <c r="B58" s="103"/>
      <c r="C58" s="103"/>
      <c r="D58" s="118"/>
      <c r="F58" s="118"/>
      <c r="G58" s="118"/>
      <c r="H58" s="118"/>
      <c r="I58" s="118"/>
      <c r="J58" s="118"/>
      <c r="K58" s="119">
        <f t="shared" si="7"/>
        <v>0</v>
      </c>
    </row>
    <row r="59" spans="1:11" ht="15.75" thickBot="1" x14ac:dyDescent="0.3">
      <c r="A59" s="121"/>
      <c r="B59" s="103"/>
      <c r="C59" s="103"/>
      <c r="D59" s="118"/>
      <c r="E59" s="118"/>
      <c r="F59" s="118"/>
      <c r="G59" s="118"/>
      <c r="H59" s="118"/>
      <c r="I59" s="118"/>
      <c r="J59" s="118"/>
      <c r="K59" s="119">
        <f t="shared" si="7"/>
        <v>0</v>
      </c>
    </row>
    <row r="60" spans="1:11" ht="15.75" thickBot="1" x14ac:dyDescent="0.3">
      <c r="A60" s="121"/>
      <c r="B60" s="103"/>
      <c r="C60" s="103"/>
      <c r="D60" s="138"/>
      <c r="E60" s="138"/>
      <c r="F60" s="138"/>
      <c r="G60" s="138"/>
      <c r="H60" s="138"/>
      <c r="I60" s="138"/>
      <c r="J60" s="138"/>
      <c r="K60" s="119">
        <f t="shared" si="7"/>
        <v>0</v>
      </c>
    </row>
    <row r="61" spans="1:11" ht="19.5" thickBot="1" x14ac:dyDescent="0.35">
      <c r="A61" s="105" t="s">
        <v>4</v>
      </c>
      <c r="B61" s="86"/>
      <c r="C61" s="106"/>
      <c r="D61" s="107">
        <f t="shared" ref="D61:I61" si="8">SUM(D46:D60)</f>
        <v>432.6</v>
      </c>
      <c r="E61" s="107">
        <f t="shared" si="8"/>
        <v>58.4</v>
      </c>
      <c r="F61" s="107">
        <f t="shared" si="8"/>
        <v>60</v>
      </c>
      <c r="G61" s="107">
        <f t="shared" si="8"/>
        <v>5</v>
      </c>
      <c r="H61" s="107">
        <f t="shared" si="8"/>
        <v>0</v>
      </c>
      <c r="I61" s="107">
        <f t="shared" si="8"/>
        <v>10</v>
      </c>
      <c r="J61" s="107"/>
      <c r="K61" s="107">
        <f>SUM(K46:K60)</f>
        <v>566</v>
      </c>
    </row>
    <row r="62" spans="1:11" ht="15.75" x14ac:dyDescent="0.25">
      <c r="A62" s="139"/>
      <c r="B62" s="139"/>
      <c r="C62" s="140"/>
      <c r="D62" s="141"/>
      <c r="E62" s="141"/>
      <c r="F62" s="141"/>
      <c r="G62" s="141"/>
      <c r="H62" s="141"/>
      <c r="I62" s="141"/>
      <c r="J62" s="141"/>
      <c r="K62" s="141"/>
    </row>
    <row r="63" spans="1:11" ht="16.5" thickBot="1" x14ac:dyDescent="0.3">
      <c r="A63" s="139"/>
      <c r="B63" s="139"/>
      <c r="C63" s="140"/>
      <c r="D63" s="141"/>
      <c r="E63" s="141"/>
      <c r="F63" s="141"/>
      <c r="G63" s="141"/>
      <c r="H63" s="141"/>
      <c r="I63" s="141"/>
      <c r="J63" s="141"/>
      <c r="K63" s="141"/>
    </row>
    <row r="64" spans="1:11" ht="19.5" thickBot="1" x14ac:dyDescent="0.35">
      <c r="A64" s="492" t="s">
        <v>50</v>
      </c>
      <c r="B64" s="493"/>
      <c r="C64" s="142"/>
      <c r="D64" s="143"/>
      <c r="E64" s="143"/>
      <c r="F64" s="143"/>
      <c r="G64" s="143"/>
      <c r="H64" s="143"/>
      <c r="I64" s="143"/>
      <c r="J64" s="143"/>
      <c r="K64" s="108">
        <f>+K25+K61</f>
        <v>765.3</v>
      </c>
    </row>
    <row r="65" spans="1:12" x14ac:dyDescent="0.25">
      <c r="A65" s="84"/>
      <c r="B65" s="84"/>
      <c r="C65" s="144"/>
      <c r="D65" s="85"/>
      <c r="E65" s="85"/>
      <c r="F65" s="85"/>
      <c r="G65" s="85"/>
      <c r="H65" s="85"/>
      <c r="I65" s="85"/>
      <c r="J65" s="85"/>
      <c r="K65" s="85"/>
    </row>
    <row r="66" spans="1:12" x14ac:dyDescent="0.25">
      <c r="A66" s="84"/>
      <c r="B66" s="84"/>
      <c r="C66" s="144"/>
      <c r="D66" s="85"/>
      <c r="E66" s="85"/>
      <c r="F66" s="85"/>
      <c r="G66" s="85"/>
      <c r="H66" s="85"/>
      <c r="I66" s="85"/>
      <c r="J66" s="85"/>
      <c r="K66" s="85"/>
    </row>
    <row r="67" spans="1:12" ht="16.5" thickBot="1" x14ac:dyDescent="0.3">
      <c r="A67" s="145" t="s">
        <v>500</v>
      </c>
      <c r="B67" s="84"/>
      <c r="C67" s="144"/>
      <c r="D67" s="85"/>
      <c r="E67" s="85"/>
      <c r="F67" s="85"/>
      <c r="G67" s="85"/>
      <c r="H67" s="85"/>
      <c r="I67" s="85"/>
      <c r="J67" s="85"/>
      <c r="K67" s="85"/>
    </row>
    <row r="68" spans="1:12" ht="19.5" thickBot="1" x14ac:dyDescent="0.35">
      <c r="A68" s="146" t="s">
        <v>52</v>
      </c>
      <c r="B68" s="147"/>
      <c r="C68" s="148"/>
      <c r="D68" s="149"/>
      <c r="E68" s="149"/>
      <c r="F68" s="149"/>
      <c r="G68" s="149"/>
      <c r="H68" s="149"/>
      <c r="I68" s="149"/>
      <c r="J68" s="149"/>
      <c r="K68" s="108"/>
    </row>
    <row r="69" spans="1:12" ht="19.5" thickBot="1" x14ac:dyDescent="0.35">
      <c r="A69" s="146" t="s">
        <v>53</v>
      </c>
      <c r="B69" s="147"/>
      <c r="C69" s="150"/>
      <c r="D69" s="149"/>
      <c r="E69" s="149"/>
      <c r="F69" s="149"/>
      <c r="G69" s="149"/>
      <c r="H69" s="149"/>
      <c r="I69" s="149"/>
      <c r="J69" s="149"/>
      <c r="K69" s="108"/>
      <c r="L69" s="41"/>
    </row>
    <row r="70" spans="1:12" ht="18.75" x14ac:dyDescent="0.3">
      <c r="A70" s="151"/>
      <c r="B70" s="151"/>
      <c r="C70" s="152"/>
      <c r="D70" s="153"/>
      <c r="E70" s="153"/>
      <c r="F70" s="153"/>
      <c r="G70" s="153"/>
      <c r="H70" s="153"/>
      <c r="I70" s="153"/>
      <c r="J70" s="153"/>
      <c r="K70" s="111"/>
    </row>
    <row r="71" spans="1:12" ht="18.75" x14ac:dyDescent="0.3">
      <c r="A71" s="151"/>
      <c r="B71" s="151"/>
      <c r="C71" s="152"/>
      <c r="D71" s="153"/>
      <c r="E71" s="153"/>
      <c r="F71" s="153"/>
      <c r="G71" s="153"/>
      <c r="H71" s="153"/>
      <c r="I71" s="153"/>
      <c r="J71" s="153"/>
      <c r="K71" s="111"/>
      <c r="L71" s="41"/>
    </row>
    <row r="72" spans="1:12" ht="16.5" thickBot="1" x14ac:dyDescent="0.3">
      <c r="A72" s="154" t="s">
        <v>54</v>
      </c>
      <c r="B72" s="155"/>
      <c r="C72" s="144"/>
      <c r="D72" s="85"/>
      <c r="E72" s="85"/>
      <c r="F72" s="85"/>
      <c r="G72" s="85"/>
      <c r="H72" s="85"/>
      <c r="I72" s="85"/>
      <c r="J72" s="85"/>
      <c r="K72" s="85"/>
    </row>
    <row r="73" spans="1:12" ht="19.5" thickBot="1" x14ac:dyDescent="0.35">
      <c r="A73" s="156" t="s">
        <v>55</v>
      </c>
      <c r="B73" s="157"/>
      <c r="C73" s="158"/>
      <c r="D73" s="159"/>
      <c r="E73" s="159"/>
      <c r="F73" s="159"/>
      <c r="G73" s="159"/>
      <c r="H73" s="159"/>
      <c r="I73" s="159"/>
      <c r="J73" s="159"/>
      <c r="K73" s="160">
        <v>335.5</v>
      </c>
    </row>
    <row r="74" spans="1:12" x14ac:dyDescent="0.25">
      <c r="A74" s="161"/>
      <c r="B74" s="84"/>
      <c r="C74" s="144"/>
      <c r="D74" s="85"/>
      <c r="E74" s="85"/>
      <c r="F74" s="85"/>
      <c r="G74" s="85"/>
      <c r="H74" s="85"/>
      <c r="I74" s="85"/>
      <c r="J74" s="85"/>
      <c r="K74" s="85"/>
    </row>
    <row r="75" spans="1:12" ht="16.5" thickBot="1" x14ac:dyDescent="0.3">
      <c r="A75" s="154"/>
      <c r="B75" s="155"/>
      <c r="C75" s="144"/>
      <c r="D75" s="85"/>
      <c r="E75" s="85"/>
      <c r="F75" s="85"/>
      <c r="G75" s="85"/>
      <c r="H75" s="85"/>
      <c r="I75" s="85"/>
      <c r="J75" s="85"/>
      <c r="K75" s="85"/>
    </row>
    <row r="76" spans="1:12" ht="19.5" thickBot="1" x14ac:dyDescent="0.35">
      <c r="A76" s="156" t="s">
        <v>56</v>
      </c>
      <c r="B76" s="157"/>
      <c r="C76" s="162"/>
      <c r="D76" s="159"/>
      <c r="E76" s="159"/>
      <c r="F76" s="159"/>
      <c r="G76" s="159"/>
      <c r="H76" s="159"/>
      <c r="I76" s="159"/>
      <c r="J76" s="159"/>
      <c r="K76" s="163"/>
    </row>
    <row r="77" spans="1:12" ht="15.75" thickBot="1" x14ac:dyDescent="0.3">
      <c r="A77" s="161"/>
      <c r="B77" s="84"/>
      <c r="C77" s="144"/>
      <c r="D77" s="85"/>
      <c r="E77" s="85"/>
      <c r="F77" s="85"/>
      <c r="G77" s="85"/>
      <c r="H77" s="85"/>
      <c r="I77" s="85"/>
      <c r="J77" s="85"/>
      <c r="K77" s="85"/>
    </row>
    <row r="78" spans="1:12" ht="21.75" thickBot="1" x14ac:dyDescent="0.4">
      <c r="A78" s="494" t="s">
        <v>57</v>
      </c>
      <c r="B78" s="495"/>
      <c r="C78" s="164"/>
      <c r="D78" s="165"/>
      <c r="E78" s="165"/>
      <c r="F78" s="165"/>
      <c r="G78" s="165"/>
      <c r="H78" s="165"/>
      <c r="I78" s="165"/>
      <c r="J78" s="165"/>
      <c r="K78" s="166">
        <f>SUM(K64:K77)</f>
        <v>1100.8</v>
      </c>
    </row>
    <row r="79" spans="1:12" x14ac:dyDescent="0.25">
      <c r="A79" s="84"/>
      <c r="B79" s="84"/>
      <c r="C79" s="144"/>
      <c r="D79" s="85"/>
      <c r="E79" s="85"/>
      <c r="F79" s="85"/>
      <c r="G79" s="85"/>
      <c r="H79" s="85"/>
      <c r="I79" s="85"/>
      <c r="J79" s="85"/>
      <c r="K79" s="85"/>
    </row>
    <row r="80" spans="1:12" ht="21" x14ac:dyDescent="0.35">
      <c r="A80" s="491" t="s">
        <v>703</v>
      </c>
      <c r="B80" s="491"/>
      <c r="C80" s="491"/>
      <c r="D80" s="491"/>
      <c r="E80" s="491"/>
      <c r="F80" s="491"/>
      <c r="G80" s="491"/>
      <c r="H80" s="491"/>
      <c r="I80" s="491"/>
      <c r="J80" s="491"/>
      <c r="K80" s="491"/>
    </row>
    <row r="81" spans="1:11" ht="21.75" thickBot="1" x14ac:dyDescent="0.4">
      <c r="A81" s="419" t="s">
        <v>10</v>
      </c>
      <c r="B81" s="419"/>
      <c r="C81" s="419"/>
      <c r="D81" s="419"/>
      <c r="E81" s="419"/>
      <c r="F81" s="419"/>
      <c r="G81" s="419"/>
      <c r="H81" s="419"/>
      <c r="I81" s="419"/>
      <c r="J81" s="419"/>
      <c r="K81" s="168"/>
    </row>
    <row r="82" spans="1:11" ht="15.75" thickBot="1" x14ac:dyDescent="0.3">
      <c r="A82" s="169" t="s">
        <v>58</v>
      </c>
      <c r="B82" s="170" t="s">
        <v>59</v>
      </c>
      <c r="C82" s="496" t="s">
        <v>33</v>
      </c>
      <c r="D82" s="497"/>
      <c r="E82" s="497"/>
      <c r="F82" s="497"/>
      <c r="G82" s="497"/>
      <c r="H82" s="497"/>
      <c r="I82" s="497"/>
      <c r="J82" s="498"/>
      <c r="K82" s="171" t="s">
        <v>4</v>
      </c>
    </row>
    <row r="83" spans="1:11" ht="15.75" thickBot="1" x14ac:dyDescent="0.3">
      <c r="A83" s="172" t="s">
        <v>89</v>
      </c>
      <c r="B83" s="173">
        <v>14777</v>
      </c>
      <c r="C83" s="504" t="s">
        <v>707</v>
      </c>
      <c r="D83" s="505"/>
      <c r="E83" s="505"/>
      <c r="F83" s="505"/>
      <c r="G83" s="505"/>
      <c r="H83" s="505"/>
      <c r="I83" s="505"/>
      <c r="J83" s="528"/>
      <c r="K83" s="104">
        <v>5</v>
      </c>
    </row>
    <row r="84" spans="1:11" ht="15.75" thickBot="1" x14ac:dyDescent="0.3">
      <c r="A84" s="121" t="s">
        <v>708</v>
      </c>
      <c r="B84" s="173">
        <v>5381</v>
      </c>
      <c r="C84" s="539" t="s">
        <v>723</v>
      </c>
      <c r="D84" s="540"/>
      <c r="E84" s="540"/>
      <c r="F84" s="540"/>
      <c r="G84" s="540"/>
      <c r="H84" s="540"/>
      <c r="I84" s="540"/>
      <c r="J84" s="541"/>
      <c r="K84" s="104">
        <v>2500</v>
      </c>
    </row>
    <row r="85" spans="1:11" ht="15.75" thickBot="1" x14ac:dyDescent="0.3">
      <c r="A85" s="121" t="s">
        <v>673</v>
      </c>
      <c r="B85" s="173">
        <v>883</v>
      </c>
      <c r="C85" s="504" t="s">
        <v>674</v>
      </c>
      <c r="D85" s="505"/>
      <c r="E85" s="505"/>
      <c r="F85" s="505"/>
      <c r="G85" s="505"/>
      <c r="H85" s="505"/>
      <c r="I85" s="505"/>
      <c r="J85" s="528"/>
      <c r="K85" s="174">
        <v>13.5</v>
      </c>
    </row>
    <row r="86" spans="1:11" ht="30.75" thickBot="1" x14ac:dyDescent="0.3">
      <c r="A86" s="121" t="s">
        <v>377</v>
      </c>
      <c r="B86" s="173" t="s">
        <v>724</v>
      </c>
      <c r="C86" s="504" t="s">
        <v>731</v>
      </c>
      <c r="D86" s="505"/>
      <c r="E86" s="505"/>
      <c r="F86" s="505"/>
      <c r="G86" s="505"/>
      <c r="H86" s="505"/>
      <c r="I86" s="505"/>
      <c r="J86" s="528"/>
      <c r="K86" s="104">
        <v>37</v>
      </c>
    </row>
    <row r="87" spans="1:11" ht="15.75" thickBot="1" x14ac:dyDescent="0.3">
      <c r="A87" s="121" t="s">
        <v>526</v>
      </c>
      <c r="B87" s="173" t="s">
        <v>732</v>
      </c>
      <c r="C87" s="504" t="s">
        <v>733</v>
      </c>
      <c r="D87" s="505"/>
      <c r="E87" s="505"/>
      <c r="F87" s="505"/>
      <c r="G87" s="505"/>
      <c r="H87" s="505"/>
      <c r="I87" s="505"/>
      <c r="J87" s="528"/>
      <c r="K87" s="104">
        <v>80</v>
      </c>
    </row>
    <row r="88" spans="1:11" ht="15.75" thickBot="1" x14ac:dyDescent="0.3">
      <c r="A88" s="121" t="s">
        <v>118</v>
      </c>
      <c r="B88" s="173" t="s">
        <v>734</v>
      </c>
      <c r="C88" s="504" t="s">
        <v>735</v>
      </c>
      <c r="D88" s="505"/>
      <c r="E88" s="505"/>
      <c r="F88" s="505"/>
      <c r="G88" s="505"/>
      <c r="H88" s="505"/>
      <c r="I88" s="505"/>
      <c r="J88" s="528"/>
      <c r="K88" s="104">
        <v>50</v>
      </c>
    </row>
    <row r="89" spans="1:11" ht="15.75" thickBot="1" x14ac:dyDescent="0.3">
      <c r="A89" s="121"/>
      <c r="B89" s="173"/>
      <c r="C89" s="525"/>
      <c r="D89" s="526"/>
      <c r="E89" s="526"/>
      <c r="F89" s="526"/>
      <c r="G89" s="526"/>
      <c r="H89" s="526"/>
      <c r="I89" s="526"/>
      <c r="J89" s="527"/>
      <c r="K89" s="118"/>
    </row>
    <row r="90" spans="1:11" ht="15.75" thickBot="1" x14ac:dyDescent="0.3">
      <c r="A90" s="121"/>
      <c r="B90" s="173"/>
      <c r="C90" s="525"/>
      <c r="D90" s="526"/>
      <c r="E90" s="526"/>
      <c r="F90" s="526"/>
      <c r="G90" s="526"/>
      <c r="H90" s="526"/>
      <c r="I90" s="526"/>
      <c r="J90" s="527"/>
      <c r="K90" s="118"/>
    </row>
    <row r="91" spans="1:11" ht="15.75" thickBot="1" x14ac:dyDescent="0.3">
      <c r="A91" s="121"/>
      <c r="B91" s="173"/>
      <c r="C91" s="525"/>
      <c r="D91" s="526"/>
      <c r="E91" s="526"/>
      <c r="F91" s="526"/>
      <c r="G91" s="526"/>
      <c r="H91" s="526"/>
      <c r="I91" s="526"/>
      <c r="J91" s="527"/>
      <c r="K91" s="118"/>
    </row>
    <row r="92" spans="1:11" ht="15.75" thickBot="1" x14ac:dyDescent="0.3">
      <c r="A92" s="121"/>
      <c r="B92" s="173"/>
      <c r="C92" s="525"/>
      <c r="D92" s="526"/>
      <c r="E92" s="526"/>
      <c r="F92" s="526"/>
      <c r="G92" s="526"/>
      <c r="H92" s="526"/>
      <c r="I92" s="526"/>
      <c r="J92" s="527"/>
      <c r="K92" s="118"/>
    </row>
    <row r="93" spans="1:11" ht="19.5" thickBot="1" x14ac:dyDescent="0.35">
      <c r="A93" s="175" t="s">
        <v>60</v>
      </c>
      <c r="B93" s="492"/>
      <c r="C93" s="499"/>
      <c r="D93" s="499"/>
      <c r="E93" s="499"/>
      <c r="F93" s="499"/>
      <c r="G93" s="499"/>
      <c r="H93" s="499"/>
      <c r="I93" s="499"/>
      <c r="J93" s="426"/>
      <c r="K93" s="176">
        <f>SUM(K83:K92)</f>
        <v>2685.5</v>
      </c>
    </row>
    <row r="94" spans="1:11" ht="18.75" x14ac:dyDescent="0.3">
      <c r="A94" s="2"/>
      <c r="B94" s="2"/>
      <c r="C94" s="177"/>
      <c r="D94" s="177"/>
      <c r="E94" s="177"/>
      <c r="F94" s="178"/>
      <c r="G94" s="177"/>
      <c r="H94" s="177"/>
      <c r="I94" s="177"/>
      <c r="J94" s="177"/>
      <c r="K94" s="111"/>
    </row>
    <row r="95" spans="1:11" ht="18.75" x14ac:dyDescent="0.3">
      <c r="A95" s="2"/>
      <c r="B95" s="2"/>
      <c r="C95" s="177"/>
      <c r="D95" s="177"/>
      <c r="E95" s="177"/>
      <c r="F95" s="178"/>
      <c r="G95" s="177"/>
      <c r="H95" s="177"/>
      <c r="I95" s="177"/>
      <c r="J95" s="177"/>
      <c r="K95" s="111"/>
    </row>
    <row r="96" spans="1:11" ht="18.75" x14ac:dyDescent="0.3">
      <c r="A96" s="139" t="s">
        <v>61</v>
      </c>
      <c r="B96" s="2"/>
      <c r="C96" s="84"/>
      <c r="D96" s="85"/>
      <c r="F96" s="85"/>
      <c r="K96" s="85"/>
    </row>
    <row r="97" spans="1:11" x14ac:dyDescent="0.25">
      <c r="A97" s="84" t="s">
        <v>62</v>
      </c>
      <c r="B97" s="144">
        <f>+K78</f>
        <v>1100.8</v>
      </c>
      <c r="C97" s="179"/>
      <c r="D97" s="85"/>
      <c r="F97" s="85"/>
      <c r="K97" s="85"/>
    </row>
    <row r="98" spans="1:11" ht="15.75" thickBot="1" x14ac:dyDescent="0.3">
      <c r="A98" s="84" t="s">
        <v>60</v>
      </c>
      <c r="B98" s="180">
        <f>+K93</f>
        <v>2685.5</v>
      </c>
      <c r="C98" s="181"/>
      <c r="D98" s="85"/>
      <c r="F98" s="85"/>
      <c r="G98" s="182"/>
      <c r="H98" s="182"/>
      <c r="I98" s="183"/>
      <c r="J98" s="183"/>
      <c r="K98" s="183"/>
    </row>
    <row r="99" spans="1:11" ht="17.25" thickTop="1" thickBot="1" x14ac:dyDescent="0.3">
      <c r="A99" s="139" t="s">
        <v>8</v>
      </c>
      <c r="B99" s="184">
        <f>++B97-B98</f>
        <v>-1584.7</v>
      </c>
      <c r="C99" s="185"/>
      <c r="D99" s="186"/>
      <c r="E99" s="41"/>
      <c r="F99" s="186"/>
      <c r="G99" s="187"/>
      <c r="H99" s="187"/>
      <c r="I99" s="85"/>
      <c r="J99" s="85"/>
    </row>
    <row r="100" spans="1:11" ht="15.75" thickTop="1" x14ac:dyDescent="0.25"/>
  </sheetData>
  <mergeCells count="18">
    <mergeCell ref="A1:K1"/>
    <mergeCell ref="A64:B64"/>
    <mergeCell ref="A78:B78"/>
    <mergeCell ref="A80:K80"/>
    <mergeCell ref="C82:J82"/>
    <mergeCell ref="A13:A14"/>
    <mergeCell ref="C90:J90"/>
    <mergeCell ref="C91:J91"/>
    <mergeCell ref="C92:J92"/>
    <mergeCell ref="B93:I93"/>
    <mergeCell ref="B13:B14"/>
    <mergeCell ref="C84:J84"/>
    <mergeCell ref="C85:J85"/>
    <mergeCell ref="C86:J86"/>
    <mergeCell ref="C87:J87"/>
    <mergeCell ref="C88:J88"/>
    <mergeCell ref="C89:J89"/>
    <mergeCell ref="C83:J83"/>
  </mergeCells>
  <phoneticPr fontId="15" type="noConversion"/>
  <pageMargins left="0.17" right="0.17" top="1.72" bottom="0.17" header="0.17" footer="0.17"/>
  <pageSetup paperSize="9" scale="74" fitToHeight="0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12635-4DFE-45D0-B308-E961C7079E47}">
  <sheetPr>
    <pageSetUpPr fitToPage="1"/>
  </sheetPr>
  <dimension ref="A1:N99"/>
  <sheetViews>
    <sheetView topLeftCell="A58" workbookViewId="0">
      <selection activeCell="K50" activeCellId="1" sqref="K49 K50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4" max="4" width="13" bestFit="1" customWidth="1"/>
    <col min="8" max="8" width="13.5703125" customWidth="1"/>
    <col min="11" max="11" width="14" bestFit="1" customWidth="1"/>
  </cols>
  <sheetData>
    <row r="1" spans="1:11" ht="21" x14ac:dyDescent="0.35">
      <c r="A1" s="491" t="s">
        <v>737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</row>
    <row r="2" spans="1:11" ht="15.75" thickBot="1" x14ac:dyDescent="0.3">
      <c r="A2" s="83"/>
      <c r="B2" s="84"/>
      <c r="C2" s="84"/>
      <c r="K2" s="85"/>
    </row>
    <row r="3" spans="1:11" ht="4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347" t="s">
        <v>489</v>
      </c>
      <c r="K3" s="87" t="s">
        <v>4</v>
      </c>
    </row>
    <row r="4" spans="1:11" ht="15.75" thickBot="1" x14ac:dyDescent="0.3">
      <c r="A4" s="88" t="s">
        <v>78</v>
      </c>
      <c r="B4" s="88" t="s">
        <v>749</v>
      </c>
      <c r="C4" s="222">
        <v>46113</v>
      </c>
      <c r="D4" s="225"/>
      <c r="E4" s="225"/>
      <c r="F4" s="225"/>
      <c r="G4" s="90"/>
      <c r="H4" s="90"/>
      <c r="I4" s="90">
        <v>10</v>
      </c>
      <c r="J4" s="348"/>
      <c r="K4" s="87">
        <f>SUM(D4:J4)</f>
        <v>10</v>
      </c>
    </row>
    <row r="5" spans="1:11" ht="15.75" thickBot="1" x14ac:dyDescent="0.3">
      <c r="A5" s="88"/>
      <c r="B5" s="88"/>
      <c r="C5" s="222"/>
      <c r="D5" s="225"/>
      <c r="E5" s="225"/>
      <c r="F5" s="225"/>
      <c r="G5" s="90"/>
      <c r="H5" s="90"/>
      <c r="I5" s="90"/>
      <c r="J5" s="348"/>
      <c r="K5" s="87">
        <f t="shared" ref="K5:K23" si="0">SUM(D5:J5)</f>
        <v>0</v>
      </c>
    </row>
    <row r="6" spans="1:11" ht="15.75" thickBot="1" x14ac:dyDescent="0.3">
      <c r="A6" s="88" t="s">
        <v>72</v>
      </c>
      <c r="B6" s="88" t="s">
        <v>748</v>
      </c>
      <c r="C6" s="222">
        <v>46082</v>
      </c>
      <c r="D6" s="225"/>
      <c r="E6" s="225"/>
      <c r="F6" s="225">
        <v>100</v>
      </c>
      <c r="G6" s="90"/>
      <c r="H6" s="90"/>
      <c r="I6" s="90"/>
      <c r="J6" s="348"/>
      <c r="K6" s="87">
        <f t="shared" si="0"/>
        <v>100</v>
      </c>
    </row>
    <row r="7" spans="1:11" ht="15.75" thickBot="1" x14ac:dyDescent="0.3">
      <c r="A7" s="88" t="s">
        <v>38</v>
      </c>
      <c r="B7" s="88" t="s">
        <v>768</v>
      </c>
      <c r="C7" s="222">
        <v>46113</v>
      </c>
      <c r="D7" s="225"/>
      <c r="E7" s="225"/>
      <c r="F7" s="225"/>
      <c r="G7" s="90"/>
      <c r="H7" s="90">
        <v>66.400000000000006</v>
      </c>
      <c r="I7" s="90"/>
      <c r="J7" s="348"/>
      <c r="K7" s="87">
        <f t="shared" si="0"/>
        <v>66.400000000000006</v>
      </c>
    </row>
    <row r="8" spans="1:11" ht="15.75" thickBot="1" x14ac:dyDescent="0.3">
      <c r="A8" s="88"/>
      <c r="B8" s="88"/>
      <c r="C8" s="222"/>
      <c r="D8" s="225"/>
      <c r="E8" s="225"/>
      <c r="F8" s="225"/>
      <c r="G8" s="90"/>
      <c r="H8" s="90"/>
      <c r="I8" s="90"/>
      <c r="J8" s="348"/>
      <c r="K8" s="87">
        <f t="shared" si="0"/>
        <v>0</v>
      </c>
    </row>
    <row r="9" spans="1:11" ht="15.75" thickBot="1" x14ac:dyDescent="0.3">
      <c r="A9" s="500" t="s">
        <v>764</v>
      </c>
      <c r="B9" s="500" t="s">
        <v>765</v>
      </c>
      <c r="C9" s="222">
        <v>46054</v>
      </c>
      <c r="D9" s="225">
        <v>20.2</v>
      </c>
      <c r="E9" s="225">
        <v>6</v>
      </c>
      <c r="F9" s="225"/>
      <c r="G9" s="90"/>
      <c r="H9" s="90"/>
      <c r="I9" s="90"/>
      <c r="J9" s="348"/>
      <c r="K9" s="87">
        <f t="shared" si="0"/>
        <v>26.2</v>
      </c>
    </row>
    <row r="10" spans="1:11" ht="15.75" thickBot="1" x14ac:dyDescent="0.3">
      <c r="A10" s="501"/>
      <c r="B10" s="501"/>
      <c r="C10" s="222">
        <v>46082</v>
      </c>
      <c r="D10" s="225">
        <v>19.7</v>
      </c>
      <c r="E10" s="225">
        <v>6</v>
      </c>
      <c r="F10" s="225"/>
      <c r="G10" s="90"/>
      <c r="H10" s="90"/>
      <c r="I10" s="90"/>
      <c r="J10" s="348"/>
      <c r="K10" s="87">
        <f t="shared" si="0"/>
        <v>25.7</v>
      </c>
    </row>
    <row r="11" spans="1:11" ht="15.75" thickBot="1" x14ac:dyDescent="0.3">
      <c r="A11" s="437" t="s">
        <v>766</v>
      </c>
      <c r="B11" s="103" t="s">
        <v>767</v>
      </c>
      <c r="C11" s="222">
        <v>46054</v>
      </c>
      <c r="D11" s="227">
        <v>235.2</v>
      </c>
      <c r="E11" s="227">
        <v>6</v>
      </c>
      <c r="F11" s="227"/>
      <c r="G11" s="116"/>
      <c r="H11" s="90"/>
      <c r="I11" s="90"/>
      <c r="J11" s="348"/>
      <c r="K11" s="87">
        <f t="shared" si="0"/>
        <v>241.2</v>
      </c>
    </row>
    <row r="12" spans="1:11" ht="15.75" thickBot="1" x14ac:dyDescent="0.3">
      <c r="A12" s="88"/>
      <c r="B12" s="88"/>
      <c r="C12" s="222"/>
      <c r="D12" s="225"/>
      <c r="E12" s="225"/>
      <c r="F12" s="225"/>
      <c r="G12" s="90"/>
      <c r="H12" s="90"/>
      <c r="I12" s="90"/>
      <c r="J12" s="348"/>
      <c r="K12" s="87">
        <f t="shared" si="0"/>
        <v>0</v>
      </c>
    </row>
    <row r="13" spans="1:11" ht="15.75" thickBot="1" x14ac:dyDescent="0.3">
      <c r="A13" s="436"/>
      <c r="B13" s="88"/>
      <c r="C13" s="89"/>
      <c r="D13" s="90"/>
      <c r="E13" s="90"/>
      <c r="F13" s="90"/>
      <c r="G13" s="90"/>
      <c r="H13" s="90"/>
      <c r="I13" s="90"/>
      <c r="J13" s="348"/>
      <c r="K13" s="87">
        <f t="shared" si="0"/>
        <v>0</v>
      </c>
    </row>
    <row r="14" spans="1:11" ht="15.75" thickBot="1" x14ac:dyDescent="0.3">
      <c r="A14" s="436"/>
      <c r="B14" s="434"/>
      <c r="C14" s="89"/>
      <c r="D14" s="90"/>
      <c r="E14" s="90"/>
      <c r="F14" s="90"/>
      <c r="G14" s="90"/>
      <c r="H14" s="90"/>
      <c r="I14" s="93"/>
      <c r="J14" s="99"/>
      <c r="K14" s="87">
        <f t="shared" si="0"/>
        <v>0</v>
      </c>
    </row>
    <row r="15" spans="1:11" ht="15.75" thickBot="1" x14ac:dyDescent="0.3">
      <c r="A15" s="88"/>
      <c r="B15" s="88"/>
      <c r="C15" s="89"/>
      <c r="D15" s="90"/>
      <c r="E15" s="90"/>
      <c r="F15" s="90"/>
      <c r="G15" s="90"/>
      <c r="H15" s="90"/>
      <c r="I15" s="90"/>
      <c r="J15" s="348"/>
      <c r="K15" s="87">
        <f t="shared" si="0"/>
        <v>0</v>
      </c>
    </row>
    <row r="16" spans="1:11" ht="15.75" thickBot="1" x14ac:dyDescent="0.3">
      <c r="A16" s="95"/>
      <c r="B16" s="435"/>
      <c r="C16" s="89"/>
      <c r="D16" s="90"/>
      <c r="E16" s="90"/>
      <c r="F16" s="90"/>
      <c r="G16" s="90"/>
      <c r="H16" s="90"/>
      <c r="I16" s="90"/>
      <c r="J16" s="348"/>
      <c r="K16" s="87">
        <f t="shared" si="0"/>
        <v>0</v>
      </c>
    </row>
    <row r="17" spans="1:14" ht="15.75" thickBot="1" x14ac:dyDescent="0.3">
      <c r="A17" s="97"/>
      <c r="B17" s="95"/>
      <c r="C17" s="89"/>
      <c r="D17" s="90"/>
      <c r="E17" s="90"/>
      <c r="F17" s="90"/>
      <c r="G17" s="90"/>
      <c r="H17" s="90"/>
      <c r="I17" s="90"/>
      <c r="J17" s="348"/>
      <c r="K17" s="87">
        <f t="shared" si="0"/>
        <v>0</v>
      </c>
    </row>
    <row r="18" spans="1:14" ht="15.75" thickBot="1" x14ac:dyDescent="0.3">
      <c r="A18" s="432"/>
      <c r="B18" s="432"/>
      <c r="C18" s="89"/>
      <c r="D18" s="90"/>
      <c r="E18" s="90"/>
      <c r="F18" s="90"/>
      <c r="G18" s="90"/>
      <c r="H18" s="90"/>
      <c r="I18" s="90"/>
      <c r="J18" s="348"/>
      <c r="K18" s="87">
        <f t="shared" si="0"/>
        <v>0</v>
      </c>
    </row>
    <row r="19" spans="1:14" ht="15.75" thickBot="1" x14ac:dyDescent="0.3">
      <c r="A19" s="99"/>
      <c r="B19" s="432"/>
      <c r="C19" s="89"/>
      <c r="D19" s="90"/>
      <c r="E19" s="90"/>
      <c r="F19" s="90"/>
      <c r="G19" s="90"/>
      <c r="H19" s="90"/>
      <c r="I19" s="90"/>
      <c r="J19" s="348"/>
      <c r="K19" s="87">
        <f t="shared" si="0"/>
        <v>0</v>
      </c>
    </row>
    <row r="20" spans="1:14" ht="15.75" thickBot="1" x14ac:dyDescent="0.3">
      <c r="A20" s="99"/>
      <c r="B20" s="432"/>
      <c r="C20" s="89"/>
      <c r="D20" s="90"/>
      <c r="E20" s="90"/>
      <c r="F20" s="90"/>
      <c r="G20" s="90"/>
      <c r="H20" s="90"/>
      <c r="I20" s="90"/>
      <c r="J20" s="348"/>
      <c r="K20" s="87">
        <f t="shared" si="0"/>
        <v>0</v>
      </c>
    </row>
    <row r="21" spans="1:14" ht="15.75" thickBot="1" x14ac:dyDescent="0.3">
      <c r="A21" s="100"/>
      <c r="B21" s="432"/>
      <c r="C21" s="89"/>
      <c r="D21" s="90"/>
      <c r="E21" s="90"/>
      <c r="F21" s="90"/>
      <c r="G21" s="90"/>
      <c r="H21" s="90"/>
      <c r="I21" s="90"/>
      <c r="J21" s="348"/>
      <c r="K21" s="87">
        <f t="shared" si="0"/>
        <v>0</v>
      </c>
    </row>
    <row r="22" spans="1:14" ht="15.75" thickBot="1" x14ac:dyDescent="0.3">
      <c r="A22" s="439"/>
      <c r="B22" s="439"/>
      <c r="C22" s="89"/>
      <c r="D22" s="90"/>
      <c r="E22" s="90"/>
      <c r="F22" s="90"/>
      <c r="G22" s="90"/>
      <c r="H22" s="90"/>
      <c r="I22" s="90"/>
      <c r="J22" s="348"/>
      <c r="K22" s="87">
        <f t="shared" si="0"/>
        <v>0</v>
      </c>
    </row>
    <row r="23" spans="1:14" ht="15.75" thickBot="1" x14ac:dyDescent="0.3">
      <c r="A23" s="432"/>
      <c r="B23" s="438"/>
      <c r="C23" s="103"/>
      <c r="D23" s="104"/>
      <c r="E23" s="104"/>
      <c r="F23" s="104"/>
      <c r="G23" s="104"/>
      <c r="H23" s="104"/>
      <c r="I23" s="104"/>
      <c r="J23" s="349"/>
      <c r="K23" s="87">
        <f t="shared" si="0"/>
        <v>0</v>
      </c>
    </row>
    <row r="24" spans="1:14" ht="19.5" thickBot="1" x14ac:dyDescent="0.35">
      <c r="A24" s="105" t="s">
        <v>4</v>
      </c>
      <c r="B24" s="86"/>
      <c r="C24" s="106"/>
      <c r="D24" s="108">
        <f t="shared" ref="D24:J24" si="1">SUM(D4:D23)</f>
        <v>275.09999999999997</v>
      </c>
      <c r="E24" s="108">
        <f t="shared" si="1"/>
        <v>18</v>
      </c>
      <c r="F24" s="108">
        <f t="shared" si="1"/>
        <v>100</v>
      </c>
      <c r="G24" s="108">
        <f t="shared" si="1"/>
        <v>0</v>
      </c>
      <c r="H24" s="108">
        <f t="shared" si="1"/>
        <v>66.400000000000006</v>
      </c>
      <c r="I24" s="108">
        <f t="shared" si="1"/>
        <v>10</v>
      </c>
      <c r="J24" s="108">
        <f t="shared" si="1"/>
        <v>0</v>
      </c>
      <c r="K24" s="108">
        <f>SUM(K4:K23)</f>
        <v>469.5</v>
      </c>
    </row>
    <row r="25" spans="1:14" ht="19.5" thickBot="1" x14ac:dyDescent="0.35">
      <c r="A25" s="2"/>
      <c r="B25" s="109"/>
      <c r="C25" s="110"/>
      <c r="D25" s="111"/>
      <c r="E25" s="111"/>
      <c r="F25" s="111"/>
      <c r="G25" s="111"/>
      <c r="H25" s="111"/>
      <c r="I25" s="111"/>
      <c r="J25" s="111"/>
      <c r="K25" s="111"/>
    </row>
    <row r="26" spans="1:14" ht="24" thickBot="1" x14ac:dyDescent="0.4">
      <c r="A26" s="112" t="s">
        <v>40</v>
      </c>
      <c r="B26" s="109"/>
      <c r="C26" s="110"/>
      <c r="D26" s="111"/>
      <c r="E26" s="111"/>
      <c r="F26" s="111"/>
      <c r="G26" s="111"/>
      <c r="H26" s="111"/>
      <c r="I26" s="111"/>
      <c r="J26" s="111"/>
      <c r="K26" s="111"/>
    </row>
    <row r="27" spans="1:14" ht="30.75" thickBot="1" x14ac:dyDescent="0.3">
      <c r="A27" s="113" t="s">
        <v>3</v>
      </c>
      <c r="B27" s="86" t="s">
        <v>32</v>
      </c>
      <c r="C27" s="114" t="s">
        <v>41</v>
      </c>
      <c r="D27" s="114" t="s">
        <v>34</v>
      </c>
      <c r="E27" s="114" t="s">
        <v>35</v>
      </c>
      <c r="F27" s="86" t="s">
        <v>36</v>
      </c>
      <c r="G27" s="86" t="s">
        <v>37</v>
      </c>
      <c r="H27" s="86" t="s">
        <v>42</v>
      </c>
      <c r="I27" s="86" t="s">
        <v>39</v>
      </c>
      <c r="J27" s="86"/>
      <c r="K27" s="115" t="s">
        <v>4</v>
      </c>
    </row>
    <row r="28" spans="1:14" ht="15.75" thickBot="1" x14ac:dyDescent="0.3">
      <c r="A28" s="439"/>
      <c r="B28" s="103"/>
      <c r="C28" s="103"/>
      <c r="D28" s="116"/>
      <c r="E28" s="117"/>
      <c r="F28" s="116"/>
      <c r="G28" s="116"/>
      <c r="H28" s="118"/>
      <c r="I28" s="118"/>
      <c r="J28" s="118"/>
      <c r="K28" s="119">
        <f>SUM(D28:I28)</f>
        <v>0</v>
      </c>
    </row>
    <row r="29" spans="1:14" ht="15.75" thickBot="1" x14ac:dyDescent="0.3">
      <c r="A29" s="439"/>
      <c r="B29" s="438"/>
      <c r="C29" s="103"/>
      <c r="D29" s="116"/>
      <c r="E29" s="117"/>
      <c r="F29" s="116"/>
      <c r="G29" s="116"/>
      <c r="H29" s="118"/>
      <c r="I29" s="118"/>
      <c r="J29" s="118"/>
      <c r="K29" s="119"/>
    </row>
    <row r="30" spans="1:14" ht="15.75" thickBot="1" x14ac:dyDescent="0.3">
      <c r="A30" s="439"/>
      <c r="B30" s="432"/>
      <c r="C30" s="89"/>
      <c r="D30" s="120"/>
      <c r="E30" s="120"/>
      <c r="F30" s="120"/>
      <c r="G30" s="120"/>
      <c r="H30" s="90"/>
      <c r="I30" s="90"/>
      <c r="J30" s="90"/>
      <c r="K30" s="119">
        <f t="shared" ref="K30:K31" si="2">SUM(D30:I30)</f>
        <v>0</v>
      </c>
    </row>
    <row r="31" spans="1:14" ht="15.75" thickBot="1" x14ac:dyDescent="0.3">
      <c r="A31" s="86"/>
      <c r="B31" s="121"/>
      <c r="C31" s="89"/>
      <c r="D31" s="120"/>
      <c r="E31" s="120"/>
      <c r="F31" s="120"/>
      <c r="G31" s="120"/>
      <c r="H31" s="90"/>
      <c r="I31" s="90"/>
      <c r="J31" s="90"/>
      <c r="K31" s="119">
        <f t="shared" si="2"/>
        <v>0</v>
      </c>
      <c r="M31" s="122" t="s">
        <v>43</v>
      </c>
      <c r="N31" s="123">
        <f>K32+K41</f>
        <v>867.19999999999993</v>
      </c>
    </row>
    <row r="32" spans="1:14" ht="15.75" thickBot="1" x14ac:dyDescent="0.3">
      <c r="A32" s="86" t="s">
        <v>4</v>
      </c>
      <c r="B32" s="440"/>
      <c r="C32" s="125"/>
      <c r="D32" s="116">
        <f>SUM(D28:D31)</f>
        <v>0</v>
      </c>
      <c r="E32" s="116">
        <f t="shared" ref="E32:J32" si="3">SUM(E28:E31)</f>
        <v>0</v>
      </c>
      <c r="F32" s="116">
        <f t="shared" si="3"/>
        <v>0</v>
      </c>
      <c r="G32" s="116">
        <f t="shared" si="3"/>
        <v>0</v>
      </c>
      <c r="H32" s="116">
        <f t="shared" si="3"/>
        <v>0</v>
      </c>
      <c r="I32" s="116">
        <f t="shared" si="3"/>
        <v>0</v>
      </c>
      <c r="J32" s="116">
        <f t="shared" si="3"/>
        <v>0</v>
      </c>
      <c r="K32" s="94">
        <f>SUM(K28:K31)</f>
        <v>0</v>
      </c>
    </row>
    <row r="33" spans="1:14" ht="15.75" thickBot="1" x14ac:dyDescent="0.3">
      <c r="A33" s="109"/>
      <c r="B33" s="127"/>
      <c r="C33" s="128"/>
      <c r="D33" s="129"/>
      <c r="E33" s="129"/>
      <c r="F33" s="129"/>
      <c r="G33" s="129"/>
      <c r="H33" s="129"/>
      <c r="I33" s="129"/>
      <c r="J33" s="129"/>
      <c r="K33" s="130"/>
    </row>
    <row r="34" spans="1:14" ht="24" thickBot="1" x14ac:dyDescent="0.4">
      <c r="A34" s="112" t="s">
        <v>40</v>
      </c>
      <c r="B34" s="109"/>
      <c r="C34" s="110"/>
      <c r="D34" s="111"/>
      <c r="E34" s="111"/>
      <c r="F34" s="111"/>
      <c r="G34" s="111"/>
      <c r="H34" s="111"/>
      <c r="I34" s="111"/>
      <c r="J34" s="111"/>
      <c r="K34" s="111"/>
    </row>
    <row r="35" spans="1:14" ht="45.75" thickBot="1" x14ac:dyDescent="0.3">
      <c r="A35" s="131" t="s">
        <v>44</v>
      </c>
      <c r="B35" s="86" t="s">
        <v>45</v>
      </c>
      <c r="C35" s="114" t="s">
        <v>41</v>
      </c>
      <c r="D35" s="114" t="s">
        <v>34</v>
      </c>
      <c r="E35" s="114" t="s">
        <v>35</v>
      </c>
      <c r="F35" s="114" t="s">
        <v>46</v>
      </c>
      <c r="G35" s="114" t="s">
        <v>47</v>
      </c>
      <c r="H35" s="114" t="s">
        <v>42</v>
      </c>
      <c r="I35" s="132" t="s">
        <v>48</v>
      </c>
      <c r="J35" s="86"/>
      <c r="K35" s="115" t="s">
        <v>4</v>
      </c>
    </row>
    <row r="36" spans="1:14" ht="15.75" thickBot="1" x14ac:dyDescent="0.3">
      <c r="A36" s="88" t="s">
        <v>739</v>
      </c>
      <c r="B36" s="99" t="s">
        <v>742</v>
      </c>
      <c r="C36" s="89">
        <v>46113</v>
      </c>
      <c r="D36" s="225"/>
      <c r="E36" s="225"/>
      <c r="F36" s="225">
        <v>60</v>
      </c>
      <c r="G36" s="225">
        <v>5</v>
      </c>
      <c r="H36" s="90"/>
      <c r="I36" s="90"/>
      <c r="J36" s="348"/>
      <c r="K36" s="87">
        <f t="shared" ref="K36:K40" si="4">SUM(D36:I36)</f>
        <v>65</v>
      </c>
    </row>
    <row r="37" spans="1:14" ht="15.75" thickBot="1" x14ac:dyDescent="0.3">
      <c r="A37" s="103" t="s">
        <v>743</v>
      </c>
      <c r="B37" s="99" t="s">
        <v>741</v>
      </c>
      <c r="C37" s="89">
        <v>46082</v>
      </c>
      <c r="D37" s="227">
        <v>615.4</v>
      </c>
      <c r="E37" s="227">
        <v>40.299999999999997</v>
      </c>
      <c r="F37" s="227">
        <v>20</v>
      </c>
      <c r="G37" s="227">
        <v>5</v>
      </c>
      <c r="H37" s="118"/>
      <c r="I37" s="118"/>
      <c r="J37" s="118"/>
      <c r="K37" s="87">
        <f t="shared" si="4"/>
        <v>680.69999999999993</v>
      </c>
    </row>
    <row r="38" spans="1:14" ht="15.75" thickBot="1" x14ac:dyDescent="0.3">
      <c r="A38" s="437" t="s">
        <v>746</v>
      </c>
      <c r="B38" s="432" t="s">
        <v>747</v>
      </c>
      <c r="C38" s="89">
        <v>46082</v>
      </c>
      <c r="D38" s="228">
        <v>5</v>
      </c>
      <c r="E38" s="228">
        <v>6</v>
      </c>
      <c r="F38" s="228">
        <v>60</v>
      </c>
      <c r="G38" s="228">
        <v>5</v>
      </c>
      <c r="H38" s="90"/>
      <c r="I38" s="90"/>
      <c r="J38" s="90"/>
      <c r="K38" s="87">
        <f t="shared" si="4"/>
        <v>76</v>
      </c>
    </row>
    <row r="39" spans="1:14" ht="15.75" thickBot="1" x14ac:dyDescent="0.3">
      <c r="A39" s="437" t="s">
        <v>296</v>
      </c>
      <c r="B39" s="432" t="s">
        <v>754</v>
      </c>
      <c r="C39" s="89">
        <v>46082</v>
      </c>
      <c r="D39" s="228">
        <v>39.5</v>
      </c>
      <c r="E39" s="228">
        <v>6</v>
      </c>
      <c r="F39" s="228"/>
      <c r="G39" s="228"/>
      <c r="H39" s="90"/>
      <c r="I39" s="90"/>
      <c r="J39" s="90"/>
      <c r="K39" s="87">
        <f t="shared" si="4"/>
        <v>45.5</v>
      </c>
    </row>
    <row r="40" spans="1:14" ht="15.75" thickBot="1" x14ac:dyDescent="0.3">
      <c r="A40" s="86"/>
      <c r="B40" s="121"/>
      <c r="C40" s="89"/>
      <c r="D40" s="120"/>
      <c r="E40" s="120"/>
      <c r="F40" s="120"/>
      <c r="G40" s="120"/>
      <c r="H40" s="90"/>
      <c r="I40" s="90"/>
      <c r="J40" s="90"/>
      <c r="K40" s="87">
        <f t="shared" si="4"/>
        <v>0</v>
      </c>
      <c r="M40" s="134"/>
      <c r="N40" s="135"/>
    </row>
    <row r="41" spans="1:14" ht="15.75" thickBot="1" x14ac:dyDescent="0.3">
      <c r="A41" s="86" t="s">
        <v>4</v>
      </c>
      <c r="B41" s="440"/>
      <c r="C41" s="125"/>
      <c r="D41" s="116">
        <f>SUM(D36:D40)</f>
        <v>659.9</v>
      </c>
      <c r="E41" s="116">
        <f t="shared" ref="E41:J41" si="5">SUM(E36:E40)</f>
        <v>52.3</v>
      </c>
      <c r="F41" s="116">
        <f t="shared" si="5"/>
        <v>140</v>
      </c>
      <c r="G41" s="116">
        <f t="shared" si="5"/>
        <v>15</v>
      </c>
      <c r="H41" s="116">
        <f t="shared" si="5"/>
        <v>0</v>
      </c>
      <c r="I41" s="116">
        <f t="shared" si="5"/>
        <v>0</v>
      </c>
      <c r="J41" s="116">
        <f t="shared" si="5"/>
        <v>0</v>
      </c>
      <c r="K41" s="94">
        <f>SUM(K36:K40)</f>
        <v>867.19999999999993</v>
      </c>
    </row>
    <row r="42" spans="1:14" x14ac:dyDescent="0.25">
      <c r="A42" s="109"/>
      <c r="B42" s="127"/>
      <c r="C42" s="128"/>
      <c r="D42" s="129"/>
      <c r="E42" s="129"/>
      <c r="F42" s="129"/>
      <c r="G42" s="129"/>
      <c r="H42" s="129"/>
      <c r="I42" s="129"/>
      <c r="J42" s="129"/>
      <c r="K42" s="130"/>
    </row>
    <row r="43" spans="1:14" x14ac:dyDescent="0.25">
      <c r="A43" s="109"/>
      <c r="B43" s="127"/>
      <c r="C43" s="128"/>
      <c r="D43" s="129"/>
      <c r="E43" s="129"/>
      <c r="F43" s="129"/>
      <c r="G43" s="129"/>
      <c r="H43" s="129"/>
      <c r="I43" s="129"/>
      <c r="J43" s="129"/>
      <c r="K43" s="130"/>
    </row>
    <row r="44" spans="1:14" ht="15.75" thickBot="1" x14ac:dyDescent="0.3">
      <c r="A44" s="84"/>
      <c r="B44" s="84"/>
      <c r="C44" s="84"/>
      <c r="K44" s="85"/>
    </row>
    <row r="45" spans="1:14" ht="30.75" thickBot="1" x14ac:dyDescent="0.3">
      <c r="A45" s="114" t="s">
        <v>49</v>
      </c>
      <c r="B45" s="86" t="s">
        <v>45</v>
      </c>
      <c r="C45" s="114" t="s">
        <v>41</v>
      </c>
      <c r="D45" s="114" t="s">
        <v>34</v>
      </c>
      <c r="E45" s="114" t="s">
        <v>35</v>
      </c>
      <c r="F45" s="114" t="s">
        <v>46</v>
      </c>
      <c r="G45" s="114" t="s">
        <v>47</v>
      </c>
      <c r="H45" s="86" t="s">
        <v>740</v>
      </c>
      <c r="I45" s="132" t="s">
        <v>42</v>
      </c>
      <c r="J45" s="86" t="s">
        <v>497</v>
      </c>
      <c r="K45" s="115" t="s">
        <v>4</v>
      </c>
    </row>
    <row r="46" spans="1:14" ht="15.75" thickBot="1" x14ac:dyDescent="0.3">
      <c r="A46" s="103" t="s">
        <v>704</v>
      </c>
      <c r="B46" s="442">
        <v>11094</v>
      </c>
      <c r="C46" s="417">
        <v>46082</v>
      </c>
      <c r="D46" s="118"/>
      <c r="E46" s="118"/>
      <c r="F46" s="118"/>
      <c r="G46" s="118"/>
      <c r="H46" s="118">
        <v>5</v>
      </c>
      <c r="I46" s="118"/>
      <c r="J46" s="118"/>
      <c r="K46" s="119">
        <f t="shared" ref="K46:K59" si="6">SUM(D46:J46)</f>
        <v>5</v>
      </c>
    </row>
    <row r="47" spans="1:14" ht="15.75" thickBot="1" x14ac:dyDescent="0.3">
      <c r="A47" s="103"/>
      <c r="B47" s="103"/>
      <c r="C47" s="118"/>
      <c r="D47" s="118"/>
      <c r="E47" s="118"/>
      <c r="F47" s="118"/>
      <c r="G47" s="118"/>
      <c r="H47" s="118"/>
      <c r="I47" s="118"/>
      <c r="J47" s="118"/>
      <c r="K47" s="119">
        <f t="shared" si="6"/>
        <v>0</v>
      </c>
    </row>
    <row r="48" spans="1:14" ht="15.75" thickBot="1" x14ac:dyDescent="0.3">
      <c r="A48" s="103" t="s">
        <v>744</v>
      </c>
      <c r="B48" s="103" t="s">
        <v>745</v>
      </c>
      <c r="C48" s="417">
        <v>46082</v>
      </c>
      <c r="D48" s="118">
        <v>117.6</v>
      </c>
      <c r="E48" s="118">
        <v>22.2</v>
      </c>
      <c r="F48" s="118"/>
      <c r="G48" s="118"/>
      <c r="H48" s="118"/>
      <c r="I48" s="118"/>
      <c r="J48" s="118"/>
      <c r="K48" s="119">
        <f t="shared" si="6"/>
        <v>139.79999999999998</v>
      </c>
    </row>
    <row r="49" spans="1:11" ht="15.75" thickBot="1" x14ac:dyDescent="0.3">
      <c r="A49" s="103" t="s">
        <v>750</v>
      </c>
      <c r="B49" s="103" t="s">
        <v>751</v>
      </c>
      <c r="C49" s="417">
        <v>46082</v>
      </c>
      <c r="D49" s="118">
        <v>554.70000000000005</v>
      </c>
      <c r="E49" s="118">
        <v>6</v>
      </c>
      <c r="F49" s="118"/>
      <c r="G49" s="118"/>
      <c r="H49" s="118"/>
      <c r="I49" s="118"/>
      <c r="J49" s="118"/>
      <c r="K49" s="119">
        <f t="shared" si="6"/>
        <v>560.70000000000005</v>
      </c>
    </row>
    <row r="50" spans="1:11" ht="15.75" thickBot="1" x14ac:dyDescent="0.3">
      <c r="A50" s="103" t="s">
        <v>752</v>
      </c>
      <c r="B50" s="103" t="s">
        <v>753</v>
      </c>
      <c r="C50" s="417">
        <v>46082</v>
      </c>
      <c r="D50" s="118">
        <v>376.2</v>
      </c>
      <c r="E50" s="118">
        <v>59</v>
      </c>
      <c r="F50" s="118"/>
      <c r="G50" s="118"/>
      <c r="H50" s="118"/>
      <c r="I50" s="118"/>
      <c r="J50" s="118"/>
      <c r="K50" s="119">
        <f t="shared" si="6"/>
        <v>435.2</v>
      </c>
    </row>
    <row r="51" spans="1:11" ht="15.75" thickBot="1" x14ac:dyDescent="0.3">
      <c r="A51" s="432" t="s">
        <v>755</v>
      </c>
      <c r="B51" s="103" t="s">
        <v>756</v>
      </c>
      <c r="C51" s="417">
        <v>46082</v>
      </c>
      <c r="D51" s="118">
        <v>39.5</v>
      </c>
      <c r="E51" s="118">
        <v>6</v>
      </c>
      <c r="F51" s="118"/>
      <c r="G51" s="118"/>
      <c r="H51" s="118"/>
      <c r="I51" s="118"/>
      <c r="J51" s="118"/>
      <c r="K51" s="119">
        <f t="shared" si="6"/>
        <v>45.5</v>
      </c>
    </row>
    <row r="52" spans="1:11" ht="15.75" thickBot="1" x14ac:dyDescent="0.3">
      <c r="A52" s="432" t="s">
        <v>762</v>
      </c>
      <c r="B52" s="103" t="s">
        <v>763</v>
      </c>
      <c r="C52" s="417">
        <v>46082</v>
      </c>
      <c r="D52" s="118">
        <v>47.4</v>
      </c>
      <c r="E52" s="118">
        <v>192.1</v>
      </c>
      <c r="F52" s="118">
        <v>60</v>
      </c>
      <c r="G52" s="118">
        <v>5</v>
      </c>
      <c r="H52" s="118"/>
      <c r="I52" s="118"/>
      <c r="J52" s="118"/>
      <c r="K52" s="119">
        <f t="shared" si="6"/>
        <v>304.5</v>
      </c>
    </row>
    <row r="53" spans="1:11" ht="15.75" thickBot="1" x14ac:dyDescent="0.3">
      <c r="A53" s="432"/>
      <c r="B53" s="103"/>
      <c r="C53" s="103"/>
      <c r="D53" s="118"/>
      <c r="E53" s="118"/>
      <c r="F53" s="118"/>
      <c r="G53" s="118"/>
      <c r="H53" s="118"/>
      <c r="I53" s="118"/>
      <c r="J53" s="118"/>
      <c r="K53" s="119">
        <f t="shared" si="6"/>
        <v>0</v>
      </c>
    </row>
    <row r="54" spans="1:11" ht="15.75" thickBot="1" x14ac:dyDescent="0.3">
      <c r="A54" s="432"/>
      <c r="B54" s="103"/>
      <c r="C54" s="103"/>
      <c r="D54" s="118"/>
      <c r="E54" s="118"/>
      <c r="F54" s="118"/>
      <c r="G54" s="118"/>
      <c r="H54" s="118"/>
      <c r="I54" s="118"/>
      <c r="J54" s="118"/>
      <c r="K54" s="119">
        <f t="shared" si="6"/>
        <v>0</v>
      </c>
    </row>
    <row r="55" spans="1:11" ht="15.75" thickBot="1" x14ac:dyDescent="0.3">
      <c r="A55" s="432"/>
      <c r="B55" s="103"/>
      <c r="C55" s="103"/>
      <c r="D55" s="118"/>
      <c r="E55" s="118"/>
      <c r="F55" s="118"/>
      <c r="G55" s="118"/>
      <c r="H55" s="118"/>
      <c r="I55" s="118"/>
      <c r="J55" s="118"/>
      <c r="K55" s="119">
        <f t="shared" si="6"/>
        <v>0</v>
      </c>
    </row>
    <row r="56" spans="1:11" ht="15.75" thickBot="1" x14ac:dyDescent="0.3">
      <c r="A56" s="137"/>
      <c r="B56" s="103"/>
      <c r="C56" s="103"/>
      <c r="D56" s="118"/>
      <c r="E56" s="118"/>
      <c r="F56" s="118"/>
      <c r="G56" s="118"/>
      <c r="H56" s="118"/>
      <c r="I56" s="118"/>
      <c r="J56" s="118"/>
      <c r="K56" s="119">
        <f t="shared" si="6"/>
        <v>0</v>
      </c>
    </row>
    <row r="57" spans="1:11" ht="15.75" thickBot="1" x14ac:dyDescent="0.3">
      <c r="A57" s="121"/>
      <c r="B57" s="103"/>
      <c r="C57" s="103"/>
      <c r="D57" s="118"/>
      <c r="F57" s="118"/>
      <c r="G57" s="118"/>
      <c r="H57" s="118"/>
      <c r="I57" s="118"/>
      <c r="J57" s="118"/>
      <c r="K57" s="119">
        <f t="shared" si="6"/>
        <v>0</v>
      </c>
    </row>
    <row r="58" spans="1:11" ht="15.75" thickBot="1" x14ac:dyDescent="0.3">
      <c r="A58" s="121"/>
      <c r="B58" s="103"/>
      <c r="C58" s="103"/>
      <c r="D58" s="118"/>
      <c r="E58" s="118"/>
      <c r="F58" s="118"/>
      <c r="G58" s="118"/>
      <c r="H58" s="118"/>
      <c r="I58" s="118"/>
      <c r="J58" s="118"/>
      <c r="K58" s="119">
        <f t="shared" si="6"/>
        <v>0</v>
      </c>
    </row>
    <row r="59" spans="1:11" ht="15.75" thickBot="1" x14ac:dyDescent="0.3">
      <c r="A59" s="121"/>
      <c r="B59" s="103"/>
      <c r="C59" s="103"/>
      <c r="D59" s="138"/>
      <c r="E59" s="138"/>
      <c r="F59" s="138"/>
      <c r="G59" s="138"/>
      <c r="H59" s="138"/>
      <c r="I59" s="138"/>
      <c r="J59" s="138"/>
      <c r="K59" s="119">
        <f t="shared" si="6"/>
        <v>0</v>
      </c>
    </row>
    <row r="60" spans="1:11" ht="19.5" thickBot="1" x14ac:dyDescent="0.35">
      <c r="A60" s="105" t="s">
        <v>4</v>
      </c>
      <c r="B60" s="86"/>
      <c r="C60" s="106"/>
      <c r="D60" s="107">
        <f t="shared" ref="D60:K60" si="7">SUM(D46:D59)</f>
        <v>1135.4000000000001</v>
      </c>
      <c r="E60" s="107">
        <f t="shared" si="7"/>
        <v>285.3</v>
      </c>
      <c r="F60" s="107">
        <f t="shared" si="7"/>
        <v>60</v>
      </c>
      <c r="G60" s="107">
        <f t="shared" si="7"/>
        <v>5</v>
      </c>
      <c r="H60" s="107">
        <f t="shared" si="7"/>
        <v>5</v>
      </c>
      <c r="I60" s="107">
        <f t="shared" si="7"/>
        <v>0</v>
      </c>
      <c r="J60" s="107"/>
      <c r="K60" s="107">
        <f t="shared" si="7"/>
        <v>1490.7</v>
      </c>
    </row>
    <row r="61" spans="1:11" ht="15.75" x14ac:dyDescent="0.25">
      <c r="A61" s="139"/>
      <c r="B61" s="139"/>
      <c r="C61" s="140"/>
      <c r="D61" s="141"/>
      <c r="E61" s="141"/>
      <c r="F61" s="141"/>
      <c r="G61" s="141"/>
      <c r="H61" s="141"/>
      <c r="I61" s="141"/>
      <c r="J61" s="141"/>
      <c r="K61" s="141"/>
    </row>
    <row r="62" spans="1:11" ht="16.5" thickBot="1" x14ac:dyDescent="0.3">
      <c r="A62" s="139"/>
      <c r="B62" s="139"/>
      <c r="C62" s="140"/>
      <c r="D62" s="141"/>
      <c r="E62" s="141"/>
      <c r="F62" s="141"/>
      <c r="G62" s="141"/>
      <c r="H62" s="141"/>
      <c r="I62" s="141"/>
      <c r="J62" s="141"/>
      <c r="K62" s="141"/>
    </row>
    <row r="63" spans="1:11" ht="19.5" thickBot="1" x14ac:dyDescent="0.35">
      <c r="A63" s="492" t="s">
        <v>50</v>
      </c>
      <c r="B63" s="493"/>
      <c r="C63" s="142"/>
      <c r="D63" s="143"/>
      <c r="E63" s="143"/>
      <c r="F63" s="143"/>
      <c r="G63" s="143"/>
      <c r="H63" s="143"/>
      <c r="I63" s="143"/>
      <c r="J63" s="143"/>
      <c r="K63" s="108">
        <f>+K24+K60</f>
        <v>1960.2</v>
      </c>
    </row>
    <row r="64" spans="1:11" x14ac:dyDescent="0.25">
      <c r="A64" s="84"/>
      <c r="B64" s="84"/>
      <c r="C64" s="144"/>
      <c r="D64" s="85"/>
      <c r="E64" s="85"/>
      <c r="F64" s="85"/>
      <c r="G64" s="85"/>
      <c r="H64" s="85"/>
      <c r="I64" s="85"/>
      <c r="J64" s="85"/>
      <c r="K64" s="85"/>
    </row>
    <row r="65" spans="1:12" x14ac:dyDescent="0.25">
      <c r="A65" s="84"/>
      <c r="B65" s="84"/>
      <c r="C65" s="144"/>
      <c r="D65" s="85"/>
      <c r="E65" s="85"/>
      <c r="F65" s="85"/>
      <c r="G65" s="85"/>
      <c r="H65" s="85"/>
      <c r="I65" s="85"/>
      <c r="J65" s="85"/>
      <c r="K65" s="85"/>
    </row>
    <row r="66" spans="1:12" ht="16.5" thickBot="1" x14ac:dyDescent="0.3">
      <c r="A66" s="145" t="s">
        <v>500</v>
      </c>
      <c r="B66" s="84"/>
      <c r="C66" s="144"/>
      <c r="D66" s="85"/>
      <c r="E66" s="85"/>
      <c r="F66" s="85"/>
      <c r="G66" s="85"/>
      <c r="H66" s="85"/>
      <c r="I66" s="85"/>
      <c r="J66" s="85"/>
      <c r="K66" s="85"/>
    </row>
    <row r="67" spans="1:12" ht="19.5" thickBot="1" x14ac:dyDescent="0.35">
      <c r="A67" s="146" t="s">
        <v>52</v>
      </c>
      <c r="B67" s="147"/>
      <c r="C67" s="148"/>
      <c r="D67" s="149"/>
      <c r="E67" s="149"/>
      <c r="F67" s="149"/>
      <c r="G67" s="149"/>
      <c r="H67" s="149"/>
      <c r="I67" s="149"/>
      <c r="J67" s="149"/>
      <c r="K67" s="108"/>
    </row>
    <row r="68" spans="1:12" ht="19.5" thickBot="1" x14ac:dyDescent="0.35">
      <c r="A68" s="146" t="s">
        <v>53</v>
      </c>
      <c r="B68" s="147"/>
      <c r="C68" s="150"/>
      <c r="D68" s="149"/>
      <c r="E68" s="149"/>
      <c r="F68" s="149"/>
      <c r="G68" s="149"/>
      <c r="H68" s="149"/>
      <c r="I68" s="149"/>
      <c r="J68" s="149"/>
      <c r="K68" s="108"/>
      <c r="L68" s="41"/>
    </row>
    <row r="69" spans="1:12" ht="18.75" x14ac:dyDescent="0.3">
      <c r="A69" s="151"/>
      <c r="B69" s="151"/>
      <c r="C69" s="152"/>
      <c r="D69" s="153"/>
      <c r="E69" s="153"/>
      <c r="F69" s="153"/>
      <c r="G69" s="153"/>
      <c r="H69" s="153"/>
      <c r="I69" s="153"/>
      <c r="J69" s="153"/>
      <c r="K69" s="111"/>
    </row>
    <row r="70" spans="1:12" ht="18.75" x14ac:dyDescent="0.3">
      <c r="A70" s="151"/>
      <c r="B70" s="151"/>
      <c r="C70" s="152"/>
      <c r="D70" s="153"/>
      <c r="E70" s="153"/>
      <c r="F70" s="153"/>
      <c r="G70" s="153"/>
      <c r="H70" s="153"/>
      <c r="I70" s="153"/>
      <c r="J70" s="153"/>
      <c r="K70" s="111"/>
      <c r="L70" s="41"/>
    </row>
    <row r="71" spans="1:12" ht="16.5" thickBot="1" x14ac:dyDescent="0.3">
      <c r="A71" s="154" t="s">
        <v>54</v>
      </c>
      <c r="B71" s="155"/>
      <c r="C71" s="144"/>
      <c r="D71" s="85"/>
      <c r="E71" s="85"/>
      <c r="F71" s="85"/>
      <c r="G71" s="85"/>
      <c r="H71" s="85"/>
      <c r="I71" s="85"/>
      <c r="J71" s="85"/>
      <c r="K71" s="85"/>
    </row>
    <row r="72" spans="1:12" ht="19.5" thickBot="1" x14ac:dyDescent="0.35">
      <c r="A72" s="156" t="s">
        <v>55</v>
      </c>
      <c r="B72" s="157"/>
      <c r="C72" s="158"/>
      <c r="D72" s="159"/>
      <c r="E72" s="159"/>
      <c r="F72" s="159"/>
      <c r="G72" s="159"/>
      <c r="H72" s="159"/>
      <c r="I72" s="159"/>
      <c r="J72" s="159"/>
      <c r="K72" s="160">
        <v>539</v>
      </c>
    </row>
    <row r="73" spans="1:12" x14ac:dyDescent="0.25">
      <c r="A73" s="161"/>
      <c r="B73" s="84"/>
      <c r="C73" s="144"/>
      <c r="D73" s="85"/>
      <c r="E73" s="85"/>
      <c r="F73" s="85"/>
      <c r="G73" s="85"/>
      <c r="H73" s="85"/>
      <c r="I73" s="85"/>
      <c r="J73" s="85"/>
      <c r="K73" s="85"/>
    </row>
    <row r="74" spans="1:12" ht="16.5" thickBot="1" x14ac:dyDescent="0.3">
      <c r="A74" s="154"/>
      <c r="B74" s="155"/>
      <c r="C74" s="144"/>
      <c r="D74" s="85"/>
      <c r="E74" s="85"/>
      <c r="F74" s="85"/>
      <c r="G74" s="85"/>
      <c r="H74" s="85"/>
      <c r="I74" s="85"/>
      <c r="J74" s="85"/>
      <c r="K74" s="85"/>
    </row>
    <row r="75" spans="1:12" ht="19.5" thickBot="1" x14ac:dyDescent="0.35">
      <c r="A75" s="156" t="s">
        <v>56</v>
      </c>
      <c r="B75" s="157"/>
      <c r="C75" s="162"/>
      <c r="D75" s="159"/>
      <c r="E75" s="159"/>
      <c r="F75" s="159"/>
      <c r="G75" s="159"/>
      <c r="H75" s="159"/>
      <c r="I75" s="159"/>
      <c r="J75" s="159"/>
      <c r="K75" s="163"/>
    </row>
    <row r="76" spans="1:12" ht="15.75" thickBot="1" x14ac:dyDescent="0.3">
      <c r="A76" s="161"/>
      <c r="B76" s="84"/>
      <c r="C76" s="144"/>
      <c r="D76" s="85"/>
      <c r="E76" s="85"/>
      <c r="F76" s="85"/>
      <c r="G76" s="85"/>
      <c r="H76" s="85"/>
      <c r="I76" s="85"/>
      <c r="J76" s="85"/>
      <c r="K76" s="85"/>
    </row>
    <row r="77" spans="1:12" ht="21.75" thickBot="1" x14ac:dyDescent="0.4">
      <c r="A77" s="494" t="s">
        <v>57</v>
      </c>
      <c r="B77" s="495"/>
      <c r="C77" s="164"/>
      <c r="D77" s="165"/>
      <c r="E77" s="165"/>
      <c r="F77" s="165"/>
      <c r="G77" s="165"/>
      <c r="H77" s="165"/>
      <c r="I77" s="165"/>
      <c r="J77" s="165"/>
      <c r="K77" s="166">
        <f>SUM(K63:K76)</f>
        <v>2499.1999999999998</v>
      </c>
    </row>
    <row r="78" spans="1:12" x14ac:dyDescent="0.25">
      <c r="A78" s="84"/>
      <c r="B78" s="84"/>
      <c r="C78" s="144"/>
      <c r="D78" s="85"/>
      <c r="E78" s="85"/>
      <c r="F78" s="85"/>
      <c r="G78" s="85"/>
      <c r="H78" s="85"/>
      <c r="I78" s="85"/>
      <c r="J78" s="85"/>
      <c r="K78" s="85"/>
    </row>
    <row r="79" spans="1:12" ht="21" x14ac:dyDescent="0.35">
      <c r="A79" s="491" t="s">
        <v>738</v>
      </c>
      <c r="B79" s="491"/>
      <c r="C79" s="491"/>
      <c r="D79" s="491"/>
      <c r="E79" s="491"/>
      <c r="F79" s="491"/>
      <c r="G79" s="491"/>
      <c r="H79" s="491"/>
      <c r="I79" s="491"/>
      <c r="J79" s="491"/>
      <c r="K79" s="491"/>
    </row>
    <row r="80" spans="1:12" ht="21.75" thickBot="1" x14ac:dyDescent="0.4">
      <c r="A80" s="433" t="s">
        <v>10</v>
      </c>
      <c r="B80" s="433"/>
      <c r="C80" s="433"/>
      <c r="D80" s="433"/>
      <c r="E80" s="433"/>
      <c r="F80" s="433"/>
      <c r="G80" s="433"/>
      <c r="H80" s="433"/>
      <c r="I80" s="433"/>
      <c r="J80" s="433"/>
      <c r="K80" s="168"/>
    </row>
    <row r="81" spans="1:11" ht="15.75" thickBot="1" x14ac:dyDescent="0.3">
      <c r="A81" s="169" t="s">
        <v>58</v>
      </c>
      <c r="B81" s="170" t="s">
        <v>59</v>
      </c>
      <c r="C81" s="496" t="s">
        <v>33</v>
      </c>
      <c r="D81" s="497"/>
      <c r="E81" s="497"/>
      <c r="F81" s="497"/>
      <c r="G81" s="497"/>
      <c r="H81" s="497"/>
      <c r="I81" s="497"/>
      <c r="J81" s="498"/>
      <c r="K81" s="171" t="s">
        <v>4</v>
      </c>
    </row>
    <row r="82" spans="1:11" ht="15.75" thickBot="1" x14ac:dyDescent="0.3">
      <c r="A82" s="172" t="s">
        <v>757</v>
      </c>
      <c r="B82" s="173" t="s">
        <v>758</v>
      </c>
      <c r="C82" s="504" t="s">
        <v>759</v>
      </c>
      <c r="D82" s="505"/>
      <c r="E82" s="505"/>
      <c r="F82" s="505"/>
      <c r="G82" s="505"/>
      <c r="H82" s="505"/>
      <c r="I82" s="505"/>
      <c r="J82" s="528"/>
      <c r="K82" s="104">
        <v>190</v>
      </c>
    </row>
    <row r="83" spans="1:11" ht="15.75" thickBot="1" x14ac:dyDescent="0.3">
      <c r="A83" s="121" t="s">
        <v>118</v>
      </c>
      <c r="B83" s="173" t="s">
        <v>760</v>
      </c>
      <c r="C83" s="504" t="s">
        <v>761</v>
      </c>
      <c r="D83" s="505"/>
      <c r="E83" s="505"/>
      <c r="F83" s="505"/>
      <c r="G83" s="505"/>
      <c r="H83" s="505"/>
      <c r="I83" s="505"/>
      <c r="J83" s="528"/>
      <c r="K83" s="104">
        <v>10</v>
      </c>
    </row>
    <row r="84" spans="1:11" ht="15.75" thickBot="1" x14ac:dyDescent="0.3">
      <c r="A84" s="121"/>
      <c r="B84" s="173"/>
      <c r="C84" s="525"/>
      <c r="D84" s="526"/>
      <c r="E84" s="526"/>
      <c r="F84" s="526"/>
      <c r="G84" s="526"/>
      <c r="H84" s="526"/>
      <c r="I84" s="526"/>
      <c r="J84" s="527"/>
      <c r="K84" s="174"/>
    </row>
    <row r="85" spans="1:11" ht="15.75" thickBot="1" x14ac:dyDescent="0.3">
      <c r="A85" s="121"/>
      <c r="B85" s="173"/>
      <c r="C85" s="525"/>
      <c r="D85" s="526"/>
      <c r="E85" s="526"/>
      <c r="F85" s="526"/>
      <c r="G85" s="526"/>
      <c r="H85" s="526"/>
      <c r="I85" s="526"/>
      <c r="J85" s="527"/>
      <c r="K85" s="104"/>
    </row>
    <row r="86" spans="1:11" ht="15.75" thickBot="1" x14ac:dyDescent="0.3">
      <c r="A86" s="121"/>
      <c r="B86" s="173"/>
      <c r="C86" s="525"/>
      <c r="D86" s="526"/>
      <c r="E86" s="526"/>
      <c r="F86" s="526"/>
      <c r="G86" s="526"/>
      <c r="H86" s="526"/>
      <c r="I86" s="526"/>
      <c r="J86" s="527"/>
      <c r="K86" s="104"/>
    </row>
    <row r="87" spans="1:11" ht="15.75" thickBot="1" x14ac:dyDescent="0.3">
      <c r="A87" s="121"/>
      <c r="B87" s="173"/>
      <c r="C87" s="525"/>
      <c r="D87" s="526"/>
      <c r="E87" s="526"/>
      <c r="F87" s="526"/>
      <c r="G87" s="526"/>
      <c r="H87" s="526"/>
      <c r="I87" s="526"/>
      <c r="J87" s="527"/>
      <c r="K87" s="104"/>
    </row>
    <row r="88" spans="1:11" ht="15.75" thickBot="1" x14ac:dyDescent="0.3">
      <c r="A88" s="121"/>
      <c r="B88" s="173"/>
      <c r="C88" s="525"/>
      <c r="D88" s="526"/>
      <c r="E88" s="526"/>
      <c r="F88" s="526"/>
      <c r="G88" s="526"/>
      <c r="H88" s="526"/>
      <c r="I88" s="526"/>
      <c r="J88" s="527"/>
      <c r="K88" s="118"/>
    </row>
    <row r="89" spans="1:11" ht="15.75" thickBot="1" x14ac:dyDescent="0.3">
      <c r="A89" s="121"/>
      <c r="B89" s="173"/>
      <c r="C89" s="525"/>
      <c r="D89" s="526"/>
      <c r="E89" s="526"/>
      <c r="F89" s="526"/>
      <c r="G89" s="526"/>
      <c r="H89" s="526"/>
      <c r="I89" s="526"/>
      <c r="J89" s="527"/>
      <c r="K89" s="118"/>
    </row>
    <row r="90" spans="1:11" ht="15.75" thickBot="1" x14ac:dyDescent="0.3">
      <c r="A90" s="121"/>
      <c r="B90" s="173"/>
      <c r="C90" s="525"/>
      <c r="D90" s="526"/>
      <c r="E90" s="526"/>
      <c r="F90" s="526"/>
      <c r="G90" s="526"/>
      <c r="H90" s="526"/>
      <c r="I90" s="526"/>
      <c r="J90" s="527"/>
      <c r="K90" s="118"/>
    </row>
    <row r="91" spans="1:11" ht="15.75" thickBot="1" x14ac:dyDescent="0.3">
      <c r="A91" s="121"/>
      <c r="B91" s="173"/>
      <c r="C91" s="525"/>
      <c r="D91" s="526"/>
      <c r="E91" s="526"/>
      <c r="F91" s="526"/>
      <c r="G91" s="526"/>
      <c r="H91" s="526"/>
      <c r="I91" s="526"/>
      <c r="J91" s="527"/>
      <c r="K91" s="118"/>
    </row>
    <row r="92" spans="1:11" ht="19.5" thickBot="1" x14ac:dyDescent="0.35">
      <c r="A92" s="175" t="s">
        <v>60</v>
      </c>
      <c r="B92" s="492"/>
      <c r="C92" s="499"/>
      <c r="D92" s="499"/>
      <c r="E92" s="499"/>
      <c r="F92" s="499"/>
      <c r="G92" s="499"/>
      <c r="H92" s="499"/>
      <c r="I92" s="499"/>
      <c r="J92" s="441"/>
      <c r="K92" s="176">
        <f>SUM(K82:K91)</f>
        <v>200</v>
      </c>
    </row>
    <row r="93" spans="1:11" ht="18.75" x14ac:dyDescent="0.3">
      <c r="A93" s="2"/>
      <c r="B93" s="2"/>
      <c r="C93" s="177"/>
      <c r="D93" s="177"/>
      <c r="E93" s="177"/>
      <c r="F93" s="178"/>
      <c r="G93" s="177"/>
      <c r="H93" s="177"/>
      <c r="I93" s="177"/>
      <c r="J93" s="177"/>
      <c r="K93" s="111"/>
    </row>
    <row r="94" spans="1:11" ht="18.75" x14ac:dyDescent="0.3">
      <c r="A94" s="2"/>
      <c r="B94" s="2"/>
      <c r="C94" s="177"/>
      <c r="D94" s="177"/>
      <c r="E94" s="177"/>
      <c r="F94" s="178"/>
      <c r="G94" s="177"/>
      <c r="H94" s="177"/>
      <c r="I94" s="177"/>
      <c r="J94" s="177"/>
      <c r="K94" s="111"/>
    </row>
    <row r="95" spans="1:11" ht="18.75" x14ac:dyDescent="0.3">
      <c r="A95" s="139" t="s">
        <v>61</v>
      </c>
      <c r="B95" s="2"/>
      <c r="C95" s="84"/>
      <c r="D95" s="85"/>
      <c r="F95" s="85"/>
      <c r="K95" s="85"/>
    </row>
    <row r="96" spans="1:11" x14ac:dyDescent="0.25">
      <c r="A96" s="84" t="s">
        <v>62</v>
      </c>
      <c r="B96" s="144">
        <f>+K77</f>
        <v>2499.1999999999998</v>
      </c>
      <c r="C96" s="179"/>
      <c r="D96" s="85"/>
      <c r="F96" s="85"/>
      <c r="K96" s="85"/>
    </row>
    <row r="97" spans="1:11" ht="15.75" thickBot="1" x14ac:dyDescent="0.3">
      <c r="A97" s="84" t="s">
        <v>60</v>
      </c>
      <c r="B97" s="180">
        <f>+K92</f>
        <v>200</v>
      </c>
      <c r="C97" s="181"/>
      <c r="D97" s="85"/>
      <c r="F97" s="85"/>
      <c r="G97" s="182"/>
      <c r="H97" s="182"/>
      <c r="I97" s="183"/>
      <c r="J97" s="183"/>
      <c r="K97" s="183"/>
    </row>
    <row r="98" spans="1:11" ht="17.25" thickTop="1" thickBot="1" x14ac:dyDescent="0.3">
      <c r="A98" s="139" t="s">
        <v>8</v>
      </c>
      <c r="B98" s="184">
        <f>++B96-B97</f>
        <v>2299.1999999999998</v>
      </c>
      <c r="C98" s="185"/>
      <c r="D98" s="186"/>
      <c r="E98" s="41"/>
      <c r="F98" s="186"/>
      <c r="G98" s="187"/>
      <c r="H98" s="187"/>
      <c r="I98" s="85"/>
      <c r="J98" s="85"/>
    </row>
    <row r="99" spans="1:11" ht="15.75" thickTop="1" x14ac:dyDescent="0.25"/>
  </sheetData>
  <mergeCells count="18">
    <mergeCell ref="A1:K1"/>
    <mergeCell ref="A63:B63"/>
    <mergeCell ref="A77:B77"/>
    <mergeCell ref="A79:K79"/>
    <mergeCell ref="C81:J81"/>
    <mergeCell ref="A9:A10"/>
    <mergeCell ref="C89:J89"/>
    <mergeCell ref="C90:J90"/>
    <mergeCell ref="C91:J91"/>
    <mergeCell ref="B92:I92"/>
    <mergeCell ref="B9:B10"/>
    <mergeCell ref="C87:J87"/>
    <mergeCell ref="C88:J88"/>
    <mergeCell ref="C83:J83"/>
    <mergeCell ref="C84:J84"/>
    <mergeCell ref="C85:J85"/>
    <mergeCell ref="C86:J86"/>
    <mergeCell ref="C82:J82"/>
  </mergeCells>
  <phoneticPr fontId="15" type="noConversion"/>
  <pageMargins left="0.17" right="0.17" top="2.1800000000000002" bottom="0.17" header="0.17" footer="0.17"/>
  <pageSetup paperSize="9" scale="25"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2FB7-8C5A-4262-ADB3-72296A6B29FF}">
  <sheetPr>
    <pageSetUpPr fitToPage="1"/>
  </sheetPr>
  <dimension ref="A1:O112"/>
  <sheetViews>
    <sheetView topLeftCell="A13" workbookViewId="0">
      <selection activeCell="K68" activeCellId="8" sqref="K60 K61 K62 K63 K64 K65 K66 K67 K68"/>
    </sheetView>
  </sheetViews>
  <sheetFormatPr baseColWidth="10" defaultRowHeight="15" x14ac:dyDescent="0.25"/>
  <cols>
    <col min="1" max="1" width="32.85546875" bestFit="1" customWidth="1"/>
    <col min="2" max="2" width="15.42578125" bestFit="1" customWidth="1"/>
    <col min="4" max="4" width="13" bestFit="1" customWidth="1"/>
    <col min="6" max="6" width="13" bestFit="1" customWidth="1"/>
    <col min="11" max="11" width="14" bestFit="1" customWidth="1"/>
  </cols>
  <sheetData>
    <row r="1" spans="1:11" ht="21" x14ac:dyDescent="0.35">
      <c r="A1" s="491" t="s">
        <v>775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</row>
    <row r="2" spans="1:11" ht="15.75" thickBot="1" x14ac:dyDescent="0.3">
      <c r="A2" s="83"/>
      <c r="B2" s="84"/>
      <c r="C2" s="84"/>
      <c r="K2" s="85"/>
    </row>
    <row r="3" spans="1:11" ht="4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347" t="s">
        <v>489</v>
      </c>
      <c r="K3" s="87" t="s">
        <v>4</v>
      </c>
    </row>
    <row r="4" spans="1:11" ht="15.75" thickBot="1" x14ac:dyDescent="0.3">
      <c r="A4" s="88"/>
      <c r="B4" s="88"/>
      <c r="C4" s="89"/>
      <c r="D4" s="90"/>
      <c r="E4" s="90"/>
      <c r="F4" s="90"/>
      <c r="G4" s="90"/>
      <c r="H4" s="90"/>
      <c r="I4" s="90"/>
      <c r="J4" s="348"/>
      <c r="K4" s="87">
        <f>SUM(D4:J4)</f>
        <v>0</v>
      </c>
    </row>
    <row r="5" spans="1:11" ht="15.75" thickBot="1" x14ac:dyDescent="0.3">
      <c r="A5" s="88"/>
      <c r="B5" s="88"/>
      <c r="C5" s="89"/>
      <c r="D5" s="90"/>
      <c r="E5" s="90"/>
      <c r="F5" s="90"/>
      <c r="G5" s="90"/>
      <c r="H5" s="90"/>
      <c r="I5" s="90"/>
      <c r="J5" s="348"/>
      <c r="K5" s="87">
        <f t="shared" ref="K5:K30" si="0">SUM(D5:J5)</f>
        <v>0</v>
      </c>
    </row>
    <row r="6" spans="1:11" ht="15.75" thickBot="1" x14ac:dyDescent="0.3">
      <c r="A6" s="88" t="s">
        <v>785</v>
      </c>
      <c r="B6" s="88" t="s">
        <v>786</v>
      </c>
      <c r="C6" s="89">
        <v>46082</v>
      </c>
      <c r="D6" s="228"/>
      <c r="E6" s="228"/>
      <c r="F6" s="228">
        <v>150</v>
      </c>
      <c r="G6" s="228"/>
      <c r="H6" s="90"/>
      <c r="I6" s="90"/>
      <c r="J6" s="348"/>
      <c r="K6" s="87">
        <f t="shared" si="0"/>
        <v>150</v>
      </c>
    </row>
    <row r="7" spans="1:11" ht="15.75" thickBot="1" x14ac:dyDescent="0.3">
      <c r="A7" s="88"/>
      <c r="B7" s="88"/>
      <c r="C7" s="89"/>
      <c r="D7" s="228"/>
      <c r="E7" s="228"/>
      <c r="F7" s="228"/>
      <c r="G7" s="228"/>
      <c r="H7" s="90"/>
      <c r="I7" s="90"/>
      <c r="J7" s="348"/>
      <c r="K7" s="87">
        <f t="shared" si="0"/>
        <v>0</v>
      </c>
    </row>
    <row r="8" spans="1:11" ht="15.75" thickBot="1" x14ac:dyDescent="0.3">
      <c r="A8" s="88" t="s">
        <v>231</v>
      </c>
      <c r="B8" s="88" t="s">
        <v>780</v>
      </c>
      <c r="C8" s="89">
        <v>46082</v>
      </c>
      <c r="D8" s="228">
        <v>5.6</v>
      </c>
      <c r="E8" s="228">
        <v>6</v>
      </c>
      <c r="F8" s="228"/>
      <c r="G8" s="228"/>
      <c r="H8" s="90"/>
      <c r="I8" s="90"/>
      <c r="J8" s="348"/>
      <c r="K8" s="87">
        <f t="shared" si="0"/>
        <v>11.6</v>
      </c>
    </row>
    <row r="9" spans="1:11" ht="15.75" thickBot="1" x14ac:dyDescent="0.3">
      <c r="A9" s="88" t="s">
        <v>234</v>
      </c>
      <c r="B9" s="88" t="s">
        <v>781</v>
      </c>
      <c r="C9" s="89">
        <v>46082</v>
      </c>
      <c r="D9" s="228">
        <v>5.6</v>
      </c>
      <c r="E9" s="228">
        <v>6</v>
      </c>
      <c r="F9" s="228"/>
      <c r="G9" s="228"/>
      <c r="H9" s="90"/>
      <c r="I9" s="90"/>
      <c r="J9" s="348"/>
      <c r="K9" s="87">
        <f t="shared" si="0"/>
        <v>11.6</v>
      </c>
    </row>
    <row r="10" spans="1:11" ht="15.75" thickBot="1" x14ac:dyDescent="0.3">
      <c r="A10" s="88" t="s">
        <v>416</v>
      </c>
      <c r="B10" s="88" t="s">
        <v>782</v>
      </c>
      <c r="C10" s="89">
        <v>46082</v>
      </c>
      <c r="D10" s="228">
        <v>5.6</v>
      </c>
      <c r="E10" s="228">
        <v>6</v>
      </c>
      <c r="F10" s="228"/>
      <c r="G10" s="228"/>
      <c r="H10" s="90"/>
      <c r="I10" s="90"/>
      <c r="J10" s="348"/>
      <c r="K10" s="87">
        <f t="shared" si="0"/>
        <v>11.6</v>
      </c>
    </row>
    <row r="11" spans="1:11" ht="15.75" thickBot="1" x14ac:dyDescent="0.3">
      <c r="A11" s="88" t="s">
        <v>783</v>
      </c>
      <c r="B11" s="88" t="s">
        <v>784</v>
      </c>
      <c r="C11" s="89">
        <v>46082</v>
      </c>
      <c r="D11" s="228">
        <v>20.100000000000001</v>
      </c>
      <c r="E11" s="228">
        <v>6</v>
      </c>
      <c r="F11" s="228"/>
      <c r="G11" s="228"/>
      <c r="H11" s="90"/>
      <c r="I11" s="90"/>
      <c r="J11" s="348"/>
      <c r="K11" s="87">
        <f t="shared" si="0"/>
        <v>26.1</v>
      </c>
    </row>
    <row r="12" spans="1:11" ht="15.75" thickBot="1" x14ac:dyDescent="0.3">
      <c r="A12" s="510" t="s">
        <v>802</v>
      </c>
      <c r="B12" s="500" t="s">
        <v>803</v>
      </c>
      <c r="C12" s="103">
        <v>46023</v>
      </c>
      <c r="D12" s="227">
        <v>36</v>
      </c>
      <c r="E12" s="227">
        <v>8</v>
      </c>
      <c r="F12" s="227"/>
      <c r="G12" s="227"/>
      <c r="H12" s="90"/>
      <c r="I12" s="90"/>
      <c r="J12" s="348"/>
      <c r="K12" s="87">
        <f t="shared" si="0"/>
        <v>44</v>
      </c>
    </row>
    <row r="13" spans="1:11" ht="15.75" thickBot="1" x14ac:dyDescent="0.3">
      <c r="A13" s="511"/>
      <c r="B13" s="501"/>
      <c r="C13" s="103">
        <v>46082</v>
      </c>
      <c r="D13" s="227">
        <v>36</v>
      </c>
      <c r="E13" s="227">
        <v>15</v>
      </c>
      <c r="F13" s="227"/>
      <c r="G13" s="227"/>
      <c r="H13" s="90"/>
      <c r="I13" s="90"/>
      <c r="J13" s="348"/>
      <c r="K13" s="87">
        <f t="shared" si="0"/>
        <v>51</v>
      </c>
    </row>
    <row r="14" spans="1:11" ht="15.75" thickBot="1" x14ac:dyDescent="0.3">
      <c r="A14" s="510" t="s">
        <v>809</v>
      </c>
      <c r="B14" s="500" t="s">
        <v>810</v>
      </c>
      <c r="C14" s="103">
        <v>45992</v>
      </c>
      <c r="D14" s="227">
        <v>10</v>
      </c>
      <c r="E14" s="227">
        <v>5</v>
      </c>
      <c r="F14" s="227"/>
      <c r="G14" s="227"/>
      <c r="H14" s="90"/>
      <c r="I14" s="90"/>
      <c r="J14" s="348"/>
      <c r="K14" s="87">
        <f t="shared" si="0"/>
        <v>15</v>
      </c>
    </row>
    <row r="15" spans="1:11" ht="15.75" thickBot="1" x14ac:dyDescent="0.3">
      <c r="A15" s="535"/>
      <c r="B15" s="506"/>
      <c r="C15" s="103">
        <v>46023</v>
      </c>
      <c r="D15" s="227">
        <v>15</v>
      </c>
      <c r="E15" s="227">
        <v>3</v>
      </c>
      <c r="F15" s="227"/>
      <c r="G15" s="227"/>
      <c r="H15" s="90"/>
      <c r="I15" s="90"/>
      <c r="J15" s="348"/>
      <c r="K15" s="87">
        <f t="shared" si="0"/>
        <v>18</v>
      </c>
    </row>
    <row r="16" spans="1:11" ht="15.75" thickBot="1" x14ac:dyDescent="0.3">
      <c r="A16" s="511"/>
      <c r="B16" s="501"/>
      <c r="C16" s="103">
        <v>46054</v>
      </c>
      <c r="D16" s="227">
        <v>14.4</v>
      </c>
      <c r="E16" s="227">
        <v>6</v>
      </c>
      <c r="F16" s="227"/>
      <c r="G16" s="227"/>
      <c r="H16" s="90"/>
      <c r="I16" s="90"/>
      <c r="J16" s="348"/>
      <c r="K16" s="87">
        <f t="shared" si="0"/>
        <v>20.399999999999999</v>
      </c>
    </row>
    <row r="17" spans="1:11" ht="15.75" thickBot="1" x14ac:dyDescent="0.3">
      <c r="A17" s="445"/>
      <c r="B17" s="445"/>
      <c r="C17" s="103"/>
      <c r="D17" s="227"/>
      <c r="E17" s="227"/>
      <c r="F17" s="227"/>
      <c r="G17" s="227"/>
      <c r="H17" s="90"/>
      <c r="I17" s="90"/>
      <c r="J17" s="348"/>
      <c r="K17" s="87"/>
    </row>
    <row r="18" spans="1:11" ht="15.75" thickBot="1" x14ac:dyDescent="0.3">
      <c r="A18" s="453"/>
      <c r="B18" s="103"/>
      <c r="C18" s="103"/>
      <c r="D18" s="227"/>
      <c r="E18" s="227"/>
      <c r="F18" s="227"/>
      <c r="G18" s="227"/>
      <c r="H18" s="90"/>
      <c r="I18" s="90"/>
      <c r="J18" s="348"/>
      <c r="K18" s="87">
        <f t="shared" si="0"/>
        <v>0</v>
      </c>
    </row>
    <row r="19" spans="1:11" ht="15.75" thickBot="1" x14ac:dyDescent="0.3">
      <c r="A19" s="88" t="s">
        <v>211</v>
      </c>
      <c r="B19" s="88" t="s">
        <v>787</v>
      </c>
      <c r="C19" s="89">
        <v>46082</v>
      </c>
      <c r="D19" s="228"/>
      <c r="E19" s="228"/>
      <c r="F19" s="228">
        <v>220.4</v>
      </c>
      <c r="G19" s="228"/>
      <c r="H19" s="90"/>
      <c r="I19" s="90"/>
      <c r="J19" s="348"/>
      <c r="K19" s="87">
        <f t="shared" si="0"/>
        <v>220.4</v>
      </c>
    </row>
    <row r="20" spans="1:11" ht="15.75" thickBot="1" x14ac:dyDescent="0.3">
      <c r="A20" s="446" t="s">
        <v>208</v>
      </c>
      <c r="B20" s="88" t="s">
        <v>788</v>
      </c>
      <c r="C20" s="89">
        <v>46082</v>
      </c>
      <c r="D20" s="228"/>
      <c r="E20" s="228"/>
      <c r="F20" s="228">
        <v>220.4</v>
      </c>
      <c r="G20" s="228"/>
      <c r="H20" s="90"/>
      <c r="I20" s="90"/>
      <c r="J20" s="348"/>
      <c r="K20" s="87">
        <f t="shared" si="0"/>
        <v>220.4</v>
      </c>
    </row>
    <row r="21" spans="1:11" ht="15.75" thickBot="1" x14ac:dyDescent="0.3">
      <c r="A21" s="502" t="s">
        <v>411</v>
      </c>
      <c r="B21" s="500" t="s">
        <v>789</v>
      </c>
      <c r="C21" s="89">
        <v>46054</v>
      </c>
      <c r="D21" s="228"/>
      <c r="E21" s="228"/>
      <c r="F21" s="228">
        <v>300</v>
      </c>
      <c r="G21" s="228"/>
      <c r="H21" s="90"/>
      <c r="I21" s="93"/>
      <c r="J21" s="99"/>
      <c r="K21" s="87">
        <f t="shared" si="0"/>
        <v>300</v>
      </c>
    </row>
    <row r="22" spans="1:11" ht="15.75" thickBot="1" x14ac:dyDescent="0.3">
      <c r="A22" s="503"/>
      <c r="B22" s="501"/>
      <c r="C22" s="89">
        <v>46082</v>
      </c>
      <c r="D22" s="228"/>
      <c r="E22" s="228"/>
      <c r="F22" s="228">
        <v>500</v>
      </c>
      <c r="G22" s="228"/>
      <c r="H22" s="90"/>
      <c r="I22" s="90"/>
      <c r="J22" s="348"/>
      <c r="K22" s="87">
        <f t="shared" si="0"/>
        <v>500</v>
      </c>
    </row>
    <row r="23" spans="1:11" ht="15.75" thickBot="1" x14ac:dyDescent="0.3">
      <c r="A23" s="445" t="s">
        <v>409</v>
      </c>
      <c r="B23" s="444" t="s">
        <v>791</v>
      </c>
      <c r="C23" s="89">
        <v>46054</v>
      </c>
      <c r="D23" s="228"/>
      <c r="E23" s="228"/>
      <c r="F23" s="228">
        <v>100</v>
      </c>
      <c r="G23" s="228"/>
      <c r="H23" s="90"/>
      <c r="I23" s="90"/>
      <c r="J23" s="348"/>
      <c r="K23" s="87">
        <f t="shared" si="0"/>
        <v>100</v>
      </c>
    </row>
    <row r="24" spans="1:11" ht="30.75" thickBot="1" x14ac:dyDescent="0.3">
      <c r="A24" s="450" t="s">
        <v>218</v>
      </c>
      <c r="B24" s="444" t="s">
        <v>798</v>
      </c>
      <c r="C24" s="89">
        <v>46054</v>
      </c>
      <c r="D24" s="228"/>
      <c r="E24" s="228"/>
      <c r="F24" s="228">
        <v>300</v>
      </c>
      <c r="G24" s="228"/>
      <c r="H24" s="90"/>
      <c r="I24" s="90"/>
      <c r="J24" s="348"/>
      <c r="K24" s="87">
        <f t="shared" si="0"/>
        <v>300</v>
      </c>
    </row>
    <row r="25" spans="1:11" ht="15.75" thickBot="1" x14ac:dyDescent="0.3">
      <c r="A25" s="452" t="s">
        <v>796</v>
      </c>
      <c r="B25" s="88" t="s">
        <v>797</v>
      </c>
      <c r="C25" s="89">
        <v>46113</v>
      </c>
      <c r="D25" s="228"/>
      <c r="E25" s="228"/>
      <c r="F25" s="228">
        <v>550</v>
      </c>
      <c r="G25" s="228"/>
      <c r="H25" s="90"/>
      <c r="I25" s="90"/>
      <c r="J25" s="348"/>
      <c r="K25" s="87">
        <f t="shared" si="0"/>
        <v>550</v>
      </c>
    </row>
    <row r="26" spans="1:11" ht="30.75" thickBot="1" x14ac:dyDescent="0.3">
      <c r="A26" s="447" t="s">
        <v>263</v>
      </c>
      <c r="B26" s="447" t="s">
        <v>806</v>
      </c>
      <c r="C26" s="89">
        <v>46054</v>
      </c>
      <c r="D26" s="228"/>
      <c r="E26" s="228"/>
      <c r="F26" s="228">
        <v>100</v>
      </c>
      <c r="G26" s="228"/>
      <c r="H26" s="90"/>
      <c r="I26" s="90"/>
      <c r="J26" s="348"/>
      <c r="K26" s="87">
        <f t="shared" si="0"/>
        <v>100</v>
      </c>
    </row>
    <row r="27" spans="1:11" ht="15.75" thickBot="1" x14ac:dyDescent="0.3">
      <c r="A27" s="99" t="s">
        <v>292</v>
      </c>
      <c r="B27" s="447" t="s">
        <v>807</v>
      </c>
      <c r="C27" s="89">
        <v>46082</v>
      </c>
      <c r="D27" s="228"/>
      <c r="E27" s="228"/>
      <c r="F27" s="228">
        <v>60</v>
      </c>
      <c r="G27" s="228"/>
      <c r="H27" s="90"/>
      <c r="I27" s="90"/>
      <c r="J27" s="348"/>
      <c r="K27" s="87">
        <f t="shared" si="0"/>
        <v>60</v>
      </c>
    </row>
    <row r="28" spans="1:11" ht="15.75" thickBot="1" x14ac:dyDescent="0.3">
      <c r="A28" s="99" t="s">
        <v>38</v>
      </c>
      <c r="B28" s="447" t="s">
        <v>822</v>
      </c>
      <c r="C28" s="89">
        <v>46113</v>
      </c>
      <c r="D28" s="228"/>
      <c r="E28" s="228"/>
      <c r="F28" s="228"/>
      <c r="G28" s="228"/>
      <c r="H28" s="90">
        <v>59.5</v>
      </c>
      <c r="I28" s="90"/>
      <c r="J28" s="348"/>
      <c r="K28" s="87">
        <f t="shared" si="0"/>
        <v>59.5</v>
      </c>
    </row>
    <row r="29" spans="1:11" ht="15.75" thickBot="1" x14ac:dyDescent="0.3">
      <c r="A29" s="100"/>
      <c r="B29" s="447"/>
      <c r="C29" s="89"/>
      <c r="D29" s="228"/>
      <c r="E29" s="228"/>
      <c r="F29" s="228"/>
      <c r="G29" s="228"/>
      <c r="H29" s="90"/>
      <c r="I29" s="90"/>
      <c r="J29" s="348"/>
      <c r="K29" s="87">
        <f t="shared" si="0"/>
        <v>0</v>
      </c>
    </row>
    <row r="30" spans="1:11" ht="15.75" thickBot="1" x14ac:dyDescent="0.3">
      <c r="A30" s="453"/>
      <c r="B30" s="453"/>
      <c r="C30" s="89"/>
      <c r="D30" s="228"/>
      <c r="E30" s="228"/>
      <c r="F30" s="228"/>
      <c r="G30" s="228"/>
      <c r="H30" s="90"/>
      <c r="I30" s="90"/>
      <c r="J30" s="348"/>
      <c r="K30" s="87">
        <f t="shared" si="0"/>
        <v>0</v>
      </c>
    </row>
    <row r="31" spans="1:11" ht="15.75" thickBot="1" x14ac:dyDescent="0.3">
      <c r="A31" s="447"/>
      <c r="B31" s="451"/>
      <c r="C31" s="103"/>
      <c r="D31" s="104"/>
      <c r="E31" s="104"/>
      <c r="F31" s="104"/>
      <c r="G31" s="104"/>
      <c r="H31" s="104"/>
      <c r="I31" s="104"/>
      <c r="J31" s="349"/>
      <c r="K31" s="87">
        <f t="shared" ref="K31" si="1">SUM(D31:J31)</f>
        <v>0</v>
      </c>
    </row>
    <row r="32" spans="1:11" ht="19.5" thickBot="1" x14ac:dyDescent="0.35">
      <c r="A32" s="105" t="s">
        <v>4</v>
      </c>
      <c r="B32" s="86"/>
      <c r="C32" s="106"/>
      <c r="D32" s="108">
        <f t="shared" ref="D32:J32" si="2">SUM(D4:D31)</f>
        <v>148.30000000000001</v>
      </c>
      <c r="E32" s="108">
        <f t="shared" si="2"/>
        <v>61</v>
      </c>
      <c r="F32" s="108">
        <f t="shared" si="2"/>
        <v>2500.8000000000002</v>
      </c>
      <c r="G32" s="108">
        <f t="shared" si="2"/>
        <v>0</v>
      </c>
      <c r="H32" s="108">
        <f t="shared" si="2"/>
        <v>59.5</v>
      </c>
      <c r="I32" s="108">
        <f t="shared" si="2"/>
        <v>0</v>
      </c>
      <c r="J32" s="108">
        <f t="shared" si="2"/>
        <v>0</v>
      </c>
      <c r="K32" s="108">
        <f>SUM(K4:K31)</f>
        <v>2769.6</v>
      </c>
    </row>
    <row r="33" spans="1:14" ht="19.5" thickBot="1" x14ac:dyDescent="0.35">
      <c r="A33" s="2"/>
      <c r="B33" s="109"/>
      <c r="C33" s="110"/>
      <c r="D33" s="111"/>
      <c r="E33" s="111"/>
      <c r="F33" s="111"/>
      <c r="G33" s="111"/>
      <c r="H33" s="111"/>
      <c r="I33" s="111"/>
      <c r="J33" s="111"/>
      <c r="K33" s="111"/>
    </row>
    <row r="34" spans="1:14" ht="24" thickBot="1" x14ac:dyDescent="0.4">
      <c r="A34" s="112" t="s">
        <v>40</v>
      </c>
      <c r="B34" s="109"/>
      <c r="C34" s="110"/>
      <c r="D34" s="111"/>
      <c r="E34" s="111"/>
      <c r="F34" s="111"/>
      <c r="G34" s="111"/>
      <c r="H34" s="111"/>
      <c r="I34" s="111"/>
      <c r="J34" s="111"/>
      <c r="K34" s="111"/>
    </row>
    <row r="35" spans="1:14" ht="15.75" thickBot="1" x14ac:dyDescent="0.3">
      <c r="A35" s="113" t="s">
        <v>3</v>
      </c>
      <c r="B35" s="86" t="s">
        <v>32</v>
      </c>
      <c r="C35" s="114" t="s">
        <v>41</v>
      </c>
      <c r="D35" s="114" t="s">
        <v>34</v>
      </c>
      <c r="E35" s="114" t="s">
        <v>35</v>
      </c>
      <c r="F35" s="86" t="s">
        <v>36</v>
      </c>
      <c r="G35" s="86" t="s">
        <v>37</v>
      </c>
      <c r="H35" s="86" t="s">
        <v>42</v>
      </c>
      <c r="I35" s="86" t="s">
        <v>39</v>
      </c>
      <c r="J35" s="86"/>
      <c r="K35" s="115" t="s">
        <v>4</v>
      </c>
    </row>
    <row r="36" spans="1:14" ht="30.75" customHeight="1" thickBot="1" x14ac:dyDescent="0.3">
      <c r="A36" s="510" t="s">
        <v>80</v>
      </c>
      <c r="B36" s="500" t="s">
        <v>790</v>
      </c>
      <c r="C36" s="89">
        <v>46054</v>
      </c>
      <c r="D36" s="116"/>
      <c r="E36" s="117"/>
      <c r="F36" s="116">
        <v>150</v>
      </c>
      <c r="G36" s="116"/>
      <c r="H36" s="118"/>
      <c r="I36" s="118"/>
      <c r="J36" s="118"/>
      <c r="K36" s="119">
        <f>SUM(D36:I36)</f>
        <v>150</v>
      </c>
    </row>
    <row r="37" spans="1:14" ht="15.75" thickBot="1" x14ac:dyDescent="0.3">
      <c r="A37" s="511"/>
      <c r="B37" s="501"/>
      <c r="C37" s="89">
        <v>46082</v>
      </c>
      <c r="D37" s="116"/>
      <c r="E37" s="117"/>
      <c r="F37" s="116">
        <v>50</v>
      </c>
      <c r="G37" s="116"/>
      <c r="H37" s="118"/>
      <c r="I37" s="118"/>
      <c r="J37" s="118"/>
      <c r="K37" s="119">
        <f t="shared" ref="K37:K45" si="3">SUM(D37:I37)</f>
        <v>50</v>
      </c>
    </row>
    <row r="38" spans="1:14" ht="30.75" thickBot="1" x14ac:dyDescent="0.3">
      <c r="A38" s="466" t="s">
        <v>800</v>
      </c>
      <c r="B38" s="449" t="s">
        <v>801</v>
      </c>
      <c r="C38" s="89">
        <v>46113</v>
      </c>
      <c r="D38" s="116"/>
      <c r="E38" s="117"/>
      <c r="F38" s="116"/>
      <c r="G38" s="116">
        <v>60</v>
      </c>
      <c r="H38" s="118"/>
      <c r="I38" s="118"/>
      <c r="J38" s="118"/>
      <c r="K38" s="119">
        <f t="shared" si="3"/>
        <v>60</v>
      </c>
    </row>
    <row r="39" spans="1:14" ht="15.75" thickBot="1" x14ac:dyDescent="0.3">
      <c r="A39" s="258" t="s">
        <v>292</v>
      </c>
      <c r="B39" s="88" t="s">
        <v>808</v>
      </c>
      <c r="C39" s="89">
        <v>46082</v>
      </c>
      <c r="D39" s="116"/>
      <c r="E39" s="117"/>
      <c r="F39" s="116">
        <v>40</v>
      </c>
      <c r="G39" s="116"/>
      <c r="H39" s="118"/>
      <c r="I39" s="118"/>
      <c r="J39" s="118"/>
      <c r="K39" s="119">
        <f t="shared" si="3"/>
        <v>40</v>
      </c>
    </row>
    <row r="40" spans="1:14" ht="30.75" thickBot="1" x14ac:dyDescent="0.3">
      <c r="A40" s="258" t="s">
        <v>823</v>
      </c>
      <c r="B40" s="444" t="s">
        <v>824</v>
      </c>
      <c r="C40" s="89">
        <v>46054</v>
      </c>
      <c r="D40" s="116"/>
      <c r="E40" s="117"/>
      <c r="F40" s="116">
        <v>100</v>
      </c>
      <c r="G40" s="116"/>
      <c r="H40" s="118"/>
      <c r="I40" s="118"/>
      <c r="J40" s="118"/>
      <c r="K40" s="119">
        <f t="shared" si="3"/>
        <v>100</v>
      </c>
    </row>
    <row r="41" spans="1:14" ht="15.75" thickBot="1" x14ac:dyDescent="0.3">
      <c r="A41" s="258"/>
      <c r="B41" s="444"/>
      <c r="C41" s="89"/>
      <c r="D41" s="116"/>
      <c r="E41" s="117"/>
      <c r="F41" s="116"/>
      <c r="G41" s="116"/>
      <c r="H41" s="118"/>
      <c r="I41" s="118"/>
      <c r="J41" s="118"/>
      <c r="K41" s="119"/>
    </row>
    <row r="42" spans="1:14" ht="30.75" thickBot="1" x14ac:dyDescent="0.3">
      <c r="A42" s="188" t="s">
        <v>218</v>
      </c>
      <c r="B42" s="447" t="s">
        <v>799</v>
      </c>
      <c r="C42" s="89">
        <v>46082</v>
      </c>
      <c r="D42" s="120">
        <v>50.5</v>
      </c>
      <c r="E42" s="120">
        <v>6</v>
      </c>
      <c r="F42" s="120"/>
      <c r="G42" s="120"/>
      <c r="H42" s="90"/>
      <c r="I42" s="90"/>
      <c r="J42" s="90"/>
      <c r="K42" s="119">
        <f t="shared" si="3"/>
        <v>56.5</v>
      </c>
    </row>
    <row r="43" spans="1:14" ht="15.75" thickBot="1" x14ac:dyDescent="0.3">
      <c r="A43" s="467"/>
      <c r="B43" s="447"/>
      <c r="C43" s="89"/>
      <c r="D43" s="120"/>
      <c r="E43" s="120"/>
      <c r="F43" s="120"/>
      <c r="G43" s="120"/>
      <c r="H43" s="90"/>
      <c r="I43" s="90"/>
      <c r="J43" s="90"/>
      <c r="K43" s="119">
        <f t="shared" si="3"/>
        <v>0</v>
      </c>
    </row>
    <row r="44" spans="1:14" ht="15.75" thickBot="1" x14ac:dyDescent="0.3">
      <c r="A44" s="188"/>
      <c r="B44" s="447"/>
      <c r="C44" s="89"/>
      <c r="D44" s="120"/>
      <c r="E44" s="120"/>
      <c r="F44" s="120"/>
      <c r="G44" s="120"/>
      <c r="H44" s="90"/>
      <c r="I44" s="90"/>
      <c r="J44" s="90"/>
      <c r="K44" s="119">
        <f t="shared" si="3"/>
        <v>0</v>
      </c>
    </row>
    <row r="45" spans="1:14" ht="15.75" thickBot="1" x14ac:dyDescent="0.3">
      <c r="A45" s="290"/>
      <c r="B45" s="121"/>
      <c r="C45" s="89"/>
      <c r="D45" s="120"/>
      <c r="E45" s="120"/>
      <c r="F45" s="120"/>
      <c r="G45" s="120"/>
      <c r="H45" s="90"/>
      <c r="I45" s="90"/>
      <c r="J45" s="90"/>
      <c r="K45" s="119">
        <f t="shared" si="3"/>
        <v>0</v>
      </c>
      <c r="M45" s="122" t="s">
        <v>43</v>
      </c>
      <c r="N45" s="123">
        <f>K46+K54</f>
        <v>456.5</v>
      </c>
    </row>
    <row r="46" spans="1:14" ht="15.75" thickBot="1" x14ac:dyDescent="0.3">
      <c r="A46" s="86" t="s">
        <v>4</v>
      </c>
      <c r="B46" s="454"/>
      <c r="C46" s="125"/>
      <c r="D46" s="116">
        <f t="shared" ref="D46:K46" si="4">SUM(D36:D45)</f>
        <v>50.5</v>
      </c>
      <c r="E46" s="116">
        <f t="shared" si="4"/>
        <v>6</v>
      </c>
      <c r="F46" s="116">
        <f t="shared" si="4"/>
        <v>340</v>
      </c>
      <c r="G46" s="116">
        <f t="shared" si="4"/>
        <v>60</v>
      </c>
      <c r="H46" s="116">
        <f t="shared" si="4"/>
        <v>0</v>
      </c>
      <c r="I46" s="116">
        <f t="shared" si="4"/>
        <v>0</v>
      </c>
      <c r="J46" s="116">
        <f t="shared" si="4"/>
        <v>0</v>
      </c>
      <c r="K46" s="94">
        <f t="shared" si="4"/>
        <v>456.5</v>
      </c>
    </row>
    <row r="47" spans="1:14" ht="15.75" thickBot="1" x14ac:dyDescent="0.3">
      <c r="A47" s="109"/>
      <c r="B47" s="127"/>
      <c r="C47" s="128"/>
      <c r="D47" s="129"/>
      <c r="E47" s="129"/>
      <c r="F47" s="129"/>
      <c r="G47" s="129"/>
      <c r="H47" s="129"/>
      <c r="I47" s="129"/>
      <c r="J47" s="129"/>
      <c r="K47" s="130"/>
    </row>
    <row r="48" spans="1:14" ht="24" thickBot="1" x14ac:dyDescent="0.4">
      <c r="A48" s="112" t="s">
        <v>40</v>
      </c>
      <c r="B48" s="109"/>
      <c r="C48" s="110"/>
      <c r="D48" s="111"/>
      <c r="E48" s="111"/>
      <c r="F48" s="111"/>
      <c r="G48" s="111"/>
      <c r="H48" s="111"/>
      <c r="I48" s="111"/>
      <c r="J48" s="111"/>
      <c r="K48" s="111"/>
    </row>
    <row r="49" spans="1:14" ht="45.75" thickBot="1" x14ac:dyDescent="0.3">
      <c r="A49" s="131" t="s">
        <v>44</v>
      </c>
      <c r="B49" s="86" t="s">
        <v>45</v>
      </c>
      <c r="C49" s="114" t="s">
        <v>41</v>
      </c>
      <c r="D49" s="114" t="s">
        <v>34</v>
      </c>
      <c r="E49" s="114" t="s">
        <v>35</v>
      </c>
      <c r="F49" s="114" t="s">
        <v>46</v>
      </c>
      <c r="G49" s="114" t="s">
        <v>47</v>
      </c>
      <c r="H49" s="114" t="s">
        <v>42</v>
      </c>
      <c r="I49" s="132" t="s">
        <v>48</v>
      </c>
      <c r="J49" s="86"/>
      <c r="K49" s="115" t="s">
        <v>4</v>
      </c>
    </row>
    <row r="50" spans="1:14" ht="15.75" thickBot="1" x14ac:dyDescent="0.3">
      <c r="A50" s="133"/>
      <c r="B50" s="99"/>
      <c r="C50" s="89"/>
      <c r="D50" s="90"/>
      <c r="E50" s="90"/>
      <c r="F50" s="90"/>
      <c r="G50" s="90"/>
      <c r="H50" s="90"/>
      <c r="I50" s="90"/>
      <c r="J50" s="348"/>
      <c r="K50" s="87">
        <f t="shared" ref="K50:K53" si="5">SUM(D50:I50)</f>
        <v>0</v>
      </c>
    </row>
    <row r="51" spans="1:14" ht="15.75" thickBot="1" x14ac:dyDescent="0.3">
      <c r="A51" s="95"/>
      <c r="B51" s="103"/>
      <c r="C51" s="89"/>
      <c r="D51" s="116"/>
      <c r="E51" s="116"/>
      <c r="F51" s="116"/>
      <c r="G51" s="116"/>
      <c r="H51" s="118"/>
      <c r="I51" s="118"/>
      <c r="J51" s="118"/>
      <c r="K51" s="119">
        <f t="shared" si="5"/>
        <v>0</v>
      </c>
    </row>
    <row r="52" spans="1:14" ht="15.75" thickBot="1" x14ac:dyDescent="0.3">
      <c r="A52" s="453"/>
      <c r="B52" s="447"/>
      <c r="C52" s="89"/>
      <c r="D52" s="120"/>
      <c r="E52" s="120"/>
      <c r="F52" s="120"/>
      <c r="G52" s="120"/>
      <c r="H52" s="90"/>
      <c r="I52" s="90"/>
      <c r="J52" s="90"/>
      <c r="K52" s="119">
        <f t="shared" si="5"/>
        <v>0</v>
      </c>
    </row>
    <row r="53" spans="1:14" ht="15.75" thickBot="1" x14ac:dyDescent="0.3">
      <c r="A53" s="86"/>
      <c r="B53" s="121"/>
      <c r="C53" s="89"/>
      <c r="D53" s="120"/>
      <c r="E53" s="120"/>
      <c r="F53" s="120"/>
      <c r="G53" s="120"/>
      <c r="H53" s="90"/>
      <c r="I53" s="90"/>
      <c r="J53" s="90"/>
      <c r="K53" s="119">
        <f t="shared" si="5"/>
        <v>0</v>
      </c>
      <c r="M53" s="134"/>
      <c r="N53" s="135"/>
    </row>
    <row r="54" spans="1:14" ht="15.75" thickBot="1" x14ac:dyDescent="0.3">
      <c r="A54" s="86" t="s">
        <v>4</v>
      </c>
      <c r="B54" s="454"/>
      <c r="C54" s="125"/>
      <c r="D54" s="116">
        <f>SUM(D50:D53)</f>
        <v>0</v>
      </c>
      <c r="E54" s="116">
        <f t="shared" ref="E54:J54" si="6">SUM(E50:E53)</f>
        <v>0</v>
      </c>
      <c r="F54" s="116">
        <f t="shared" si="6"/>
        <v>0</v>
      </c>
      <c r="G54" s="116">
        <f t="shared" si="6"/>
        <v>0</v>
      </c>
      <c r="H54" s="116">
        <f t="shared" si="6"/>
        <v>0</v>
      </c>
      <c r="I54" s="116">
        <f t="shared" si="6"/>
        <v>0</v>
      </c>
      <c r="J54" s="116">
        <f t="shared" si="6"/>
        <v>0</v>
      </c>
      <c r="K54" s="94">
        <f>SUM(K50:K53)</f>
        <v>0</v>
      </c>
    </row>
    <row r="55" spans="1:14" x14ac:dyDescent="0.25">
      <c r="A55" s="109"/>
      <c r="B55" s="127"/>
      <c r="C55" s="128"/>
      <c r="D55" s="129"/>
      <c r="E55" s="129"/>
      <c r="F55" s="129"/>
      <c r="G55" s="129"/>
      <c r="H55" s="129"/>
      <c r="I55" s="129"/>
      <c r="J55" s="129"/>
      <c r="K55" s="130"/>
    </row>
    <row r="56" spans="1:14" x14ac:dyDescent="0.25">
      <c r="A56" s="109"/>
      <c r="B56" s="127"/>
      <c r="C56" s="128"/>
      <c r="D56" s="129"/>
      <c r="E56" s="129"/>
      <c r="F56" s="129"/>
      <c r="G56" s="129"/>
      <c r="H56" s="129"/>
      <c r="I56" s="129"/>
      <c r="J56" s="129"/>
      <c r="K56" s="130"/>
    </row>
    <row r="57" spans="1:14" ht="15.75" thickBot="1" x14ac:dyDescent="0.3">
      <c r="A57" s="84"/>
      <c r="B57" s="84"/>
      <c r="C57" s="84"/>
      <c r="K57" s="85"/>
    </row>
    <row r="58" spans="1:14" ht="45.75" thickBot="1" x14ac:dyDescent="0.3">
      <c r="A58" s="114" t="s">
        <v>49</v>
      </c>
      <c r="B58" s="86" t="s">
        <v>45</v>
      </c>
      <c r="C58" s="114" t="s">
        <v>41</v>
      </c>
      <c r="D58" s="114" t="s">
        <v>34</v>
      </c>
      <c r="E58" s="114" t="s">
        <v>35</v>
      </c>
      <c r="F58" s="114" t="s">
        <v>46</v>
      </c>
      <c r="G58" s="114" t="s">
        <v>47</v>
      </c>
      <c r="H58" s="86" t="s">
        <v>48</v>
      </c>
      <c r="I58" s="132" t="s">
        <v>42</v>
      </c>
      <c r="J58" s="86" t="s">
        <v>497</v>
      </c>
      <c r="K58" s="115" t="s">
        <v>4</v>
      </c>
    </row>
    <row r="59" spans="1:14" ht="15.75" thickBot="1" x14ac:dyDescent="0.3">
      <c r="A59" s="103" t="s">
        <v>769</v>
      </c>
      <c r="B59" s="103" t="s">
        <v>770</v>
      </c>
      <c r="C59" s="417">
        <v>46082</v>
      </c>
      <c r="D59" s="118">
        <v>39.5</v>
      </c>
      <c r="E59" s="118">
        <v>6</v>
      </c>
      <c r="F59" s="118"/>
      <c r="G59" s="118"/>
      <c r="H59" s="118"/>
      <c r="I59" s="118"/>
      <c r="J59" s="118"/>
      <c r="K59" s="119">
        <f t="shared" ref="K59:K72" si="7">SUM(D59:J59)</f>
        <v>45.5</v>
      </c>
    </row>
    <row r="60" spans="1:14" ht="15.75" thickBot="1" x14ac:dyDescent="0.3">
      <c r="A60" s="103" t="s">
        <v>771</v>
      </c>
      <c r="B60" s="103" t="s">
        <v>772</v>
      </c>
      <c r="C60" s="417">
        <v>46082</v>
      </c>
      <c r="D60" s="118">
        <v>114.3</v>
      </c>
      <c r="E60" s="118">
        <v>211.4</v>
      </c>
      <c r="F60" s="118">
        <v>60</v>
      </c>
      <c r="G60" s="118">
        <v>5</v>
      </c>
      <c r="H60" s="118"/>
      <c r="I60" s="118"/>
      <c r="J60" s="118"/>
      <c r="K60" s="119">
        <f t="shared" si="7"/>
        <v>390.7</v>
      </c>
    </row>
    <row r="61" spans="1:14" ht="15.75" thickBot="1" x14ac:dyDescent="0.3">
      <c r="A61" s="103" t="s">
        <v>774</v>
      </c>
      <c r="B61" s="103" t="s">
        <v>773</v>
      </c>
      <c r="C61" s="417">
        <v>46082</v>
      </c>
      <c r="D61" s="118">
        <v>81</v>
      </c>
      <c r="E61" s="118">
        <v>187.6</v>
      </c>
      <c r="F61" s="118">
        <v>60</v>
      </c>
      <c r="G61" s="118">
        <v>5</v>
      </c>
      <c r="H61" s="118"/>
      <c r="I61" s="118"/>
      <c r="J61" s="118"/>
      <c r="K61" s="119">
        <f t="shared" si="7"/>
        <v>333.6</v>
      </c>
    </row>
    <row r="62" spans="1:14" ht="15.75" thickBot="1" x14ac:dyDescent="0.3">
      <c r="A62" s="103" t="s">
        <v>776</v>
      </c>
      <c r="B62" s="103" t="s">
        <v>777</v>
      </c>
      <c r="C62" s="417">
        <v>46082</v>
      </c>
      <c r="D62" s="118">
        <v>34.200000000000003</v>
      </c>
      <c r="E62" s="118">
        <v>6</v>
      </c>
      <c r="F62" s="118">
        <v>200</v>
      </c>
      <c r="G62" s="118"/>
      <c r="H62" s="118"/>
      <c r="I62" s="118"/>
      <c r="J62" s="118"/>
      <c r="K62" s="119">
        <f t="shared" si="7"/>
        <v>240.2</v>
      </c>
    </row>
    <row r="63" spans="1:14" ht="15.75" thickBot="1" x14ac:dyDescent="0.3">
      <c r="A63" s="103" t="s">
        <v>778</v>
      </c>
      <c r="B63" s="103" t="s">
        <v>779</v>
      </c>
      <c r="C63" s="417">
        <v>46082</v>
      </c>
      <c r="D63" s="118">
        <v>708.2</v>
      </c>
      <c r="E63" s="118">
        <v>34.4</v>
      </c>
      <c r="F63" s="118"/>
      <c r="G63" s="118"/>
      <c r="H63" s="118"/>
      <c r="I63" s="118"/>
      <c r="J63" s="118"/>
      <c r="K63" s="119">
        <f t="shared" si="7"/>
        <v>742.6</v>
      </c>
    </row>
    <row r="64" spans="1:14" ht="15.75" thickBot="1" x14ac:dyDescent="0.3">
      <c r="A64" s="447" t="s">
        <v>792</v>
      </c>
      <c r="B64" s="103" t="s">
        <v>793</v>
      </c>
      <c r="C64" s="417">
        <v>46082</v>
      </c>
      <c r="D64" s="118">
        <v>10.9</v>
      </c>
      <c r="E64" s="118">
        <v>24.9</v>
      </c>
      <c r="F64" s="118"/>
      <c r="G64" s="118"/>
      <c r="H64" s="118"/>
      <c r="I64" s="118"/>
      <c r="J64" s="118"/>
      <c r="K64" s="119">
        <f t="shared" si="7"/>
        <v>35.799999999999997</v>
      </c>
    </row>
    <row r="65" spans="1:11" ht="15.75" thickBot="1" x14ac:dyDescent="0.3">
      <c r="A65" s="447" t="s">
        <v>795</v>
      </c>
      <c r="B65" s="103" t="s">
        <v>794</v>
      </c>
      <c r="C65" s="417">
        <v>46082</v>
      </c>
      <c r="D65" s="118"/>
      <c r="E65" s="118"/>
      <c r="F65" s="118"/>
      <c r="G65" s="118"/>
      <c r="H65" s="118"/>
      <c r="I65" s="118">
        <v>200</v>
      </c>
      <c r="J65" s="118"/>
      <c r="K65" s="119">
        <f t="shared" si="7"/>
        <v>200</v>
      </c>
    </row>
    <row r="66" spans="1:11" ht="15.75" thickBot="1" x14ac:dyDescent="0.3">
      <c r="A66" s="447" t="s">
        <v>89</v>
      </c>
      <c r="B66" s="103" t="s">
        <v>811</v>
      </c>
      <c r="C66" s="417">
        <v>46082</v>
      </c>
      <c r="D66" s="118">
        <v>50.5</v>
      </c>
      <c r="E66" s="118">
        <v>6</v>
      </c>
      <c r="F66" s="118">
        <v>52</v>
      </c>
      <c r="G66" s="118">
        <v>5</v>
      </c>
      <c r="H66" s="118"/>
      <c r="I66" s="118"/>
      <c r="J66" s="118"/>
      <c r="K66" s="119">
        <f t="shared" si="7"/>
        <v>113.5</v>
      </c>
    </row>
    <row r="67" spans="1:11" ht="15.75" thickBot="1" x14ac:dyDescent="0.3">
      <c r="A67" s="447" t="s">
        <v>813</v>
      </c>
      <c r="B67" s="103" t="s">
        <v>812</v>
      </c>
      <c r="C67" s="417">
        <v>46082</v>
      </c>
      <c r="D67" s="118">
        <v>108.8</v>
      </c>
      <c r="E67" s="118">
        <v>6</v>
      </c>
      <c r="F67" s="118">
        <v>60</v>
      </c>
      <c r="G67" s="118">
        <v>5</v>
      </c>
      <c r="H67" s="118"/>
      <c r="I67" s="118"/>
      <c r="J67" s="118"/>
      <c r="K67" s="119">
        <f t="shared" si="7"/>
        <v>179.8</v>
      </c>
    </row>
    <row r="68" spans="1:11" ht="15.75" thickBot="1" x14ac:dyDescent="0.3">
      <c r="A68" s="447" t="s">
        <v>814</v>
      </c>
      <c r="B68" s="103" t="s">
        <v>815</v>
      </c>
      <c r="C68" s="417">
        <v>46082</v>
      </c>
      <c r="D68" s="118">
        <v>25.6</v>
      </c>
      <c r="E68" s="118">
        <v>6</v>
      </c>
      <c r="F68" s="118">
        <v>60</v>
      </c>
      <c r="G68" s="118">
        <v>5</v>
      </c>
      <c r="H68" s="118"/>
      <c r="I68" s="118"/>
      <c r="J68" s="118"/>
      <c r="K68" s="119">
        <f t="shared" si="7"/>
        <v>96.6</v>
      </c>
    </row>
    <row r="69" spans="1:11" ht="15.75" thickBot="1" x14ac:dyDescent="0.3">
      <c r="A69" s="137"/>
      <c r="B69" s="103"/>
      <c r="C69" s="103"/>
      <c r="D69" s="118"/>
      <c r="E69" s="118"/>
      <c r="F69" s="118"/>
      <c r="G69" s="118"/>
      <c r="H69" s="118"/>
      <c r="I69" s="118"/>
      <c r="J69" s="118"/>
      <c r="K69" s="119">
        <f t="shared" si="7"/>
        <v>0</v>
      </c>
    </row>
    <row r="70" spans="1:11" ht="15.75" thickBot="1" x14ac:dyDescent="0.3">
      <c r="A70" s="121"/>
      <c r="B70" s="103"/>
      <c r="C70" s="103"/>
      <c r="D70" s="118"/>
      <c r="F70" s="118"/>
      <c r="G70" s="118"/>
      <c r="H70" s="118"/>
      <c r="I70" s="118"/>
      <c r="J70" s="118"/>
      <c r="K70" s="119">
        <f t="shared" si="7"/>
        <v>0</v>
      </c>
    </row>
    <row r="71" spans="1:11" ht="15.75" thickBot="1" x14ac:dyDescent="0.3">
      <c r="A71" s="121"/>
      <c r="B71" s="103"/>
      <c r="C71" s="103"/>
      <c r="D71" s="118"/>
      <c r="E71" s="118"/>
      <c r="F71" s="118"/>
      <c r="G71" s="118"/>
      <c r="H71" s="118"/>
      <c r="I71" s="118"/>
      <c r="J71" s="118"/>
      <c r="K71" s="119">
        <f t="shared" si="7"/>
        <v>0</v>
      </c>
    </row>
    <row r="72" spans="1:11" ht="15.75" thickBot="1" x14ac:dyDescent="0.3">
      <c r="A72" s="121"/>
      <c r="B72" s="103"/>
      <c r="C72" s="103"/>
      <c r="D72" s="138"/>
      <c r="E72" s="138"/>
      <c r="F72" s="138"/>
      <c r="G72" s="138"/>
      <c r="H72" s="138"/>
      <c r="I72" s="138"/>
      <c r="J72" s="138"/>
      <c r="K72" s="119">
        <f t="shared" si="7"/>
        <v>0</v>
      </c>
    </row>
    <row r="73" spans="1:11" ht="19.5" thickBot="1" x14ac:dyDescent="0.35">
      <c r="A73" s="105" t="s">
        <v>4</v>
      </c>
      <c r="B73" s="86"/>
      <c r="C73" s="106"/>
      <c r="D73" s="107">
        <f t="shared" ref="D73:K73" si="8">SUM(D59:D72)</f>
        <v>1172.9999999999998</v>
      </c>
      <c r="E73" s="107">
        <f t="shared" si="8"/>
        <v>488.29999999999995</v>
      </c>
      <c r="F73" s="107">
        <f t="shared" si="8"/>
        <v>492</v>
      </c>
      <c r="G73" s="107">
        <f t="shared" si="8"/>
        <v>25</v>
      </c>
      <c r="H73" s="107">
        <f t="shared" si="8"/>
        <v>0</v>
      </c>
      <c r="I73" s="107">
        <f t="shared" si="8"/>
        <v>200</v>
      </c>
      <c r="J73" s="107"/>
      <c r="K73" s="107">
        <f t="shared" si="8"/>
        <v>2378.2999999999997</v>
      </c>
    </row>
    <row r="74" spans="1:11" ht="15.75" x14ac:dyDescent="0.25">
      <c r="A74" s="139"/>
      <c r="B74" s="139"/>
      <c r="C74" s="140"/>
      <c r="D74" s="141"/>
      <c r="E74" s="141"/>
      <c r="F74" s="141"/>
      <c r="G74" s="141"/>
      <c r="H74" s="141"/>
      <c r="I74" s="141"/>
      <c r="J74" s="141"/>
      <c r="K74" s="141"/>
    </row>
    <row r="75" spans="1:11" ht="16.5" thickBot="1" x14ac:dyDescent="0.3">
      <c r="A75" s="139"/>
      <c r="B75" s="139"/>
      <c r="C75" s="140"/>
      <c r="D75" s="141"/>
      <c r="E75" s="141"/>
      <c r="F75" s="141"/>
      <c r="G75" s="141"/>
      <c r="H75" s="141"/>
      <c r="I75" s="141"/>
      <c r="J75" s="141"/>
      <c r="K75" s="141"/>
    </row>
    <row r="76" spans="1:11" ht="19.5" thickBot="1" x14ac:dyDescent="0.35">
      <c r="A76" s="492" t="s">
        <v>50</v>
      </c>
      <c r="B76" s="493"/>
      <c r="C76" s="142"/>
      <c r="D76" s="143"/>
      <c r="E76" s="143"/>
      <c r="F76" s="143"/>
      <c r="G76" s="143"/>
      <c r="H76" s="143"/>
      <c r="I76" s="143"/>
      <c r="J76" s="143"/>
      <c r="K76" s="108">
        <f>+K32+K73</f>
        <v>5147.8999999999996</v>
      </c>
    </row>
    <row r="77" spans="1:11" x14ac:dyDescent="0.25">
      <c r="A77" s="84"/>
      <c r="B77" s="84"/>
      <c r="C77" s="144"/>
      <c r="D77" s="85"/>
      <c r="E77" s="85"/>
      <c r="F77" s="85"/>
      <c r="G77" s="85"/>
      <c r="H77" s="85"/>
      <c r="I77" s="85"/>
      <c r="J77" s="85"/>
      <c r="K77" s="85"/>
    </row>
    <row r="78" spans="1:11" x14ac:dyDescent="0.25">
      <c r="A78" s="84"/>
      <c r="B78" s="84"/>
      <c r="C78" s="144"/>
      <c r="D78" s="85"/>
      <c r="E78" s="85"/>
      <c r="F78" s="85"/>
      <c r="G78" s="85"/>
      <c r="H78" s="85"/>
      <c r="I78" s="85"/>
      <c r="J78" s="85"/>
      <c r="K78" s="85"/>
    </row>
    <row r="79" spans="1:11" ht="16.5" thickBot="1" x14ac:dyDescent="0.3">
      <c r="A79" s="145" t="s">
        <v>500</v>
      </c>
      <c r="B79" s="84"/>
      <c r="C79" s="144"/>
      <c r="D79" s="85"/>
      <c r="E79" s="85"/>
      <c r="F79" s="85"/>
      <c r="G79" s="85"/>
      <c r="H79" s="85"/>
      <c r="I79" s="85"/>
      <c r="J79" s="85"/>
      <c r="K79" s="85"/>
    </row>
    <row r="80" spans="1:11" ht="19.5" thickBot="1" x14ac:dyDescent="0.35">
      <c r="A80" s="146" t="s">
        <v>52</v>
      </c>
      <c r="B80" s="147"/>
      <c r="C80" s="148"/>
      <c r="D80" s="149"/>
      <c r="E80" s="149"/>
      <c r="F80" s="149"/>
      <c r="G80" s="149"/>
      <c r="H80" s="149"/>
      <c r="I80" s="149"/>
      <c r="J80" s="149"/>
      <c r="K80" s="108">
        <v>1907</v>
      </c>
    </row>
    <row r="81" spans="1:15" ht="19.5" thickBot="1" x14ac:dyDescent="0.35">
      <c r="A81" s="146" t="s">
        <v>53</v>
      </c>
      <c r="B81" s="147"/>
      <c r="C81" s="150"/>
      <c r="D81" s="149"/>
      <c r="E81" s="149"/>
      <c r="F81" s="149"/>
      <c r="G81" s="149"/>
      <c r="H81" s="149"/>
      <c r="I81" s="149"/>
      <c r="J81" s="149"/>
      <c r="K81" s="108">
        <v>1350</v>
      </c>
      <c r="L81" s="41">
        <f>K80+K81</f>
        <v>3257</v>
      </c>
    </row>
    <row r="82" spans="1:15" ht="18.75" x14ac:dyDescent="0.3">
      <c r="A82" s="151"/>
      <c r="B82" s="151"/>
      <c r="C82" s="152"/>
      <c r="D82" s="153"/>
      <c r="E82" s="153"/>
      <c r="F82" s="153"/>
      <c r="G82" s="153"/>
      <c r="H82" s="153"/>
      <c r="I82" s="153"/>
      <c r="J82" s="153"/>
      <c r="K82" s="111"/>
      <c r="L82">
        <v>100</v>
      </c>
    </row>
    <row r="83" spans="1:15" ht="18.75" x14ac:dyDescent="0.3">
      <c r="A83" s="151"/>
      <c r="B83" s="151"/>
      <c r="C83" s="152"/>
      <c r="D83" s="153"/>
      <c r="E83" s="153"/>
      <c r="F83" s="153"/>
      <c r="G83" s="153"/>
      <c r="H83" s="153"/>
      <c r="I83" s="153"/>
      <c r="J83" s="153"/>
      <c r="K83" s="111"/>
      <c r="L83" s="41">
        <f>SUM(L81:L82)</f>
        <v>3357</v>
      </c>
      <c r="M83">
        <v>200</v>
      </c>
      <c r="N83">
        <v>1</v>
      </c>
      <c r="O83">
        <f>N83*M83</f>
        <v>200</v>
      </c>
    </row>
    <row r="84" spans="1:15" ht="16.5" thickBot="1" x14ac:dyDescent="0.3">
      <c r="A84" s="154" t="s">
        <v>54</v>
      </c>
      <c r="B84" s="155"/>
      <c r="C84" s="144"/>
      <c r="D84" s="85"/>
      <c r="E84" s="85"/>
      <c r="F84" s="85"/>
      <c r="G84" s="85"/>
      <c r="H84" s="85"/>
      <c r="I84" s="85"/>
      <c r="J84" s="85"/>
      <c r="K84" s="85"/>
      <c r="M84">
        <v>100</v>
      </c>
      <c r="N84">
        <v>12</v>
      </c>
      <c r="O84">
        <f t="shared" ref="O84:O90" si="9">N84*M84</f>
        <v>1200</v>
      </c>
    </row>
    <row r="85" spans="1:15" ht="19.5" thickBot="1" x14ac:dyDescent="0.35">
      <c r="A85" s="156" t="s">
        <v>55</v>
      </c>
      <c r="B85" s="157"/>
      <c r="C85" s="158"/>
      <c r="D85" s="159"/>
      <c r="E85" s="159"/>
      <c r="F85" s="159"/>
      <c r="G85" s="159"/>
      <c r="H85" s="159"/>
      <c r="I85" s="159"/>
      <c r="J85" s="159"/>
      <c r="K85" s="160">
        <v>534</v>
      </c>
      <c r="M85">
        <v>50</v>
      </c>
      <c r="N85">
        <v>18</v>
      </c>
      <c r="O85">
        <f t="shared" si="9"/>
        <v>900</v>
      </c>
    </row>
    <row r="86" spans="1:15" x14ac:dyDescent="0.25">
      <c r="A86" s="161"/>
      <c r="B86" s="84"/>
      <c r="C86" s="144"/>
      <c r="D86" s="85"/>
      <c r="E86" s="85"/>
      <c r="F86" s="85"/>
      <c r="G86" s="85"/>
      <c r="H86" s="85"/>
      <c r="I86" s="85"/>
      <c r="J86" s="85"/>
      <c r="K86" s="85"/>
      <c r="M86">
        <v>20</v>
      </c>
      <c r="N86">
        <v>51</v>
      </c>
      <c r="O86">
        <f t="shared" si="9"/>
        <v>1020</v>
      </c>
    </row>
    <row r="87" spans="1:15" ht="16.5" thickBot="1" x14ac:dyDescent="0.3">
      <c r="A87" s="154"/>
      <c r="B87" s="155"/>
      <c r="C87" s="144"/>
      <c r="D87" s="85"/>
      <c r="E87" s="85"/>
      <c r="F87" s="85"/>
      <c r="G87" s="85"/>
      <c r="H87" s="85"/>
      <c r="I87" s="85"/>
      <c r="J87" s="85"/>
      <c r="K87" s="85"/>
      <c r="M87">
        <v>10</v>
      </c>
      <c r="N87">
        <v>2</v>
      </c>
      <c r="O87">
        <f t="shared" si="9"/>
        <v>20</v>
      </c>
    </row>
    <row r="88" spans="1:15" ht="19.5" thickBot="1" x14ac:dyDescent="0.35">
      <c r="A88" s="156" t="s">
        <v>56</v>
      </c>
      <c r="B88" s="157"/>
      <c r="C88" s="162"/>
      <c r="D88" s="159"/>
      <c r="E88" s="159"/>
      <c r="F88" s="159"/>
      <c r="G88" s="159"/>
      <c r="H88" s="159"/>
      <c r="I88" s="159"/>
      <c r="J88" s="159"/>
      <c r="K88" s="163"/>
      <c r="M88">
        <v>5</v>
      </c>
      <c r="N88">
        <v>1</v>
      </c>
      <c r="O88">
        <f t="shared" si="9"/>
        <v>5</v>
      </c>
    </row>
    <row r="89" spans="1:15" ht="15.75" thickBot="1" x14ac:dyDescent="0.3">
      <c r="A89" s="161"/>
      <c r="B89" s="84"/>
      <c r="C89" s="144"/>
      <c r="D89" s="85"/>
      <c r="E89" s="85"/>
      <c r="F89" s="85"/>
      <c r="G89" s="85"/>
      <c r="H89" s="85"/>
      <c r="I89" s="85"/>
      <c r="J89" s="85"/>
      <c r="K89" s="85"/>
      <c r="M89">
        <v>1</v>
      </c>
      <c r="N89">
        <v>10</v>
      </c>
      <c r="O89">
        <f t="shared" si="9"/>
        <v>10</v>
      </c>
    </row>
    <row r="90" spans="1:15" ht="21.75" thickBot="1" x14ac:dyDescent="0.4">
      <c r="A90" s="494" t="s">
        <v>57</v>
      </c>
      <c r="B90" s="495"/>
      <c r="C90" s="164"/>
      <c r="D90" s="165"/>
      <c r="E90" s="165"/>
      <c r="F90" s="165"/>
      <c r="G90" s="165"/>
      <c r="H90" s="165"/>
      <c r="I90" s="165"/>
      <c r="J90" s="165"/>
      <c r="K90" s="166">
        <f>SUM(K76:K89)</f>
        <v>8938.9</v>
      </c>
      <c r="M90">
        <v>0.5</v>
      </c>
      <c r="N90">
        <v>4</v>
      </c>
      <c r="O90">
        <f t="shared" si="9"/>
        <v>2</v>
      </c>
    </row>
    <row r="91" spans="1:15" x14ac:dyDescent="0.25">
      <c r="A91" s="84"/>
      <c r="B91" s="84"/>
      <c r="C91" s="144"/>
      <c r="D91" s="85"/>
      <c r="E91" s="85"/>
      <c r="F91" s="85"/>
      <c r="G91" s="85"/>
      <c r="H91" s="85"/>
      <c r="I91" s="85"/>
      <c r="J91" s="85"/>
      <c r="K91" s="85"/>
      <c r="O91">
        <f>SUM(O83:O90)</f>
        <v>3357</v>
      </c>
    </row>
    <row r="92" spans="1:15" ht="21" x14ac:dyDescent="0.35">
      <c r="A92" s="491" t="s">
        <v>821</v>
      </c>
      <c r="B92" s="491"/>
      <c r="C92" s="491"/>
      <c r="D92" s="491"/>
      <c r="E92" s="491"/>
      <c r="F92" s="491"/>
      <c r="G92" s="491"/>
      <c r="H92" s="491"/>
      <c r="I92" s="491"/>
      <c r="J92" s="491"/>
      <c r="K92" s="491"/>
    </row>
    <row r="93" spans="1:15" ht="21.75" thickBot="1" x14ac:dyDescent="0.4">
      <c r="A93" s="448" t="s">
        <v>10</v>
      </c>
      <c r="B93" s="448"/>
      <c r="C93" s="448"/>
      <c r="D93" s="448"/>
      <c r="E93" s="448"/>
      <c r="F93" s="448"/>
      <c r="G93" s="448"/>
      <c r="H93" s="448"/>
      <c r="I93" s="448"/>
      <c r="J93" s="448"/>
      <c r="K93" s="168"/>
    </row>
    <row r="94" spans="1:15" ht="15.75" thickBot="1" x14ac:dyDescent="0.3">
      <c r="A94" s="169" t="s">
        <v>58</v>
      </c>
      <c r="B94" s="170" t="s">
        <v>59</v>
      </c>
      <c r="C94" s="496" t="s">
        <v>33</v>
      </c>
      <c r="D94" s="497"/>
      <c r="E94" s="497"/>
      <c r="F94" s="497"/>
      <c r="G94" s="497"/>
      <c r="H94" s="497"/>
      <c r="I94" s="497"/>
      <c r="J94" s="498"/>
      <c r="K94" s="171" t="s">
        <v>4</v>
      </c>
    </row>
    <row r="95" spans="1:15" ht="33" customHeight="1" thickBot="1" x14ac:dyDescent="0.3">
      <c r="A95" s="172" t="s">
        <v>523</v>
      </c>
      <c r="B95" s="173" t="s">
        <v>804</v>
      </c>
      <c r="C95" s="504" t="s">
        <v>805</v>
      </c>
      <c r="D95" s="505"/>
      <c r="E95" s="505"/>
      <c r="F95" s="505"/>
      <c r="G95" s="505"/>
      <c r="H95" s="505"/>
      <c r="I95" s="505"/>
      <c r="J95" s="528"/>
      <c r="K95" s="104">
        <v>190</v>
      </c>
    </row>
    <row r="96" spans="1:15" ht="15.75" thickBot="1" x14ac:dyDescent="0.3">
      <c r="A96" s="121" t="s">
        <v>180</v>
      </c>
      <c r="B96" s="173">
        <v>14857</v>
      </c>
      <c r="C96" s="504" t="s">
        <v>816</v>
      </c>
      <c r="D96" s="505"/>
      <c r="E96" s="505"/>
      <c r="F96" s="505"/>
      <c r="G96" s="505"/>
      <c r="H96" s="505"/>
      <c r="I96" s="505"/>
      <c r="J96" s="528"/>
      <c r="K96" s="104">
        <v>38.4</v>
      </c>
    </row>
    <row r="97" spans="1:11" ht="15.75" thickBot="1" x14ac:dyDescent="0.3">
      <c r="A97" s="121" t="s">
        <v>180</v>
      </c>
      <c r="B97" s="173">
        <v>14858</v>
      </c>
      <c r="C97" s="504" t="s">
        <v>817</v>
      </c>
      <c r="D97" s="505"/>
      <c r="E97" s="505"/>
      <c r="F97" s="505"/>
      <c r="G97" s="505"/>
      <c r="H97" s="505"/>
      <c r="I97" s="505"/>
      <c r="J97" s="528"/>
      <c r="K97" s="174">
        <v>26.2</v>
      </c>
    </row>
    <row r="98" spans="1:11" ht="15.75" thickBot="1" x14ac:dyDescent="0.3">
      <c r="A98" s="121" t="s">
        <v>818</v>
      </c>
      <c r="B98" s="173" t="s">
        <v>819</v>
      </c>
      <c r="C98" s="504" t="s">
        <v>820</v>
      </c>
      <c r="D98" s="505"/>
      <c r="E98" s="505"/>
      <c r="F98" s="505"/>
      <c r="G98" s="505"/>
      <c r="H98" s="505"/>
      <c r="I98" s="505"/>
      <c r="J98" s="528"/>
      <c r="K98" s="104">
        <v>55</v>
      </c>
    </row>
    <row r="99" spans="1:11" ht="15.75" thickBot="1" x14ac:dyDescent="0.3">
      <c r="A99" s="121"/>
      <c r="B99" s="173"/>
      <c r="C99" s="525"/>
      <c r="D99" s="526"/>
      <c r="E99" s="526"/>
      <c r="F99" s="526"/>
      <c r="G99" s="526"/>
      <c r="H99" s="526"/>
      <c r="I99" s="526"/>
      <c r="J99" s="527"/>
      <c r="K99" s="104"/>
    </row>
    <row r="100" spans="1:11" ht="15.75" thickBot="1" x14ac:dyDescent="0.3">
      <c r="A100" s="121"/>
      <c r="B100" s="173"/>
      <c r="C100" s="525"/>
      <c r="D100" s="526"/>
      <c r="E100" s="526"/>
      <c r="F100" s="526"/>
      <c r="G100" s="526"/>
      <c r="H100" s="526"/>
      <c r="I100" s="526"/>
      <c r="J100" s="527"/>
      <c r="K100" s="104"/>
    </row>
    <row r="101" spans="1:11" ht="15.75" thickBot="1" x14ac:dyDescent="0.3">
      <c r="A101" s="121"/>
      <c r="B101" s="173"/>
      <c r="C101" s="525"/>
      <c r="D101" s="526"/>
      <c r="E101" s="526"/>
      <c r="F101" s="526"/>
      <c r="G101" s="526"/>
      <c r="H101" s="526"/>
      <c r="I101" s="526"/>
      <c r="J101" s="527"/>
      <c r="K101" s="118"/>
    </row>
    <row r="102" spans="1:11" ht="15.75" thickBot="1" x14ac:dyDescent="0.3">
      <c r="A102" s="121"/>
      <c r="B102" s="173"/>
      <c r="C102" s="525"/>
      <c r="D102" s="526"/>
      <c r="E102" s="526"/>
      <c r="F102" s="526"/>
      <c r="G102" s="526"/>
      <c r="H102" s="526"/>
      <c r="I102" s="526"/>
      <c r="J102" s="527"/>
      <c r="K102" s="118"/>
    </row>
    <row r="103" spans="1:11" ht="15.75" thickBot="1" x14ac:dyDescent="0.3">
      <c r="A103" s="121"/>
      <c r="B103" s="173"/>
      <c r="C103" s="525"/>
      <c r="D103" s="526"/>
      <c r="E103" s="526"/>
      <c r="F103" s="526"/>
      <c r="G103" s="526"/>
      <c r="H103" s="526"/>
      <c r="I103" s="526"/>
      <c r="J103" s="527"/>
      <c r="K103" s="118"/>
    </row>
    <row r="104" spans="1:11" ht="15.75" thickBot="1" x14ac:dyDescent="0.3">
      <c r="A104" s="121"/>
      <c r="B104" s="173"/>
      <c r="C104" s="525"/>
      <c r="D104" s="526"/>
      <c r="E104" s="526"/>
      <c r="F104" s="526"/>
      <c r="G104" s="526"/>
      <c r="H104" s="526"/>
      <c r="I104" s="526"/>
      <c r="J104" s="527"/>
      <c r="K104" s="118"/>
    </row>
    <row r="105" spans="1:11" ht="19.5" thickBot="1" x14ac:dyDescent="0.35">
      <c r="A105" s="175" t="s">
        <v>60</v>
      </c>
      <c r="B105" s="492"/>
      <c r="C105" s="499"/>
      <c r="D105" s="499"/>
      <c r="E105" s="499"/>
      <c r="F105" s="499"/>
      <c r="G105" s="499"/>
      <c r="H105" s="499"/>
      <c r="I105" s="499"/>
      <c r="J105" s="455"/>
      <c r="K105" s="176">
        <f>SUM(K95:K104)</f>
        <v>309.60000000000002</v>
      </c>
    </row>
    <row r="106" spans="1:11" ht="18.75" x14ac:dyDescent="0.3">
      <c r="A106" s="2"/>
      <c r="B106" s="2"/>
      <c r="C106" s="177"/>
      <c r="D106" s="177"/>
      <c r="E106" s="177"/>
      <c r="F106" s="178"/>
      <c r="G106" s="177"/>
      <c r="H106" s="177"/>
      <c r="I106" s="177"/>
      <c r="J106" s="177"/>
      <c r="K106" s="111"/>
    </row>
    <row r="107" spans="1:11" ht="18.75" x14ac:dyDescent="0.3">
      <c r="A107" s="2"/>
      <c r="B107" s="2"/>
      <c r="C107" s="177"/>
      <c r="D107" s="177"/>
      <c r="E107" s="177"/>
      <c r="F107" s="178"/>
      <c r="G107" s="177"/>
      <c r="H107" s="177"/>
      <c r="I107" s="177"/>
      <c r="J107" s="177"/>
      <c r="K107" s="111"/>
    </row>
    <row r="108" spans="1:11" ht="18.75" x14ac:dyDescent="0.3">
      <c r="A108" s="139" t="s">
        <v>61</v>
      </c>
      <c r="B108" s="2"/>
      <c r="C108" s="84"/>
      <c r="D108" s="85"/>
      <c r="F108" s="85"/>
      <c r="K108" s="85"/>
    </row>
    <row r="109" spans="1:11" x14ac:dyDescent="0.25">
      <c r="A109" s="84" t="s">
        <v>62</v>
      </c>
      <c r="B109" s="144">
        <f>+K90</f>
        <v>8938.9</v>
      </c>
      <c r="C109" s="179"/>
      <c r="D109" s="85"/>
      <c r="F109" s="85"/>
      <c r="K109" s="85"/>
    </row>
    <row r="110" spans="1:11" ht="15.75" thickBot="1" x14ac:dyDescent="0.3">
      <c r="A110" s="84" t="s">
        <v>60</v>
      </c>
      <c r="B110" s="180">
        <f>+K105</f>
        <v>309.60000000000002</v>
      </c>
      <c r="C110" s="181"/>
      <c r="D110" s="85"/>
      <c r="F110" s="85"/>
      <c r="G110" s="182"/>
      <c r="H110" s="182"/>
      <c r="I110" s="183"/>
      <c r="J110" s="183"/>
      <c r="K110" s="183"/>
    </row>
    <row r="111" spans="1:11" ht="17.25" thickTop="1" thickBot="1" x14ac:dyDescent="0.3">
      <c r="A111" s="139" t="s">
        <v>8</v>
      </c>
      <c r="B111" s="184">
        <f>++B109-B110</f>
        <v>8629.2999999999993</v>
      </c>
      <c r="C111" s="185"/>
      <c r="D111" s="186"/>
      <c r="E111" s="41"/>
      <c r="F111" s="186"/>
      <c r="G111" s="187"/>
      <c r="H111" s="187"/>
      <c r="I111" s="85"/>
      <c r="J111" s="85"/>
    </row>
    <row r="112" spans="1:11" ht="15.75" thickTop="1" x14ac:dyDescent="0.25"/>
  </sheetData>
  <mergeCells count="24">
    <mergeCell ref="C104:J104"/>
    <mergeCell ref="B105:I105"/>
    <mergeCell ref="B21:B22"/>
    <mergeCell ref="C98:J98"/>
    <mergeCell ref="C99:J99"/>
    <mergeCell ref="C100:J100"/>
    <mergeCell ref="C101:J101"/>
    <mergeCell ref="C96:J96"/>
    <mergeCell ref="C97:J97"/>
    <mergeCell ref="C95:J95"/>
    <mergeCell ref="C102:J102"/>
    <mergeCell ref="C103:J103"/>
    <mergeCell ref="A1:K1"/>
    <mergeCell ref="A76:B76"/>
    <mergeCell ref="A90:B90"/>
    <mergeCell ref="A92:K92"/>
    <mergeCell ref="C94:J94"/>
    <mergeCell ref="A12:A13"/>
    <mergeCell ref="B12:B13"/>
    <mergeCell ref="B14:B16"/>
    <mergeCell ref="A14:A16"/>
    <mergeCell ref="A21:A22"/>
    <mergeCell ref="B36:B37"/>
    <mergeCell ref="A36:A37"/>
  </mergeCells>
  <phoneticPr fontId="15" type="noConversion"/>
  <pageMargins left="0.17" right="0.17" top="1.93" bottom="0.17" header="0.17" footer="0.17"/>
  <pageSetup paperSize="9" scale="22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C936-99B4-4C6D-9B3B-06F2676A2A68}">
  <sheetPr>
    <pageSetUpPr fitToPage="1"/>
  </sheetPr>
  <dimension ref="A1:N112"/>
  <sheetViews>
    <sheetView tabSelected="1" topLeftCell="A81" workbookViewId="0">
      <selection sqref="A1:N111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4" max="4" width="13" bestFit="1" customWidth="1"/>
    <col min="9" max="9" width="12.85546875" customWidth="1"/>
    <col min="11" max="11" width="14.42578125" bestFit="1" customWidth="1"/>
  </cols>
  <sheetData>
    <row r="1" spans="1:11" ht="21" x14ac:dyDescent="0.35">
      <c r="A1" s="491" t="s">
        <v>825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</row>
    <row r="2" spans="1:11" ht="15.75" thickBot="1" x14ac:dyDescent="0.3">
      <c r="A2" s="83"/>
      <c r="B2" s="84"/>
      <c r="C2" s="84"/>
      <c r="K2" s="85"/>
    </row>
    <row r="3" spans="1:11" ht="45.75" thickBot="1" x14ac:dyDescent="0.3">
      <c r="A3" s="86" t="s">
        <v>31</v>
      </c>
      <c r="B3" s="86" t="s">
        <v>32</v>
      </c>
      <c r="C3" s="86" t="s">
        <v>33</v>
      </c>
      <c r="D3" s="86" t="s">
        <v>34</v>
      </c>
      <c r="E3" s="86" t="s">
        <v>35</v>
      </c>
      <c r="F3" s="86" t="s">
        <v>36</v>
      </c>
      <c r="G3" s="86" t="s">
        <v>37</v>
      </c>
      <c r="H3" s="86" t="s">
        <v>38</v>
      </c>
      <c r="I3" s="86" t="s">
        <v>39</v>
      </c>
      <c r="J3" s="347" t="s">
        <v>489</v>
      </c>
      <c r="K3" s="87" t="s">
        <v>4</v>
      </c>
    </row>
    <row r="4" spans="1:11" ht="15.75" thickBot="1" x14ac:dyDescent="0.3">
      <c r="A4" s="88" t="s">
        <v>78</v>
      </c>
      <c r="B4" s="88" t="s">
        <v>836</v>
      </c>
      <c r="C4" s="89">
        <v>46113</v>
      </c>
      <c r="D4" s="90"/>
      <c r="E4" s="90"/>
      <c r="F4" s="90"/>
      <c r="G4" s="90"/>
      <c r="H4" s="90"/>
      <c r="I4" s="90">
        <v>10</v>
      </c>
      <c r="J4" s="348"/>
      <c r="K4" s="87">
        <f>SUM(D4:J4)</f>
        <v>10</v>
      </c>
    </row>
    <row r="5" spans="1:11" ht="15.75" thickBot="1" x14ac:dyDescent="0.3">
      <c r="A5" s="88" t="s">
        <v>78</v>
      </c>
      <c r="B5" s="88" t="s">
        <v>837</v>
      </c>
      <c r="C5" s="89">
        <v>46113</v>
      </c>
      <c r="D5" s="90"/>
      <c r="E5" s="90"/>
      <c r="F5" s="90"/>
      <c r="G5" s="90"/>
      <c r="H5" s="90"/>
      <c r="I5" s="90">
        <v>10</v>
      </c>
      <c r="J5" s="348"/>
      <c r="K5" s="87">
        <f t="shared" ref="K5:K23" si="0">SUM(D5:J5)</f>
        <v>10</v>
      </c>
    </row>
    <row r="6" spans="1:11" ht="15.75" thickBot="1" x14ac:dyDescent="0.3">
      <c r="A6" s="88"/>
      <c r="B6" s="88"/>
      <c r="C6" s="89"/>
      <c r="D6" s="90"/>
      <c r="E6" s="90"/>
      <c r="F6" s="90"/>
      <c r="G6" s="90"/>
      <c r="H6" s="90"/>
      <c r="I6" s="90"/>
      <c r="J6" s="348"/>
      <c r="K6" s="87">
        <f t="shared" si="0"/>
        <v>0</v>
      </c>
    </row>
    <row r="7" spans="1:11" ht="15.75" thickBot="1" x14ac:dyDescent="0.3">
      <c r="A7" s="88" t="s">
        <v>827</v>
      </c>
      <c r="B7" s="88" t="s">
        <v>828</v>
      </c>
      <c r="C7" s="89">
        <v>46113</v>
      </c>
      <c r="D7" s="90"/>
      <c r="E7" s="90"/>
      <c r="F7" s="90">
        <v>350</v>
      </c>
      <c r="G7" s="90"/>
      <c r="H7" s="90"/>
      <c r="I7" s="90"/>
      <c r="J7" s="348"/>
      <c r="K7" s="87">
        <f t="shared" si="0"/>
        <v>350</v>
      </c>
    </row>
    <row r="8" spans="1:11" ht="15.75" thickBot="1" x14ac:dyDescent="0.3">
      <c r="A8" s="88" t="s">
        <v>38</v>
      </c>
      <c r="B8" s="88" t="s">
        <v>873</v>
      </c>
      <c r="C8" s="89">
        <v>46113</v>
      </c>
      <c r="D8" s="90"/>
      <c r="E8" s="90"/>
      <c r="F8" s="90"/>
      <c r="G8" s="90"/>
      <c r="H8" s="90">
        <v>56.3</v>
      </c>
      <c r="I8" s="90"/>
      <c r="J8" s="348"/>
      <c r="K8" s="87">
        <f t="shared" si="0"/>
        <v>56.3</v>
      </c>
    </row>
    <row r="9" spans="1:11" ht="15.75" thickBot="1" x14ac:dyDescent="0.3">
      <c r="A9" s="88"/>
      <c r="B9" s="88"/>
      <c r="C9" s="89"/>
      <c r="D9" s="90"/>
      <c r="E9" s="90"/>
      <c r="F9" s="90"/>
      <c r="G9" s="90"/>
      <c r="H9" s="90"/>
      <c r="I9" s="90"/>
      <c r="J9" s="348"/>
      <c r="K9" s="87">
        <f t="shared" si="0"/>
        <v>0</v>
      </c>
    </row>
    <row r="10" spans="1:11" ht="15.75" thickBot="1" x14ac:dyDescent="0.3">
      <c r="A10" s="88"/>
      <c r="B10" s="88"/>
      <c r="C10" s="89"/>
      <c r="D10" s="90"/>
      <c r="E10" s="90"/>
      <c r="F10" s="90"/>
      <c r="G10" s="90"/>
      <c r="H10" s="90"/>
      <c r="I10" s="90"/>
      <c r="J10" s="348"/>
      <c r="K10" s="87">
        <f t="shared" si="0"/>
        <v>0</v>
      </c>
    </row>
    <row r="11" spans="1:11" ht="15.75" thickBot="1" x14ac:dyDescent="0.3">
      <c r="A11" s="463"/>
      <c r="B11" s="103"/>
      <c r="C11" s="103"/>
      <c r="D11" s="116"/>
      <c r="E11" s="116"/>
      <c r="F11" s="116"/>
      <c r="G11" s="116"/>
      <c r="H11" s="90"/>
      <c r="I11" s="90"/>
      <c r="J11" s="348"/>
      <c r="K11" s="87">
        <f t="shared" si="0"/>
        <v>0</v>
      </c>
    </row>
    <row r="12" spans="1:11" ht="15.75" thickBot="1" x14ac:dyDescent="0.3">
      <c r="A12" s="88"/>
      <c r="B12" s="88"/>
      <c r="C12" s="89"/>
      <c r="D12" s="90"/>
      <c r="E12" s="90"/>
      <c r="F12" s="90"/>
      <c r="G12" s="90"/>
      <c r="H12" s="90"/>
      <c r="I12" s="90"/>
      <c r="J12" s="348"/>
      <c r="K12" s="87">
        <f t="shared" si="0"/>
        <v>0</v>
      </c>
    </row>
    <row r="13" spans="1:11" ht="15.75" thickBot="1" x14ac:dyDescent="0.3">
      <c r="A13" s="461"/>
      <c r="B13" s="88"/>
      <c r="C13" s="89"/>
      <c r="D13" s="90"/>
      <c r="E13" s="90"/>
      <c r="F13" s="90"/>
      <c r="G13" s="90"/>
      <c r="H13" s="90"/>
      <c r="I13" s="90"/>
      <c r="J13" s="348"/>
      <c r="K13" s="87">
        <f t="shared" si="0"/>
        <v>0</v>
      </c>
    </row>
    <row r="14" spans="1:11" ht="15.75" thickBot="1" x14ac:dyDescent="0.3">
      <c r="A14" s="461"/>
      <c r="B14" s="459"/>
      <c r="C14" s="89"/>
      <c r="D14" s="90"/>
      <c r="E14" s="90"/>
      <c r="F14" s="90"/>
      <c r="G14" s="90"/>
      <c r="H14" s="90"/>
      <c r="I14" s="93"/>
      <c r="J14" s="99"/>
      <c r="K14" s="87">
        <f t="shared" si="0"/>
        <v>0</v>
      </c>
    </row>
    <row r="15" spans="1:11" ht="15.75" thickBot="1" x14ac:dyDescent="0.3">
      <c r="A15" s="88" t="s">
        <v>827</v>
      </c>
      <c r="B15" s="88" t="s">
        <v>829</v>
      </c>
      <c r="C15" s="89">
        <v>46082</v>
      </c>
      <c r="D15" s="90">
        <v>44</v>
      </c>
      <c r="E15" s="90">
        <v>10</v>
      </c>
      <c r="F15" s="90"/>
      <c r="G15" s="90"/>
      <c r="H15" s="90"/>
      <c r="I15" s="90"/>
      <c r="J15" s="348"/>
      <c r="K15" s="87">
        <f t="shared" si="0"/>
        <v>54</v>
      </c>
    </row>
    <row r="16" spans="1:11" ht="15.75" thickBot="1" x14ac:dyDescent="0.3">
      <c r="A16" s="95"/>
      <c r="B16" s="460"/>
      <c r="C16" s="89"/>
      <c r="D16" s="90"/>
      <c r="E16" s="90"/>
      <c r="F16" s="90"/>
      <c r="G16" s="90"/>
      <c r="H16" s="90"/>
      <c r="I16" s="90"/>
      <c r="J16" s="348"/>
      <c r="K16" s="87">
        <f t="shared" si="0"/>
        <v>0</v>
      </c>
    </row>
    <row r="17" spans="1:11" ht="15.75" thickBot="1" x14ac:dyDescent="0.3">
      <c r="A17" s="97"/>
      <c r="B17" s="95"/>
      <c r="C17" s="89"/>
      <c r="D17" s="90"/>
      <c r="E17" s="90"/>
      <c r="F17" s="90"/>
      <c r="G17" s="90"/>
      <c r="H17" s="90"/>
      <c r="I17" s="90"/>
      <c r="J17" s="348"/>
      <c r="K17" s="87">
        <f t="shared" si="0"/>
        <v>0</v>
      </c>
    </row>
    <row r="18" spans="1:11" ht="15.75" thickBot="1" x14ac:dyDescent="0.3">
      <c r="A18" s="456"/>
      <c r="B18" s="456"/>
      <c r="C18" s="89"/>
      <c r="D18" s="90"/>
      <c r="E18" s="90"/>
      <c r="F18" s="90"/>
      <c r="G18" s="90"/>
      <c r="H18" s="90"/>
      <c r="I18" s="90"/>
      <c r="J18" s="348"/>
      <c r="K18" s="87">
        <f t="shared" si="0"/>
        <v>0</v>
      </c>
    </row>
    <row r="19" spans="1:11" ht="15.75" thickBot="1" x14ac:dyDescent="0.3">
      <c r="A19" s="99" t="s">
        <v>282</v>
      </c>
      <c r="B19" s="456" t="s">
        <v>833</v>
      </c>
      <c r="C19" s="89">
        <v>46113</v>
      </c>
      <c r="D19" s="90"/>
      <c r="E19" s="90"/>
      <c r="F19" s="90"/>
      <c r="G19" s="90">
        <v>30</v>
      </c>
      <c r="H19" s="90"/>
      <c r="I19" s="90"/>
      <c r="J19" s="348"/>
      <c r="K19" s="87">
        <f t="shared" si="0"/>
        <v>30</v>
      </c>
    </row>
    <row r="20" spans="1:11" ht="30.75" thickBot="1" x14ac:dyDescent="0.3">
      <c r="A20" s="484" t="s">
        <v>87</v>
      </c>
      <c r="B20" s="456" t="s">
        <v>867</v>
      </c>
      <c r="C20" s="89">
        <v>46113</v>
      </c>
      <c r="D20" s="90"/>
      <c r="E20" s="90"/>
      <c r="F20" s="90">
        <v>140</v>
      </c>
      <c r="G20" s="90"/>
      <c r="H20" s="90"/>
      <c r="I20" s="90"/>
      <c r="J20" s="348"/>
      <c r="K20" s="87">
        <f t="shared" si="0"/>
        <v>140</v>
      </c>
    </row>
    <row r="21" spans="1:11" ht="15.75" thickBot="1" x14ac:dyDescent="0.3">
      <c r="A21" s="100"/>
      <c r="B21" s="456"/>
      <c r="C21" s="89"/>
      <c r="D21" s="90"/>
      <c r="E21" s="90"/>
      <c r="F21" s="90"/>
      <c r="G21" s="90"/>
      <c r="H21" s="90"/>
      <c r="I21" s="90"/>
      <c r="J21" s="348"/>
      <c r="K21" s="87">
        <f t="shared" si="0"/>
        <v>0</v>
      </c>
    </row>
    <row r="22" spans="1:11" ht="15.75" thickBot="1" x14ac:dyDescent="0.3">
      <c r="A22" s="463"/>
      <c r="B22" s="463"/>
      <c r="C22" s="89"/>
      <c r="D22" s="90"/>
      <c r="E22" s="90"/>
      <c r="F22" s="90"/>
      <c r="G22" s="90"/>
      <c r="H22" s="90"/>
      <c r="I22" s="90"/>
      <c r="J22" s="348"/>
      <c r="K22" s="87">
        <f t="shared" si="0"/>
        <v>0</v>
      </c>
    </row>
    <row r="23" spans="1:11" ht="15.75" thickBot="1" x14ac:dyDescent="0.3">
      <c r="A23" s="456"/>
      <c r="B23" s="462"/>
      <c r="C23" s="103"/>
      <c r="D23" s="104"/>
      <c r="E23" s="104"/>
      <c r="F23" s="104"/>
      <c r="G23" s="104"/>
      <c r="H23" s="104"/>
      <c r="I23" s="104"/>
      <c r="J23" s="349"/>
      <c r="K23" s="87">
        <f t="shared" si="0"/>
        <v>0</v>
      </c>
    </row>
    <row r="24" spans="1:11" ht="19.5" thickBot="1" x14ac:dyDescent="0.35">
      <c r="A24" s="105" t="s">
        <v>4</v>
      </c>
      <c r="B24" s="86"/>
      <c r="C24" s="106"/>
      <c r="D24" s="108">
        <f t="shared" ref="D24:J24" si="1">SUM(D4:D23)</f>
        <v>44</v>
      </c>
      <c r="E24" s="108">
        <f t="shared" si="1"/>
        <v>10</v>
      </c>
      <c r="F24" s="108">
        <f t="shared" si="1"/>
        <v>490</v>
      </c>
      <c r="G24" s="108">
        <f t="shared" si="1"/>
        <v>30</v>
      </c>
      <c r="H24" s="108">
        <f t="shared" si="1"/>
        <v>56.3</v>
      </c>
      <c r="I24" s="108">
        <f t="shared" si="1"/>
        <v>20</v>
      </c>
      <c r="J24" s="108">
        <f t="shared" si="1"/>
        <v>0</v>
      </c>
      <c r="K24" s="108">
        <f>SUM(K4:K23)</f>
        <v>650.29999999999995</v>
      </c>
    </row>
    <row r="25" spans="1:11" ht="19.5" thickBot="1" x14ac:dyDescent="0.35">
      <c r="A25" s="2"/>
      <c r="B25" s="109"/>
      <c r="C25" s="110"/>
      <c r="D25" s="111"/>
      <c r="E25" s="111"/>
      <c r="F25" s="111"/>
      <c r="G25" s="111"/>
      <c r="H25" s="111"/>
      <c r="I25" s="111"/>
      <c r="J25" s="111"/>
      <c r="K25" s="111"/>
    </row>
    <row r="26" spans="1:11" ht="24" thickBot="1" x14ac:dyDescent="0.4">
      <c r="A26" s="112" t="s">
        <v>40</v>
      </c>
      <c r="B26" s="109"/>
      <c r="C26" s="110"/>
      <c r="D26" s="111"/>
      <c r="E26" s="111"/>
      <c r="F26" s="111"/>
      <c r="G26" s="111"/>
      <c r="H26" s="111"/>
      <c r="I26" s="111"/>
      <c r="J26" s="111"/>
      <c r="K26" s="111"/>
    </row>
    <row r="27" spans="1:11" ht="30.75" thickBot="1" x14ac:dyDescent="0.3">
      <c r="A27" s="113" t="s">
        <v>3</v>
      </c>
      <c r="B27" s="86" t="s">
        <v>32</v>
      </c>
      <c r="C27" s="114" t="s">
        <v>41</v>
      </c>
      <c r="D27" s="114" t="s">
        <v>34</v>
      </c>
      <c r="E27" s="114" t="s">
        <v>35</v>
      </c>
      <c r="F27" s="86" t="s">
        <v>36</v>
      </c>
      <c r="G27" s="86" t="s">
        <v>37</v>
      </c>
      <c r="H27" s="86" t="s">
        <v>42</v>
      </c>
      <c r="I27" s="86" t="s">
        <v>39</v>
      </c>
      <c r="J27" s="86"/>
      <c r="K27" s="115" t="s">
        <v>4</v>
      </c>
    </row>
    <row r="28" spans="1:11" ht="30.75" thickBot="1" x14ac:dyDescent="0.3">
      <c r="A28" s="463" t="s">
        <v>852</v>
      </c>
      <c r="B28" s="103" t="s">
        <v>851</v>
      </c>
      <c r="C28" s="103">
        <v>46113</v>
      </c>
      <c r="D28" s="116"/>
      <c r="E28" s="117"/>
      <c r="F28" s="116">
        <v>300</v>
      </c>
      <c r="G28" s="116"/>
      <c r="H28" s="118"/>
      <c r="I28" s="118"/>
      <c r="J28" s="118"/>
      <c r="K28" s="119">
        <f>SUM(D28:I28)</f>
        <v>300</v>
      </c>
    </row>
    <row r="29" spans="1:11" ht="15.75" thickBot="1" x14ac:dyDescent="0.3">
      <c r="A29" s="520" t="s">
        <v>213</v>
      </c>
      <c r="B29" s="512" t="s">
        <v>853</v>
      </c>
      <c r="C29" s="222">
        <v>46054</v>
      </c>
      <c r="D29" s="227"/>
      <c r="E29" s="475"/>
      <c r="F29" s="227">
        <v>72.2</v>
      </c>
      <c r="G29" s="116"/>
      <c r="H29" s="118"/>
      <c r="I29" s="118"/>
      <c r="J29" s="118"/>
      <c r="K29" s="119">
        <f t="shared" ref="K29:K37" si="2">SUM(D29:I29)</f>
        <v>72.2</v>
      </c>
    </row>
    <row r="30" spans="1:11" ht="15.75" thickBot="1" x14ac:dyDescent="0.3">
      <c r="A30" s="521"/>
      <c r="B30" s="513"/>
      <c r="C30" s="222">
        <v>46082</v>
      </c>
      <c r="D30" s="228"/>
      <c r="E30" s="228"/>
      <c r="F30" s="228">
        <v>44</v>
      </c>
      <c r="G30" s="120"/>
      <c r="H30" s="90"/>
      <c r="I30" s="90"/>
      <c r="J30" s="90"/>
      <c r="K30" s="119">
        <f t="shared" si="2"/>
        <v>44</v>
      </c>
    </row>
    <row r="31" spans="1:11" ht="15.75" thickBot="1" x14ac:dyDescent="0.3">
      <c r="A31" s="520" t="s">
        <v>215</v>
      </c>
      <c r="B31" s="485" t="s">
        <v>854</v>
      </c>
      <c r="C31" s="222">
        <v>46054</v>
      </c>
      <c r="D31" s="228"/>
      <c r="E31" s="228"/>
      <c r="F31" s="228">
        <v>149.5</v>
      </c>
      <c r="G31" s="120"/>
      <c r="H31" s="90"/>
      <c r="I31" s="90"/>
      <c r="J31" s="90"/>
      <c r="K31" s="119">
        <f t="shared" si="2"/>
        <v>149.5</v>
      </c>
    </row>
    <row r="32" spans="1:11" ht="15.75" thickBot="1" x14ac:dyDescent="0.3">
      <c r="A32" s="521"/>
      <c r="B32" s="487"/>
      <c r="C32" s="222">
        <v>46082</v>
      </c>
      <c r="D32" s="120"/>
      <c r="E32" s="120"/>
      <c r="F32" s="120">
        <v>10.5</v>
      </c>
      <c r="G32" s="120"/>
      <c r="H32" s="90"/>
      <c r="I32" s="90"/>
      <c r="J32" s="90"/>
      <c r="K32" s="119">
        <f t="shared" si="2"/>
        <v>10.5</v>
      </c>
    </row>
    <row r="33" spans="1:14" ht="15.75" thickBot="1" x14ac:dyDescent="0.3">
      <c r="A33" s="476"/>
      <c r="B33" s="457"/>
      <c r="C33" s="222"/>
      <c r="D33" s="120"/>
      <c r="E33" s="120"/>
      <c r="F33" s="120"/>
      <c r="G33" s="120"/>
      <c r="H33" s="90"/>
      <c r="I33" s="90"/>
      <c r="J33" s="90"/>
      <c r="K33" s="119">
        <f t="shared" si="2"/>
        <v>0</v>
      </c>
    </row>
    <row r="34" spans="1:14" ht="30.75" thickBot="1" x14ac:dyDescent="0.3">
      <c r="A34" s="463" t="s">
        <v>852</v>
      </c>
      <c r="B34" s="121" t="s">
        <v>863</v>
      </c>
      <c r="C34" s="222">
        <v>46082</v>
      </c>
      <c r="D34" s="120">
        <v>28.3</v>
      </c>
      <c r="E34" s="120">
        <v>6</v>
      </c>
      <c r="F34" s="120"/>
      <c r="G34" s="120"/>
      <c r="H34" s="90"/>
      <c r="I34" s="90"/>
      <c r="J34" s="90"/>
      <c r="K34" s="119">
        <f t="shared" si="2"/>
        <v>34.299999999999997</v>
      </c>
    </row>
    <row r="35" spans="1:14" ht="15.75" thickBot="1" x14ac:dyDescent="0.3">
      <c r="A35" s="477" t="s">
        <v>213</v>
      </c>
      <c r="B35" s="121" t="s">
        <v>864</v>
      </c>
      <c r="C35" s="222">
        <v>46082</v>
      </c>
      <c r="D35" s="120">
        <v>37.799999999999997</v>
      </c>
      <c r="E35" s="120">
        <v>6</v>
      </c>
      <c r="F35" s="120"/>
      <c r="G35" s="120"/>
      <c r="H35" s="90"/>
      <c r="I35" s="90"/>
      <c r="J35" s="90"/>
      <c r="K35" s="119">
        <f t="shared" si="2"/>
        <v>43.8</v>
      </c>
    </row>
    <row r="36" spans="1:14" ht="15.75" thickBot="1" x14ac:dyDescent="0.3">
      <c r="A36" s="478"/>
      <c r="B36" s="456"/>
      <c r="C36" s="89"/>
      <c r="D36" s="120"/>
      <c r="E36" s="120"/>
      <c r="F36" s="120"/>
      <c r="G36" s="120"/>
      <c r="H36" s="90"/>
      <c r="I36" s="90"/>
      <c r="J36" s="90"/>
      <c r="K36" s="119">
        <f t="shared" si="2"/>
        <v>0</v>
      </c>
    </row>
    <row r="37" spans="1:14" ht="15.75" thickBot="1" x14ac:dyDescent="0.3">
      <c r="A37" s="86"/>
      <c r="B37" s="121"/>
      <c r="C37" s="89"/>
      <c r="D37" s="120"/>
      <c r="E37" s="120"/>
      <c r="F37" s="120"/>
      <c r="G37" s="120"/>
      <c r="H37" s="90"/>
      <c r="I37" s="90"/>
      <c r="J37" s="90"/>
      <c r="K37" s="119">
        <f t="shared" si="2"/>
        <v>0</v>
      </c>
      <c r="M37" s="122" t="s">
        <v>43</v>
      </c>
      <c r="N37" s="123">
        <f>K38+K46</f>
        <v>737.19999999999993</v>
      </c>
    </row>
    <row r="38" spans="1:14" ht="15.75" thickBot="1" x14ac:dyDescent="0.3">
      <c r="A38" s="86" t="s">
        <v>4</v>
      </c>
      <c r="B38" s="464"/>
      <c r="C38" s="125"/>
      <c r="D38" s="116">
        <f>SUM(D28:D37)</f>
        <v>66.099999999999994</v>
      </c>
      <c r="E38" s="116">
        <f t="shared" ref="E38:J38" si="3">SUM(E28:E37)</f>
        <v>12</v>
      </c>
      <c r="F38" s="116">
        <f t="shared" si="3"/>
        <v>576.20000000000005</v>
      </c>
      <c r="G38" s="116">
        <f t="shared" si="3"/>
        <v>0</v>
      </c>
      <c r="H38" s="116">
        <f t="shared" si="3"/>
        <v>0</v>
      </c>
      <c r="I38" s="116">
        <f t="shared" si="3"/>
        <v>0</v>
      </c>
      <c r="J38" s="116">
        <f t="shared" si="3"/>
        <v>0</v>
      </c>
      <c r="K38" s="94">
        <f>SUM(K28:K37)</f>
        <v>654.29999999999995</v>
      </c>
    </row>
    <row r="39" spans="1:14" ht="15.75" thickBot="1" x14ac:dyDescent="0.3">
      <c r="A39" s="109"/>
      <c r="B39" s="127"/>
      <c r="C39" s="128"/>
      <c r="D39" s="129"/>
      <c r="E39" s="129"/>
      <c r="F39" s="129"/>
      <c r="G39" s="129"/>
      <c r="H39" s="129"/>
      <c r="I39" s="129"/>
      <c r="J39" s="129"/>
      <c r="K39" s="130"/>
    </row>
    <row r="40" spans="1:14" ht="24" thickBot="1" x14ac:dyDescent="0.4">
      <c r="A40" s="112" t="s">
        <v>40</v>
      </c>
      <c r="B40" s="109"/>
      <c r="C40" s="110"/>
      <c r="D40" s="111"/>
      <c r="E40" s="111"/>
      <c r="F40" s="111"/>
      <c r="G40" s="111"/>
      <c r="H40" s="111"/>
      <c r="I40" s="111"/>
      <c r="J40" s="111"/>
      <c r="K40" s="111"/>
    </row>
    <row r="41" spans="1:14" ht="45.75" thickBot="1" x14ac:dyDescent="0.3">
      <c r="A41" s="131" t="s">
        <v>44</v>
      </c>
      <c r="B41" s="86" t="s">
        <v>45</v>
      </c>
      <c r="C41" s="114" t="s">
        <v>41</v>
      </c>
      <c r="D41" s="114" t="s">
        <v>34</v>
      </c>
      <c r="E41" s="114" t="s">
        <v>35</v>
      </c>
      <c r="F41" s="114" t="s">
        <v>46</v>
      </c>
      <c r="G41" s="114" t="s">
        <v>47</v>
      </c>
      <c r="H41" s="114" t="s">
        <v>42</v>
      </c>
      <c r="I41" s="132" t="s">
        <v>48</v>
      </c>
      <c r="J41" s="86"/>
      <c r="K41" s="115" t="s">
        <v>4</v>
      </c>
    </row>
    <row r="42" spans="1:14" ht="15.75" thickBot="1" x14ac:dyDescent="0.3">
      <c r="A42" s="103" t="s">
        <v>834</v>
      </c>
      <c r="B42" s="103" t="s">
        <v>835</v>
      </c>
      <c r="C42" s="89">
        <v>46082</v>
      </c>
      <c r="D42" s="118">
        <v>11.9</v>
      </c>
      <c r="E42" s="118">
        <v>6</v>
      </c>
      <c r="F42" s="118">
        <v>60</v>
      </c>
      <c r="G42" s="118">
        <v>5</v>
      </c>
      <c r="H42" s="90"/>
      <c r="I42" s="90"/>
      <c r="J42" s="348"/>
      <c r="K42" s="87">
        <f t="shared" ref="K42:K45" si="4">SUM(D42:I42)</f>
        <v>82.9</v>
      </c>
    </row>
    <row r="43" spans="1:14" ht="15.75" thickBot="1" x14ac:dyDescent="0.3">
      <c r="A43" s="95"/>
      <c r="B43" s="103"/>
      <c r="C43" s="89"/>
      <c r="D43" s="116"/>
      <c r="E43" s="116"/>
      <c r="F43" s="116"/>
      <c r="G43" s="116"/>
      <c r="H43" s="118"/>
      <c r="I43" s="118"/>
      <c r="J43" s="118"/>
      <c r="K43" s="119">
        <f t="shared" si="4"/>
        <v>0</v>
      </c>
    </row>
    <row r="44" spans="1:14" ht="15.75" thickBot="1" x14ac:dyDescent="0.3">
      <c r="A44" s="463"/>
      <c r="B44" s="456"/>
      <c r="C44" s="89"/>
      <c r="D44" s="120"/>
      <c r="E44" s="120"/>
      <c r="F44" s="120"/>
      <c r="G44" s="120"/>
      <c r="H44" s="90"/>
      <c r="I44" s="90"/>
      <c r="J44" s="90"/>
      <c r="K44" s="119">
        <f t="shared" si="4"/>
        <v>0</v>
      </c>
    </row>
    <row r="45" spans="1:14" ht="15.75" thickBot="1" x14ac:dyDescent="0.3">
      <c r="A45" s="86"/>
      <c r="B45" s="121"/>
      <c r="C45" s="89"/>
      <c r="D45" s="120"/>
      <c r="E45" s="120"/>
      <c r="F45" s="120"/>
      <c r="G45" s="120"/>
      <c r="H45" s="90"/>
      <c r="I45" s="90"/>
      <c r="J45" s="90"/>
      <c r="K45" s="119">
        <f t="shared" si="4"/>
        <v>0</v>
      </c>
      <c r="M45" s="134"/>
      <c r="N45" s="135"/>
    </row>
    <row r="46" spans="1:14" ht="15.75" thickBot="1" x14ac:dyDescent="0.3">
      <c r="A46" s="86" t="s">
        <v>4</v>
      </c>
      <c r="B46" s="464"/>
      <c r="C46" s="125"/>
      <c r="D46" s="116">
        <f>SUM(D42:D45)</f>
        <v>11.9</v>
      </c>
      <c r="E46" s="116">
        <f t="shared" ref="E46:J46" si="5">SUM(E42:E45)</f>
        <v>6</v>
      </c>
      <c r="F46" s="116">
        <f t="shared" si="5"/>
        <v>60</v>
      </c>
      <c r="G46" s="116">
        <f t="shared" si="5"/>
        <v>5</v>
      </c>
      <c r="H46" s="116">
        <f t="shared" si="5"/>
        <v>0</v>
      </c>
      <c r="I46" s="116">
        <f t="shared" si="5"/>
        <v>0</v>
      </c>
      <c r="J46" s="116">
        <f t="shared" si="5"/>
        <v>0</v>
      </c>
      <c r="K46" s="94">
        <f>SUM(K42:K45)</f>
        <v>82.9</v>
      </c>
    </row>
    <row r="47" spans="1:14" x14ac:dyDescent="0.25">
      <c r="A47" s="109"/>
      <c r="B47" s="127"/>
      <c r="C47" s="128"/>
      <c r="D47" s="129"/>
      <c r="E47" s="129"/>
      <c r="F47" s="129"/>
      <c r="G47" s="129"/>
      <c r="H47" s="129"/>
      <c r="I47" s="129"/>
      <c r="J47" s="129"/>
      <c r="K47" s="130"/>
    </row>
    <row r="48" spans="1:14" x14ac:dyDescent="0.25">
      <c r="A48" s="109"/>
      <c r="B48" s="127"/>
      <c r="C48" s="128"/>
      <c r="D48" s="129"/>
      <c r="E48" s="129"/>
      <c r="F48" s="129"/>
      <c r="G48" s="129"/>
      <c r="H48" s="129"/>
      <c r="I48" s="129"/>
      <c r="J48" s="129"/>
      <c r="K48" s="130"/>
    </row>
    <row r="49" spans="1:11" ht="15.75" thickBot="1" x14ac:dyDescent="0.3">
      <c r="A49" s="84"/>
      <c r="B49" s="84"/>
      <c r="C49" s="84"/>
      <c r="K49" s="85"/>
    </row>
    <row r="50" spans="1:11" ht="45.75" thickBot="1" x14ac:dyDescent="0.3">
      <c r="A50" s="114" t="s">
        <v>49</v>
      </c>
      <c r="B50" s="86" t="s">
        <v>45</v>
      </c>
      <c r="C50" s="114" t="s">
        <v>41</v>
      </c>
      <c r="D50" s="114" t="s">
        <v>34</v>
      </c>
      <c r="E50" s="114" t="s">
        <v>35</v>
      </c>
      <c r="F50" s="114" t="s">
        <v>46</v>
      </c>
      <c r="G50" s="114" t="s">
        <v>47</v>
      </c>
      <c r="H50" s="86" t="s">
        <v>48</v>
      </c>
      <c r="I50" s="132" t="s">
        <v>740</v>
      </c>
      <c r="J50" s="86" t="s">
        <v>497</v>
      </c>
      <c r="K50" s="115" t="s">
        <v>4</v>
      </c>
    </row>
    <row r="51" spans="1:11" ht="15.75" thickBot="1" x14ac:dyDescent="0.3">
      <c r="A51" s="103" t="s">
        <v>830</v>
      </c>
      <c r="B51" s="103" t="s">
        <v>831</v>
      </c>
      <c r="C51" s="89">
        <v>46082</v>
      </c>
      <c r="D51" s="118"/>
      <c r="E51" s="118"/>
      <c r="F51" s="118"/>
      <c r="G51" s="118"/>
      <c r="H51" s="118"/>
      <c r="I51" s="118"/>
      <c r="J51" s="118">
        <v>113</v>
      </c>
      <c r="K51" s="119">
        <f>SUM(D51:J51)</f>
        <v>113</v>
      </c>
    </row>
    <row r="52" spans="1:11" ht="15.75" thickBot="1" x14ac:dyDescent="0.3">
      <c r="A52" s="103" t="s">
        <v>855</v>
      </c>
      <c r="B52" s="103" t="s">
        <v>856</v>
      </c>
      <c r="C52" s="89">
        <v>46082</v>
      </c>
      <c r="D52" s="118">
        <v>379.5</v>
      </c>
      <c r="E52" s="118">
        <v>40.200000000000003</v>
      </c>
      <c r="F52" s="118"/>
      <c r="G52" s="118"/>
      <c r="H52" s="118"/>
      <c r="I52" s="118"/>
      <c r="J52" s="118"/>
      <c r="K52" s="119">
        <f t="shared" ref="K52:K63" si="6">SUM(D52:J52)</f>
        <v>419.7</v>
      </c>
    </row>
    <row r="53" spans="1:11" ht="15.75" thickBot="1" x14ac:dyDescent="0.3">
      <c r="A53" s="456" t="s">
        <v>858</v>
      </c>
      <c r="B53" s="103" t="s">
        <v>857</v>
      </c>
      <c r="C53" s="89">
        <v>46082</v>
      </c>
      <c r="D53" s="118">
        <v>447.5</v>
      </c>
      <c r="E53" s="118">
        <v>12.1</v>
      </c>
      <c r="F53" s="118">
        <v>40</v>
      </c>
      <c r="G53" s="118">
        <v>5</v>
      </c>
      <c r="H53" s="118"/>
      <c r="I53" s="118"/>
      <c r="J53" s="118"/>
      <c r="K53" s="119">
        <f t="shared" si="6"/>
        <v>504.6</v>
      </c>
    </row>
    <row r="54" spans="1:11" ht="15.75" thickBot="1" x14ac:dyDescent="0.3">
      <c r="A54" s="103" t="s">
        <v>861</v>
      </c>
      <c r="B54" s="103" t="s">
        <v>859</v>
      </c>
      <c r="C54" s="89">
        <v>46082</v>
      </c>
      <c r="D54" s="118">
        <v>199.8</v>
      </c>
      <c r="E54" s="118">
        <v>65.099999999999994</v>
      </c>
      <c r="F54" s="118">
        <v>60</v>
      </c>
      <c r="G54" s="118">
        <v>5</v>
      </c>
      <c r="H54" s="118"/>
      <c r="I54" s="118"/>
      <c r="J54" s="118"/>
      <c r="K54" s="119">
        <f t="shared" si="6"/>
        <v>329.9</v>
      </c>
    </row>
    <row r="55" spans="1:11" ht="15.75" thickBot="1" x14ac:dyDescent="0.3">
      <c r="A55" s="456" t="s">
        <v>862</v>
      </c>
      <c r="B55" s="103" t="s">
        <v>860</v>
      </c>
      <c r="C55" s="89">
        <v>46082</v>
      </c>
      <c r="D55" s="118">
        <v>640.29999999999995</v>
      </c>
      <c r="E55" s="118">
        <v>33.6</v>
      </c>
      <c r="F55" s="118"/>
      <c r="G55" s="118"/>
      <c r="H55" s="118"/>
      <c r="I55" s="118"/>
      <c r="J55" s="118"/>
      <c r="K55" s="119">
        <f t="shared" si="6"/>
        <v>673.9</v>
      </c>
    </row>
    <row r="56" spans="1:11" ht="15.75" thickBot="1" x14ac:dyDescent="0.3">
      <c r="A56" s="456" t="s">
        <v>871</v>
      </c>
      <c r="B56" s="103" t="s">
        <v>872</v>
      </c>
      <c r="C56" s="89">
        <v>46082</v>
      </c>
      <c r="D56" s="118">
        <v>27.4</v>
      </c>
      <c r="E56" s="118">
        <v>164</v>
      </c>
      <c r="F56" s="118">
        <v>60</v>
      </c>
      <c r="G56" s="118">
        <v>5</v>
      </c>
      <c r="H56" s="118"/>
      <c r="I56" s="118"/>
      <c r="J56" s="118"/>
      <c r="K56" s="119">
        <f t="shared" si="6"/>
        <v>256.39999999999998</v>
      </c>
    </row>
    <row r="57" spans="1:11" ht="15.75" thickBot="1" x14ac:dyDescent="0.3">
      <c r="A57" s="456"/>
      <c r="B57" s="103"/>
      <c r="C57" s="103"/>
      <c r="D57" s="118"/>
      <c r="E57" s="118"/>
      <c r="F57" s="118"/>
      <c r="G57" s="118"/>
      <c r="H57" s="118"/>
      <c r="I57" s="118"/>
      <c r="J57" s="118"/>
      <c r="K57" s="119">
        <f t="shared" si="6"/>
        <v>0</v>
      </c>
    </row>
    <row r="58" spans="1:11" ht="15.75" thickBot="1" x14ac:dyDescent="0.3">
      <c r="A58" s="456"/>
      <c r="B58" s="103"/>
      <c r="C58" s="103"/>
      <c r="D58" s="118"/>
      <c r="E58" s="118"/>
      <c r="F58" s="118"/>
      <c r="G58" s="118"/>
      <c r="H58" s="118"/>
      <c r="I58" s="118"/>
      <c r="J58" s="118"/>
      <c r="K58" s="119">
        <f t="shared" si="6"/>
        <v>0</v>
      </c>
    </row>
    <row r="59" spans="1:11" ht="15.75" thickBot="1" x14ac:dyDescent="0.3">
      <c r="A59" s="456"/>
      <c r="B59" s="103"/>
      <c r="C59" s="103"/>
      <c r="D59" s="118"/>
      <c r="E59" s="118"/>
      <c r="F59" s="118"/>
      <c r="G59" s="118"/>
      <c r="H59" s="118"/>
      <c r="I59" s="118"/>
      <c r="J59" s="118"/>
      <c r="K59" s="119">
        <f t="shared" si="6"/>
        <v>0</v>
      </c>
    </row>
    <row r="60" spans="1:11" ht="15.75" thickBot="1" x14ac:dyDescent="0.3">
      <c r="A60" s="103" t="s">
        <v>832</v>
      </c>
      <c r="B60" s="442">
        <v>11095</v>
      </c>
      <c r="C60" s="89">
        <v>46113</v>
      </c>
      <c r="D60" s="118"/>
      <c r="E60" s="118"/>
      <c r="F60" s="118"/>
      <c r="G60" s="118"/>
      <c r="H60" s="118"/>
      <c r="I60" s="118">
        <v>5</v>
      </c>
      <c r="J60" s="118"/>
      <c r="K60" s="119">
        <f t="shared" si="6"/>
        <v>5</v>
      </c>
    </row>
    <row r="61" spans="1:11" ht="15.75" thickBot="1" x14ac:dyDescent="0.3">
      <c r="A61" s="121"/>
      <c r="B61" s="103"/>
      <c r="C61" s="103"/>
      <c r="D61" s="118"/>
      <c r="F61" s="118"/>
      <c r="G61" s="118"/>
      <c r="H61" s="118"/>
      <c r="I61" s="118"/>
      <c r="J61" s="118"/>
      <c r="K61" s="119">
        <f t="shared" si="6"/>
        <v>0</v>
      </c>
    </row>
    <row r="62" spans="1:11" ht="15.75" thickBot="1" x14ac:dyDescent="0.3">
      <c r="A62" s="121"/>
      <c r="B62" s="103"/>
      <c r="C62" s="103"/>
      <c r="D62" s="118"/>
      <c r="E62" s="118"/>
      <c r="F62" s="118"/>
      <c r="G62" s="118"/>
      <c r="H62" s="118"/>
      <c r="I62" s="118"/>
      <c r="J62" s="118"/>
      <c r="K62" s="119">
        <f t="shared" si="6"/>
        <v>0</v>
      </c>
    </row>
    <row r="63" spans="1:11" ht="15.75" thickBot="1" x14ac:dyDescent="0.3">
      <c r="A63" s="121"/>
      <c r="B63" s="103"/>
      <c r="C63" s="103"/>
      <c r="D63" s="138"/>
      <c r="E63" s="138"/>
      <c r="F63" s="138"/>
      <c r="G63" s="138"/>
      <c r="H63" s="138"/>
      <c r="I63" s="138"/>
      <c r="J63" s="138"/>
      <c r="K63" s="119">
        <f t="shared" si="6"/>
        <v>0</v>
      </c>
    </row>
    <row r="64" spans="1:11" ht="19.5" thickBot="1" x14ac:dyDescent="0.35">
      <c r="A64" s="105" t="s">
        <v>4</v>
      </c>
      <c r="B64" s="86"/>
      <c r="C64" s="106"/>
      <c r="D64" s="107">
        <f t="shared" ref="D64:K64" si="7">SUM(D51:D63)</f>
        <v>1694.5</v>
      </c>
      <c r="E64" s="107">
        <f t="shared" si="7"/>
        <v>315</v>
      </c>
      <c r="F64" s="107">
        <f t="shared" si="7"/>
        <v>160</v>
      </c>
      <c r="G64" s="107">
        <f t="shared" si="7"/>
        <v>15</v>
      </c>
      <c r="H64" s="107">
        <f t="shared" si="7"/>
        <v>0</v>
      </c>
      <c r="I64" s="107">
        <f t="shared" si="7"/>
        <v>5</v>
      </c>
      <c r="J64" s="107">
        <f t="shared" si="7"/>
        <v>113</v>
      </c>
      <c r="K64" s="107">
        <f t="shared" si="7"/>
        <v>2302.5000000000005</v>
      </c>
    </row>
    <row r="65" spans="1:12" ht="15.75" x14ac:dyDescent="0.25">
      <c r="A65" s="139"/>
      <c r="B65" s="139"/>
      <c r="C65" s="140"/>
      <c r="D65" s="141"/>
      <c r="E65" s="141"/>
      <c r="F65" s="141"/>
      <c r="G65" s="141"/>
      <c r="H65" s="141"/>
      <c r="I65" s="141"/>
      <c r="J65" s="141"/>
      <c r="K65" s="141"/>
    </row>
    <row r="66" spans="1:12" ht="16.5" thickBot="1" x14ac:dyDescent="0.3">
      <c r="A66" s="139"/>
      <c r="B66" s="139"/>
      <c r="C66" s="140"/>
      <c r="D66" s="141"/>
      <c r="E66" s="141"/>
      <c r="F66" s="141"/>
      <c r="G66" s="141"/>
      <c r="H66" s="141"/>
      <c r="I66" s="141"/>
      <c r="J66" s="141"/>
      <c r="K66" s="141"/>
    </row>
    <row r="67" spans="1:12" ht="19.5" thickBot="1" x14ac:dyDescent="0.35">
      <c r="A67" s="492" t="s">
        <v>50</v>
      </c>
      <c r="B67" s="493"/>
      <c r="C67" s="142"/>
      <c r="D67" s="143"/>
      <c r="E67" s="143"/>
      <c r="F67" s="143"/>
      <c r="G67" s="143"/>
      <c r="H67" s="143"/>
      <c r="I67" s="143"/>
      <c r="J67" s="143"/>
      <c r="K67" s="108">
        <f>+K24+K64</f>
        <v>2952.8</v>
      </c>
    </row>
    <row r="68" spans="1:12" x14ac:dyDescent="0.25">
      <c r="A68" s="84"/>
      <c r="B68" s="84"/>
      <c r="C68" s="144"/>
      <c r="D68" s="85"/>
      <c r="E68" s="85"/>
      <c r="F68" s="85"/>
      <c r="G68" s="85"/>
      <c r="H68" s="85"/>
      <c r="I68" s="85"/>
      <c r="J68" s="85"/>
      <c r="K68" s="85"/>
    </row>
    <row r="69" spans="1:12" x14ac:dyDescent="0.25">
      <c r="A69" s="84"/>
      <c r="B69" s="84"/>
      <c r="C69" s="144"/>
      <c r="D69" s="85"/>
      <c r="E69" s="85"/>
      <c r="F69" s="85"/>
      <c r="G69" s="85"/>
      <c r="H69" s="85"/>
      <c r="I69" s="85"/>
      <c r="J69" s="85"/>
      <c r="K69" s="85"/>
    </row>
    <row r="70" spans="1:12" ht="16.5" thickBot="1" x14ac:dyDescent="0.3">
      <c r="A70" s="145" t="s">
        <v>500</v>
      </c>
      <c r="B70" s="84"/>
      <c r="C70" s="144"/>
      <c r="D70" s="85"/>
      <c r="E70" s="85"/>
      <c r="F70" s="85"/>
      <c r="G70" s="85"/>
      <c r="H70" s="85"/>
      <c r="I70" s="85"/>
      <c r="J70" s="85"/>
      <c r="K70" s="85"/>
    </row>
    <row r="71" spans="1:12" ht="19.5" thickBot="1" x14ac:dyDescent="0.35">
      <c r="A71" s="146" t="s">
        <v>52</v>
      </c>
      <c r="B71" s="147"/>
      <c r="C71" s="148"/>
      <c r="D71" s="149"/>
      <c r="E71" s="149"/>
      <c r="F71" s="149"/>
      <c r="G71" s="149"/>
      <c r="H71" s="149"/>
      <c r="I71" s="149"/>
      <c r="J71" s="149"/>
      <c r="K71" s="108"/>
    </row>
    <row r="72" spans="1:12" ht="19.5" thickBot="1" x14ac:dyDescent="0.35">
      <c r="A72" s="146" t="s">
        <v>53</v>
      </c>
      <c r="B72" s="147"/>
      <c r="C72" s="150"/>
      <c r="D72" s="149"/>
      <c r="E72" s="149"/>
      <c r="F72" s="149"/>
      <c r="G72" s="149"/>
      <c r="H72" s="149"/>
      <c r="I72" s="149"/>
      <c r="J72" s="149"/>
      <c r="K72" s="108"/>
      <c r="L72" s="41"/>
    </row>
    <row r="73" spans="1:12" ht="18.75" x14ac:dyDescent="0.3">
      <c r="A73" s="151"/>
      <c r="B73" s="151"/>
      <c r="C73" s="152"/>
      <c r="D73" s="153"/>
      <c r="E73" s="153"/>
      <c r="F73" s="153"/>
      <c r="G73" s="153"/>
      <c r="H73" s="153"/>
      <c r="I73" s="153"/>
      <c r="J73" s="153"/>
      <c r="K73" s="111"/>
    </row>
    <row r="74" spans="1:12" ht="18.75" x14ac:dyDescent="0.3">
      <c r="A74" s="151"/>
      <c r="B74" s="151"/>
      <c r="C74" s="152"/>
      <c r="D74" s="153"/>
      <c r="E74" s="153"/>
      <c r="F74" s="153"/>
      <c r="G74" s="153"/>
      <c r="H74" s="153"/>
      <c r="I74" s="153"/>
      <c r="J74" s="153"/>
      <c r="K74" s="111"/>
      <c r="L74" s="41"/>
    </row>
    <row r="75" spans="1:12" ht="16.5" thickBot="1" x14ac:dyDescent="0.3">
      <c r="A75" s="154" t="s">
        <v>54</v>
      </c>
      <c r="B75" s="155"/>
      <c r="C75" s="144"/>
      <c r="D75" s="85"/>
      <c r="E75" s="85"/>
      <c r="F75" s="85"/>
      <c r="G75" s="85"/>
      <c r="H75" s="85"/>
      <c r="I75" s="85"/>
      <c r="J75" s="85"/>
      <c r="K75" s="85"/>
    </row>
    <row r="76" spans="1:12" ht="19.5" thickBot="1" x14ac:dyDescent="0.35">
      <c r="A76" s="156" t="s">
        <v>55</v>
      </c>
      <c r="B76" s="157"/>
      <c r="C76" s="158"/>
      <c r="D76" s="159"/>
      <c r="E76" s="159"/>
      <c r="F76" s="159"/>
      <c r="G76" s="159"/>
      <c r="H76" s="159"/>
      <c r="I76" s="159"/>
      <c r="J76" s="159"/>
      <c r="K76" s="160">
        <v>525.5</v>
      </c>
    </row>
    <row r="77" spans="1:12" x14ac:dyDescent="0.25">
      <c r="A77" s="161"/>
      <c r="B77" s="84"/>
      <c r="C77" s="144"/>
      <c r="D77" s="85"/>
      <c r="E77" s="85"/>
      <c r="F77" s="85"/>
      <c r="G77" s="85"/>
      <c r="H77" s="85"/>
      <c r="I77" s="85"/>
      <c r="J77" s="85"/>
      <c r="K77" s="85"/>
    </row>
    <row r="78" spans="1:12" ht="16.5" thickBot="1" x14ac:dyDescent="0.3">
      <c r="A78" s="154"/>
      <c r="B78" s="155"/>
      <c r="C78" s="144"/>
      <c r="D78" s="85"/>
      <c r="E78" s="85"/>
      <c r="F78" s="85"/>
      <c r="G78" s="85"/>
      <c r="H78" s="85"/>
      <c r="I78" s="85"/>
      <c r="J78" s="85"/>
      <c r="K78" s="85"/>
    </row>
    <row r="79" spans="1:12" ht="19.5" thickBot="1" x14ac:dyDescent="0.35">
      <c r="A79" s="156" t="s">
        <v>56</v>
      </c>
      <c r="B79" s="157"/>
      <c r="C79" s="162"/>
      <c r="D79" s="159"/>
      <c r="E79" s="159"/>
      <c r="F79" s="159"/>
      <c r="G79" s="159"/>
      <c r="H79" s="159"/>
      <c r="I79" s="159"/>
      <c r="J79" s="159"/>
      <c r="K79" s="163"/>
    </row>
    <row r="80" spans="1:12" ht="15.75" thickBot="1" x14ac:dyDescent="0.3">
      <c r="A80" s="161"/>
      <c r="B80" s="84"/>
      <c r="C80" s="144"/>
      <c r="D80" s="85"/>
      <c r="E80" s="85"/>
      <c r="F80" s="85"/>
      <c r="G80" s="85"/>
      <c r="H80" s="85"/>
      <c r="I80" s="85"/>
      <c r="J80" s="85"/>
      <c r="K80" s="85"/>
    </row>
    <row r="81" spans="1:11" ht="21.75" thickBot="1" x14ac:dyDescent="0.4">
      <c r="A81" s="494" t="s">
        <v>57</v>
      </c>
      <c r="B81" s="495"/>
      <c r="C81" s="164"/>
      <c r="D81" s="165"/>
      <c r="E81" s="165"/>
      <c r="F81" s="165"/>
      <c r="G81" s="165"/>
      <c r="H81" s="165"/>
      <c r="I81" s="165"/>
      <c r="J81" s="165"/>
      <c r="K81" s="166">
        <f>SUM(K67:K80)</f>
        <v>3478.3</v>
      </c>
    </row>
    <row r="82" spans="1:11" x14ac:dyDescent="0.25">
      <c r="A82" s="84"/>
      <c r="B82" s="84"/>
      <c r="C82" s="144"/>
      <c r="D82" s="85"/>
      <c r="E82" s="85"/>
      <c r="F82" s="85"/>
      <c r="G82" s="85"/>
      <c r="H82" s="85"/>
      <c r="I82" s="85"/>
      <c r="J82" s="85"/>
      <c r="K82" s="85"/>
    </row>
    <row r="83" spans="1:11" ht="21" x14ac:dyDescent="0.35">
      <c r="A83" s="491" t="s">
        <v>826</v>
      </c>
      <c r="B83" s="491"/>
      <c r="C83" s="491"/>
      <c r="D83" s="491"/>
      <c r="E83" s="491"/>
      <c r="F83" s="491"/>
      <c r="G83" s="491"/>
      <c r="H83" s="491"/>
      <c r="I83" s="491"/>
      <c r="J83" s="491"/>
      <c r="K83" s="491"/>
    </row>
    <row r="84" spans="1:11" ht="21.75" thickBot="1" x14ac:dyDescent="0.4">
      <c r="A84" s="458" t="s">
        <v>10</v>
      </c>
      <c r="B84" s="458"/>
      <c r="C84" s="458"/>
      <c r="D84" s="458"/>
      <c r="E84" s="458"/>
      <c r="F84" s="458"/>
      <c r="G84" s="458"/>
      <c r="H84" s="458"/>
      <c r="I84" s="458"/>
      <c r="J84" s="458"/>
      <c r="K84" s="168"/>
    </row>
    <row r="85" spans="1:11" ht="15.75" thickBot="1" x14ac:dyDescent="0.3">
      <c r="A85" s="169" t="s">
        <v>58</v>
      </c>
      <c r="B85" s="170" t="s">
        <v>59</v>
      </c>
      <c r="C85" s="496" t="s">
        <v>33</v>
      </c>
      <c r="D85" s="497"/>
      <c r="E85" s="497"/>
      <c r="F85" s="497"/>
      <c r="G85" s="497"/>
      <c r="H85" s="497"/>
      <c r="I85" s="497"/>
      <c r="J85" s="498"/>
      <c r="K85" s="171" t="s">
        <v>4</v>
      </c>
    </row>
    <row r="86" spans="1:11" ht="30.75" thickBot="1" x14ac:dyDescent="0.3">
      <c r="A86" s="470" t="s">
        <v>838</v>
      </c>
      <c r="B86" s="472" t="s">
        <v>843</v>
      </c>
      <c r="C86" s="504" t="s">
        <v>839</v>
      </c>
      <c r="D86" s="505"/>
      <c r="E86" s="505"/>
      <c r="F86" s="505"/>
      <c r="G86" s="505"/>
      <c r="H86" s="505"/>
      <c r="I86" s="505"/>
      <c r="J86" s="528"/>
      <c r="K86" s="473">
        <v>1900</v>
      </c>
    </row>
    <row r="87" spans="1:11" ht="15.75" thickBot="1" x14ac:dyDescent="0.3">
      <c r="A87" s="173" t="s">
        <v>840</v>
      </c>
      <c r="B87" s="471" t="s">
        <v>844</v>
      </c>
      <c r="C87" s="504" t="s">
        <v>841</v>
      </c>
      <c r="D87" s="505"/>
      <c r="E87" s="505"/>
      <c r="F87" s="505"/>
      <c r="G87" s="505"/>
      <c r="H87" s="505"/>
      <c r="I87" s="505"/>
      <c r="J87" s="528"/>
      <c r="K87" s="473">
        <v>1840</v>
      </c>
    </row>
    <row r="88" spans="1:11" ht="15.75" thickBot="1" x14ac:dyDescent="0.3">
      <c r="A88" s="481" t="s">
        <v>437</v>
      </c>
      <c r="B88" s="173">
        <v>890315</v>
      </c>
      <c r="C88" s="504" t="s">
        <v>842</v>
      </c>
      <c r="D88" s="505"/>
      <c r="E88" s="505"/>
      <c r="F88" s="505"/>
      <c r="G88" s="505"/>
      <c r="H88" s="505"/>
      <c r="I88" s="505"/>
      <c r="J88" s="528"/>
      <c r="K88" s="474">
        <v>1609.6</v>
      </c>
    </row>
    <row r="89" spans="1:11" ht="15.75" thickBot="1" x14ac:dyDescent="0.3">
      <c r="A89" s="482" t="s">
        <v>438</v>
      </c>
      <c r="B89" s="173">
        <v>891454</v>
      </c>
      <c r="C89" s="504" t="s">
        <v>842</v>
      </c>
      <c r="D89" s="505"/>
      <c r="E89" s="505"/>
      <c r="F89" s="505"/>
      <c r="G89" s="505"/>
      <c r="H89" s="505"/>
      <c r="I89" s="505"/>
      <c r="J89" s="528"/>
      <c r="K89" s="474">
        <v>1065.2</v>
      </c>
    </row>
    <row r="90" spans="1:11" ht="15.75" thickBot="1" x14ac:dyDescent="0.3">
      <c r="A90" s="482" t="s">
        <v>439</v>
      </c>
      <c r="B90" s="173">
        <v>892562</v>
      </c>
      <c r="C90" s="504" t="s">
        <v>842</v>
      </c>
      <c r="D90" s="505"/>
      <c r="E90" s="505"/>
      <c r="F90" s="505"/>
      <c r="G90" s="505"/>
      <c r="H90" s="505"/>
      <c r="I90" s="505"/>
      <c r="J90" s="528"/>
      <c r="K90" s="474">
        <v>1711.6</v>
      </c>
    </row>
    <row r="91" spans="1:11" ht="15.75" thickBot="1" x14ac:dyDescent="0.3">
      <c r="A91" s="482" t="s">
        <v>440</v>
      </c>
      <c r="B91" s="173">
        <v>893477</v>
      </c>
      <c r="C91" s="504" t="s">
        <v>842</v>
      </c>
      <c r="D91" s="505"/>
      <c r="E91" s="505"/>
      <c r="F91" s="505"/>
      <c r="G91" s="505"/>
      <c r="H91" s="505"/>
      <c r="I91" s="505"/>
      <c r="J91" s="528"/>
      <c r="K91" s="474">
        <v>1022.1</v>
      </c>
    </row>
    <row r="92" spans="1:11" ht="15.75" thickBot="1" x14ac:dyDescent="0.3">
      <c r="A92" s="482" t="s">
        <v>441</v>
      </c>
      <c r="B92" s="173">
        <v>894283</v>
      </c>
      <c r="C92" s="504" t="s">
        <v>842</v>
      </c>
      <c r="D92" s="505"/>
      <c r="E92" s="505"/>
      <c r="F92" s="505"/>
      <c r="G92" s="505"/>
      <c r="H92" s="505"/>
      <c r="I92" s="505"/>
      <c r="J92" s="528"/>
      <c r="K92" s="474">
        <v>1137.4000000000001</v>
      </c>
    </row>
    <row r="93" spans="1:11" ht="15.75" thickBot="1" x14ac:dyDescent="0.3">
      <c r="A93" s="482" t="s">
        <v>845</v>
      </c>
      <c r="B93" s="173">
        <v>895204</v>
      </c>
      <c r="C93" s="504" t="s">
        <v>842</v>
      </c>
      <c r="D93" s="505"/>
      <c r="E93" s="505"/>
      <c r="F93" s="505"/>
      <c r="G93" s="505"/>
      <c r="H93" s="505"/>
      <c r="I93" s="505"/>
      <c r="J93" s="528"/>
      <c r="K93" s="474">
        <v>927.7</v>
      </c>
    </row>
    <row r="94" spans="1:11" ht="15.75" thickBot="1" x14ac:dyDescent="0.3">
      <c r="A94" s="482" t="s">
        <v>846</v>
      </c>
      <c r="B94" s="173">
        <v>896490</v>
      </c>
      <c r="C94" s="504" t="s">
        <v>842</v>
      </c>
      <c r="D94" s="505"/>
      <c r="E94" s="505"/>
      <c r="F94" s="505"/>
      <c r="G94" s="505"/>
      <c r="H94" s="505"/>
      <c r="I94" s="505"/>
      <c r="J94" s="528"/>
      <c r="K94" s="474">
        <v>1282.4000000000001</v>
      </c>
    </row>
    <row r="95" spans="1:11" ht="15.75" thickBot="1" x14ac:dyDescent="0.3">
      <c r="A95" s="483" t="s">
        <v>847</v>
      </c>
      <c r="B95" s="173">
        <v>897728</v>
      </c>
      <c r="C95" s="504" t="s">
        <v>842</v>
      </c>
      <c r="D95" s="505"/>
      <c r="E95" s="505"/>
      <c r="F95" s="505"/>
      <c r="G95" s="505"/>
      <c r="H95" s="505"/>
      <c r="I95" s="505"/>
      <c r="J95" s="528"/>
      <c r="K95" s="474">
        <v>1268.3</v>
      </c>
    </row>
    <row r="96" spans="1:11" ht="15.75" thickBot="1" x14ac:dyDescent="0.3">
      <c r="A96" s="482" t="s">
        <v>848</v>
      </c>
      <c r="B96" s="173">
        <v>898831</v>
      </c>
      <c r="C96" s="504" t="s">
        <v>842</v>
      </c>
      <c r="D96" s="505"/>
      <c r="E96" s="505"/>
      <c r="F96" s="505"/>
      <c r="G96" s="505"/>
      <c r="H96" s="505"/>
      <c r="I96" s="505"/>
      <c r="J96" s="505"/>
      <c r="K96" s="479">
        <v>387.9</v>
      </c>
    </row>
    <row r="97" spans="1:11" ht="15.75" thickBot="1" x14ac:dyDescent="0.3">
      <c r="A97" s="482" t="s">
        <v>849</v>
      </c>
      <c r="B97" s="173">
        <v>899804</v>
      </c>
      <c r="C97" s="504" t="s">
        <v>842</v>
      </c>
      <c r="D97" s="505"/>
      <c r="E97" s="505"/>
      <c r="F97" s="505"/>
      <c r="G97" s="505"/>
      <c r="H97" s="505"/>
      <c r="I97" s="505"/>
      <c r="J97" s="505"/>
      <c r="K97" s="480">
        <v>642.4</v>
      </c>
    </row>
    <row r="98" spans="1:11" ht="15.75" thickBot="1" x14ac:dyDescent="0.3">
      <c r="A98" s="482" t="s">
        <v>850</v>
      </c>
      <c r="B98" s="173">
        <v>900682</v>
      </c>
      <c r="C98" s="504" t="s">
        <v>842</v>
      </c>
      <c r="D98" s="505"/>
      <c r="E98" s="505"/>
      <c r="F98" s="505"/>
      <c r="G98" s="505"/>
      <c r="H98" s="505"/>
      <c r="I98" s="505"/>
      <c r="J98" s="505"/>
      <c r="K98" s="480">
        <v>1325</v>
      </c>
    </row>
    <row r="99" spans="1:11" ht="15.75" thickBot="1" x14ac:dyDescent="0.3">
      <c r="A99" s="482" t="s">
        <v>638</v>
      </c>
      <c r="B99" s="173" t="s">
        <v>865</v>
      </c>
      <c r="C99" s="504" t="s">
        <v>866</v>
      </c>
      <c r="D99" s="505"/>
      <c r="E99" s="505"/>
      <c r="F99" s="505"/>
      <c r="G99" s="505"/>
      <c r="H99" s="505"/>
      <c r="I99" s="505"/>
      <c r="J99" s="505"/>
      <c r="K99" s="480">
        <v>33</v>
      </c>
    </row>
    <row r="100" spans="1:11" ht="15.75" thickBot="1" x14ac:dyDescent="0.3">
      <c r="A100" s="482" t="s">
        <v>868</v>
      </c>
      <c r="B100" s="173" t="s">
        <v>869</v>
      </c>
      <c r="C100" s="504" t="s">
        <v>870</v>
      </c>
      <c r="D100" s="505"/>
      <c r="E100" s="505"/>
      <c r="F100" s="505"/>
      <c r="G100" s="505"/>
      <c r="H100" s="505"/>
      <c r="I100" s="505"/>
      <c r="J100" s="505"/>
      <c r="K100" s="480">
        <v>250</v>
      </c>
    </row>
    <row r="101" spans="1:11" ht="15.75" thickBot="1" x14ac:dyDescent="0.3">
      <c r="A101" s="482" t="s">
        <v>875</v>
      </c>
      <c r="B101" s="173" t="s">
        <v>874</v>
      </c>
      <c r="C101" s="504" t="s">
        <v>876</v>
      </c>
      <c r="D101" s="505"/>
      <c r="E101" s="505"/>
      <c r="F101" s="505"/>
      <c r="G101" s="505"/>
      <c r="H101" s="505"/>
      <c r="I101" s="505"/>
      <c r="J101" s="505"/>
      <c r="K101" s="480">
        <v>105</v>
      </c>
    </row>
    <row r="102" spans="1:11" ht="15.75" thickBot="1" x14ac:dyDescent="0.3">
      <c r="A102" s="469"/>
      <c r="B102" s="173"/>
      <c r="C102" s="525"/>
      <c r="D102" s="526"/>
      <c r="E102" s="526"/>
      <c r="F102" s="526"/>
      <c r="G102" s="526"/>
      <c r="H102" s="526"/>
      <c r="I102" s="526"/>
      <c r="J102" s="526"/>
      <c r="K102" s="480"/>
    </row>
    <row r="103" spans="1:11" ht="15.75" thickBot="1" x14ac:dyDescent="0.3">
      <c r="A103" s="469"/>
      <c r="B103" s="173"/>
      <c r="C103" s="525"/>
      <c r="D103" s="526"/>
      <c r="E103" s="526"/>
      <c r="F103" s="526"/>
      <c r="G103" s="526"/>
      <c r="H103" s="526"/>
      <c r="I103" s="526"/>
      <c r="J103" s="526"/>
      <c r="K103" s="480"/>
    </row>
    <row r="104" spans="1:11" ht="15.75" thickBot="1" x14ac:dyDescent="0.3">
      <c r="A104" s="121"/>
      <c r="B104" s="173"/>
      <c r="C104" s="525"/>
      <c r="D104" s="526"/>
      <c r="E104" s="526"/>
      <c r="F104" s="526"/>
      <c r="G104" s="526"/>
      <c r="H104" s="526"/>
      <c r="I104" s="526"/>
      <c r="J104" s="526"/>
      <c r="K104" s="405"/>
    </row>
    <row r="105" spans="1:11" ht="19.5" thickBot="1" x14ac:dyDescent="0.35">
      <c r="A105" s="175" t="s">
        <v>60</v>
      </c>
      <c r="B105" s="492"/>
      <c r="C105" s="499"/>
      <c r="D105" s="499"/>
      <c r="E105" s="499"/>
      <c r="F105" s="499"/>
      <c r="G105" s="499"/>
      <c r="H105" s="499"/>
      <c r="I105" s="499"/>
      <c r="J105" s="465"/>
      <c r="K105" s="176">
        <f>SUM(K86:K104)</f>
        <v>16507.599999999999</v>
      </c>
    </row>
    <row r="106" spans="1:11" ht="18.75" x14ac:dyDescent="0.3">
      <c r="A106" s="2"/>
      <c r="B106" s="2"/>
      <c r="C106" s="177"/>
      <c r="D106" s="177"/>
      <c r="E106" s="177"/>
      <c r="F106" s="178"/>
      <c r="G106" s="177"/>
      <c r="H106" s="177"/>
      <c r="I106" s="177"/>
      <c r="J106" s="177"/>
      <c r="K106" s="111"/>
    </row>
    <row r="107" spans="1:11" ht="18.75" x14ac:dyDescent="0.3">
      <c r="A107" s="2"/>
      <c r="B107" s="2"/>
      <c r="C107" s="177"/>
      <c r="D107" s="177"/>
      <c r="E107" s="177"/>
      <c r="F107" s="178"/>
      <c r="G107" s="177"/>
      <c r="H107" s="177"/>
      <c r="I107" s="177"/>
      <c r="J107" s="177"/>
      <c r="K107" s="111"/>
    </row>
    <row r="108" spans="1:11" ht="18.75" x14ac:dyDescent="0.3">
      <c r="A108" s="139" t="s">
        <v>61</v>
      </c>
      <c r="B108" s="2"/>
      <c r="C108" s="84"/>
      <c r="D108" s="85"/>
      <c r="F108" s="85"/>
      <c r="K108" s="85"/>
    </row>
    <row r="109" spans="1:11" x14ac:dyDescent="0.25">
      <c r="A109" s="84" t="s">
        <v>62</v>
      </c>
      <c r="B109" s="144">
        <f>+K81</f>
        <v>3478.3</v>
      </c>
      <c r="C109" s="179"/>
      <c r="D109" s="85"/>
      <c r="F109" s="85"/>
      <c r="K109" s="85"/>
    </row>
    <row r="110" spans="1:11" ht="15.75" thickBot="1" x14ac:dyDescent="0.3">
      <c r="A110" s="84" t="s">
        <v>60</v>
      </c>
      <c r="B110" s="180">
        <f>+K105</f>
        <v>16507.599999999999</v>
      </c>
      <c r="C110" s="181"/>
      <c r="D110" s="85"/>
      <c r="F110" s="85"/>
      <c r="G110" s="182"/>
      <c r="H110" s="182"/>
      <c r="I110" s="183"/>
      <c r="J110" s="183"/>
      <c r="K110" s="183"/>
    </row>
    <row r="111" spans="1:11" ht="17.25" thickTop="1" thickBot="1" x14ac:dyDescent="0.3">
      <c r="A111" s="139" t="s">
        <v>8</v>
      </c>
      <c r="B111" s="184">
        <f>++B109-B110</f>
        <v>-13029.3</v>
      </c>
      <c r="C111" s="185"/>
      <c r="D111" s="186"/>
      <c r="E111" s="41"/>
      <c r="F111" s="186"/>
      <c r="G111" s="187"/>
      <c r="H111" s="187"/>
      <c r="I111" s="85"/>
      <c r="J111" s="85"/>
    </row>
    <row r="112" spans="1:11" ht="15.75" thickTop="1" x14ac:dyDescent="0.25"/>
  </sheetData>
  <mergeCells count="29">
    <mergeCell ref="A1:K1"/>
    <mergeCell ref="A67:B67"/>
    <mergeCell ref="A81:B81"/>
    <mergeCell ref="A83:K83"/>
    <mergeCell ref="C85:J85"/>
    <mergeCell ref="B29:B30"/>
    <mergeCell ref="A29:A30"/>
    <mergeCell ref="C104:J104"/>
    <mergeCell ref="B105:I105"/>
    <mergeCell ref="C89:J89"/>
    <mergeCell ref="C90:J90"/>
    <mergeCell ref="C91:J91"/>
    <mergeCell ref="C92:J92"/>
    <mergeCell ref="C93:J93"/>
    <mergeCell ref="C94:J94"/>
    <mergeCell ref="C95:J95"/>
    <mergeCell ref="C96:J96"/>
    <mergeCell ref="B31:B32"/>
    <mergeCell ref="A31:A32"/>
    <mergeCell ref="C102:J102"/>
    <mergeCell ref="C103:J103"/>
    <mergeCell ref="C99:J99"/>
    <mergeCell ref="C100:J100"/>
    <mergeCell ref="C101:J101"/>
    <mergeCell ref="C97:J97"/>
    <mergeCell ref="C98:J98"/>
    <mergeCell ref="C88:J88"/>
    <mergeCell ref="C86:J86"/>
    <mergeCell ref="C87:J87"/>
  </mergeCells>
  <phoneticPr fontId="15" type="noConversion"/>
  <pageMargins left="0.17" right="0.17" top="0.17" bottom="0.17" header="0.17" footer="0.3"/>
  <pageSetup paperSize="9" scale="52" fitToHeight="0"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465F-9C31-4F45-8C1D-2B444F300372}">
  <dimension ref="A1:AB48"/>
  <sheetViews>
    <sheetView topLeftCell="F10" zoomScale="78" zoomScaleNormal="78" workbookViewId="0">
      <selection activeCell="Y20" sqref="Y20"/>
    </sheetView>
  </sheetViews>
  <sheetFormatPr baseColWidth="10" defaultRowHeight="15" x14ac:dyDescent="0.25"/>
  <cols>
    <col min="2" max="2" width="15.5703125" bestFit="1" customWidth="1"/>
    <col min="3" max="3" width="15.140625" bestFit="1" customWidth="1"/>
    <col min="4" max="4" width="14.42578125" bestFit="1" customWidth="1"/>
    <col min="5" max="5" width="13" bestFit="1" customWidth="1"/>
    <col min="6" max="6" width="15.140625" bestFit="1" customWidth="1"/>
    <col min="7" max="7" width="16.85546875" customWidth="1"/>
    <col min="8" max="8" width="14.42578125" bestFit="1" customWidth="1"/>
    <col min="9" max="9" width="15.85546875" bestFit="1" customWidth="1"/>
    <col min="10" max="11" width="14.42578125" bestFit="1" customWidth="1"/>
    <col min="12" max="12" width="12.140625" customWidth="1"/>
    <col min="13" max="13" width="14.42578125" bestFit="1" customWidth="1"/>
    <col min="14" max="14" width="15.7109375" bestFit="1" customWidth="1"/>
    <col min="15" max="15" width="15.42578125" bestFit="1" customWidth="1"/>
    <col min="16" max="16" width="14.42578125" customWidth="1"/>
    <col min="17" max="17" width="15.85546875" bestFit="1" customWidth="1"/>
    <col min="18" max="18" width="14.42578125" bestFit="1" customWidth="1"/>
    <col min="19" max="19" width="16.42578125" bestFit="1" customWidth="1"/>
    <col min="20" max="20" width="13" bestFit="1" customWidth="1"/>
    <col min="22" max="22" width="13.140625" bestFit="1" customWidth="1"/>
    <col min="24" max="24" width="22" bestFit="1" customWidth="1"/>
    <col min="25" max="25" width="19.42578125" bestFit="1" customWidth="1"/>
    <col min="27" max="27" width="13.140625" bestFit="1" customWidth="1"/>
  </cols>
  <sheetData>
    <row r="1" spans="1:28" ht="19.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8" ht="19.5" thickBot="1" x14ac:dyDescent="0.35">
      <c r="A2" s="1"/>
      <c r="B2" s="545" t="s">
        <v>0</v>
      </c>
      <c r="C2" s="546"/>
      <c r="D2" s="547"/>
      <c r="E2" s="548" t="s">
        <v>1</v>
      </c>
      <c r="F2" s="549"/>
      <c r="G2" s="550"/>
      <c r="H2" s="551">
        <v>46113</v>
      </c>
      <c r="I2" s="552"/>
      <c r="J2" s="552"/>
      <c r="K2" s="552"/>
      <c r="L2" s="552"/>
      <c r="M2" s="552"/>
      <c r="N2" s="552"/>
      <c r="O2" s="552"/>
      <c r="P2" s="552"/>
      <c r="Q2" s="552"/>
      <c r="R2" s="552"/>
      <c r="S2" s="552"/>
      <c r="T2" s="552"/>
      <c r="U2" s="2"/>
    </row>
    <row r="3" spans="1:28" ht="38.25" thickBot="1" x14ac:dyDescent="0.3">
      <c r="A3" s="3"/>
      <c r="B3" s="4" t="s">
        <v>2</v>
      </c>
      <c r="C3" s="5" t="s">
        <v>3</v>
      </c>
      <c r="D3" s="6" t="s">
        <v>4</v>
      </c>
      <c r="E3" s="7" t="s">
        <v>2</v>
      </c>
      <c r="F3" s="5" t="s">
        <v>3</v>
      </c>
      <c r="G3" s="6" t="s">
        <v>4</v>
      </c>
      <c r="H3" s="8" t="s">
        <v>5</v>
      </c>
      <c r="I3" s="9" t="s">
        <v>6</v>
      </c>
      <c r="J3" s="10" t="s">
        <v>7</v>
      </c>
      <c r="K3" s="11" t="s">
        <v>8</v>
      </c>
      <c r="L3" s="12" t="s">
        <v>9</v>
      </c>
      <c r="M3" s="13" t="s">
        <v>10</v>
      </c>
      <c r="N3" s="14" t="s">
        <v>11</v>
      </c>
      <c r="O3" s="14" t="s">
        <v>12</v>
      </c>
      <c r="P3" s="14" t="s">
        <v>13</v>
      </c>
      <c r="Q3" s="15" t="s">
        <v>14</v>
      </c>
      <c r="R3" s="16" t="s">
        <v>15</v>
      </c>
      <c r="S3" s="17" t="s">
        <v>16</v>
      </c>
      <c r="T3" s="17" t="s">
        <v>17</v>
      </c>
      <c r="U3" s="18"/>
      <c r="V3" s="19" t="s">
        <v>18</v>
      </c>
    </row>
    <row r="4" spans="1:28" ht="19.5" thickBot="1" x14ac:dyDescent="0.35">
      <c r="A4" s="20" t="s">
        <v>19</v>
      </c>
      <c r="B4" s="553">
        <v>2026</v>
      </c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21">
        <v>5566.9</v>
      </c>
      <c r="N4" s="22">
        <v>1774</v>
      </c>
      <c r="O4" s="22">
        <v>9152.6</v>
      </c>
      <c r="P4" s="22">
        <v>40758.300000000003</v>
      </c>
      <c r="Q4" s="22"/>
      <c r="R4" s="23">
        <f>SUM(P4+O4+N4)-Q4</f>
        <v>51684.9</v>
      </c>
      <c r="S4" s="24">
        <f t="shared" ref="S4:S35" si="0">+M4+R4</f>
        <v>57251.8</v>
      </c>
      <c r="T4" s="24">
        <v>5266</v>
      </c>
      <c r="U4" s="25"/>
      <c r="V4" s="67"/>
    </row>
    <row r="5" spans="1:28" s="271" customFormat="1" ht="19.5" thickBot="1" x14ac:dyDescent="0.35">
      <c r="A5" s="259">
        <v>46113</v>
      </c>
      <c r="B5" s="260">
        <f>+'01-04-2026'!J29</f>
        <v>0</v>
      </c>
      <c r="C5" s="260">
        <f>+'01-04-2026'!J24</f>
        <v>1952.5</v>
      </c>
      <c r="D5" s="260">
        <f>B5+C5</f>
        <v>1952.5</v>
      </c>
      <c r="E5" s="260"/>
      <c r="F5" s="260"/>
      <c r="G5" s="261"/>
      <c r="H5" s="260">
        <f>+'01-04-2026'!J71</f>
        <v>501.5</v>
      </c>
      <c r="I5" s="262">
        <f>D5+G5+H5</f>
        <v>2454</v>
      </c>
      <c r="J5" s="260">
        <f>+'01-04-2026'!J95</f>
        <v>544</v>
      </c>
      <c r="K5" s="263">
        <f>I5-J5</f>
        <v>1910</v>
      </c>
      <c r="L5" s="264"/>
      <c r="M5" s="265">
        <f>M4+K5</f>
        <v>7476.9</v>
      </c>
      <c r="N5" s="266"/>
      <c r="O5" s="266"/>
      <c r="P5" s="267"/>
      <c r="Q5" s="266"/>
      <c r="R5" s="268">
        <f t="shared" ref="R5:R35" si="1">SUM(P5+O5+N5)-Q5-L5+R4</f>
        <v>51684.9</v>
      </c>
      <c r="S5" s="269">
        <f t="shared" si="0"/>
        <v>59161.8</v>
      </c>
      <c r="T5" s="268"/>
      <c r="U5" s="270"/>
      <c r="V5" s="67">
        <f>+'01-04-2026'!M31</f>
        <v>500</v>
      </c>
    </row>
    <row r="6" spans="1:28" ht="19.5" thickBot="1" x14ac:dyDescent="0.35">
      <c r="A6" s="27">
        <v>46114</v>
      </c>
      <c r="B6" s="26">
        <f>+'02-04-2026'!J30</f>
        <v>0</v>
      </c>
      <c r="C6" s="26">
        <f>+'02-04-2026'!J22</f>
        <v>59</v>
      </c>
      <c r="D6" s="26">
        <f t="shared" ref="D6:D8" si="2">B6+C6</f>
        <v>59</v>
      </c>
      <c r="E6" s="26"/>
      <c r="F6" s="26"/>
      <c r="G6" s="28"/>
      <c r="H6" s="26">
        <f>+'02-04-2026'!J69</f>
        <v>436</v>
      </c>
      <c r="I6" s="29">
        <f t="shared" ref="I6:I8" si="3">D6+G6+H6</f>
        <v>495</v>
      </c>
      <c r="J6" s="26">
        <f>+'02-04-2026'!J96</f>
        <v>0</v>
      </c>
      <c r="K6" s="30">
        <f t="shared" ref="K6:K8" si="4">I6-J6</f>
        <v>495</v>
      </c>
      <c r="L6" s="31"/>
      <c r="M6" s="21">
        <f>M5+K6</f>
        <v>7971.9</v>
      </c>
      <c r="N6" s="59"/>
      <c r="O6" s="59"/>
      <c r="P6" s="59"/>
      <c r="Q6" s="59"/>
      <c r="R6" s="23">
        <f t="shared" si="1"/>
        <v>51684.9</v>
      </c>
      <c r="S6" s="24">
        <f t="shared" si="0"/>
        <v>59656.800000000003</v>
      </c>
      <c r="T6" s="23"/>
      <c r="U6" s="25"/>
      <c r="V6" s="67">
        <f>+'02-04-2026'!M29</f>
        <v>0</v>
      </c>
      <c r="AB6" s="32"/>
    </row>
    <row r="7" spans="1:28" ht="19.5" thickBot="1" x14ac:dyDescent="0.35">
      <c r="A7" s="27">
        <v>46115</v>
      </c>
      <c r="B7" s="26">
        <f>+'03-04-2026'!J31</f>
        <v>0</v>
      </c>
      <c r="C7" s="26">
        <f>+'03-04-2026'!J22</f>
        <v>30.9</v>
      </c>
      <c r="D7" s="26">
        <f t="shared" si="2"/>
        <v>30.9</v>
      </c>
      <c r="E7" s="26"/>
      <c r="F7" s="26"/>
      <c r="G7" s="24"/>
      <c r="H7" s="26">
        <f>+'03-04-2026'!J69</f>
        <v>226.5</v>
      </c>
      <c r="I7" s="29">
        <f t="shared" si="3"/>
        <v>257.39999999999998</v>
      </c>
      <c r="J7" s="26">
        <f>+'03-04-2026'!J97</f>
        <v>0</v>
      </c>
      <c r="K7" s="30">
        <f t="shared" si="4"/>
        <v>257.39999999999998</v>
      </c>
      <c r="L7" s="33"/>
      <c r="M7" s="21">
        <f t="shared" ref="M7:M25" si="5">M6+K7</f>
        <v>8229.2999999999993</v>
      </c>
      <c r="N7" s="59"/>
      <c r="O7" s="59"/>
      <c r="P7" s="61"/>
      <c r="Q7" s="59"/>
      <c r="R7" s="23">
        <f t="shared" si="1"/>
        <v>51684.9</v>
      </c>
      <c r="S7" s="24">
        <f t="shared" si="0"/>
        <v>59914.2</v>
      </c>
      <c r="T7" s="23"/>
      <c r="U7" s="25"/>
      <c r="V7" s="67">
        <f>+'03-04-2026'!M29</f>
        <v>0</v>
      </c>
      <c r="W7" s="74"/>
      <c r="X7" s="74"/>
    </row>
    <row r="8" spans="1:28" s="74" customFormat="1" ht="19.5" thickBot="1" x14ac:dyDescent="0.35">
      <c r="A8" s="66">
        <v>46116</v>
      </c>
      <c r="B8" s="26">
        <f>+'04-04-2026'!J32</f>
        <v>0</v>
      </c>
      <c r="C8" s="26">
        <f>+'04-04-2026'!J22</f>
        <v>1160</v>
      </c>
      <c r="D8" s="26">
        <f t="shared" si="2"/>
        <v>1160</v>
      </c>
      <c r="E8" s="69"/>
      <c r="F8" s="70"/>
      <c r="G8" s="71"/>
      <c r="H8" s="26">
        <f>+'04-04-2026'!J69</f>
        <v>377.5</v>
      </c>
      <c r="I8" s="29">
        <f t="shared" si="3"/>
        <v>1537.5</v>
      </c>
      <c r="J8" s="26">
        <f>+'04-04-2026'!J92</f>
        <v>742.4</v>
      </c>
      <c r="K8" s="30">
        <f t="shared" si="4"/>
        <v>795.1</v>
      </c>
      <c r="L8" s="72"/>
      <c r="M8" s="21">
        <f t="shared" si="5"/>
        <v>9024.4</v>
      </c>
      <c r="N8" s="59"/>
      <c r="O8" s="59"/>
      <c r="P8" s="61"/>
      <c r="Q8" s="62"/>
      <c r="R8" s="72">
        <f t="shared" si="1"/>
        <v>51684.9</v>
      </c>
      <c r="S8" s="71">
        <f t="shared" si="0"/>
        <v>60709.3</v>
      </c>
      <c r="T8" s="72"/>
      <c r="U8" s="73"/>
      <c r="V8" s="67">
        <f>+'04-04-2026'!M29</f>
        <v>0</v>
      </c>
    </row>
    <row r="9" spans="1:28" s="74" customFormat="1" ht="19.5" thickBot="1" x14ac:dyDescent="0.35">
      <c r="A9" s="66">
        <v>46117</v>
      </c>
      <c r="B9" s="26">
        <f>+'05-04-2026'!J57</f>
        <v>0</v>
      </c>
      <c r="C9" s="26">
        <f>+'05-04-2026'!J22</f>
        <v>100</v>
      </c>
      <c r="D9" s="26">
        <f t="shared" ref="D9:D10" si="6">B9+C9</f>
        <v>100</v>
      </c>
      <c r="E9" s="69"/>
      <c r="F9" s="70"/>
      <c r="G9" s="71"/>
      <c r="H9" s="26">
        <f>+'05-04-2026'!J69</f>
        <v>504.5</v>
      </c>
      <c r="I9" s="29">
        <f t="shared" ref="I9:I10" si="7">D9+G9+H9</f>
        <v>604.5</v>
      </c>
      <c r="J9" s="26">
        <f>+'05-04-2026'!J93</f>
        <v>0</v>
      </c>
      <c r="K9" s="30">
        <f t="shared" ref="K9:K10" si="8">I9-J9</f>
        <v>604.5</v>
      </c>
      <c r="L9" s="75"/>
      <c r="M9" s="21">
        <f>M8+K9</f>
        <v>9628.9</v>
      </c>
      <c r="N9" s="61"/>
      <c r="O9" s="59"/>
      <c r="P9" s="61"/>
      <c r="Q9" s="63"/>
      <c r="R9" s="72">
        <f t="shared" si="1"/>
        <v>51684.9</v>
      </c>
      <c r="S9" s="71">
        <f t="shared" si="0"/>
        <v>61313.8</v>
      </c>
      <c r="T9" s="72"/>
      <c r="U9" s="73"/>
      <c r="V9" s="67">
        <f>+'05-04-2026'!M29</f>
        <v>0</v>
      </c>
    </row>
    <row r="10" spans="1:28" s="74" customFormat="1" ht="19.5" thickBot="1" x14ac:dyDescent="0.35">
      <c r="A10" s="66">
        <v>46118</v>
      </c>
      <c r="B10" s="26">
        <f>+'06-04-2026'!J58</f>
        <v>0</v>
      </c>
      <c r="C10" s="26">
        <f>+'06-04-2026'!J24</f>
        <v>1956.4</v>
      </c>
      <c r="D10" s="26">
        <f t="shared" si="6"/>
        <v>1956.4</v>
      </c>
      <c r="E10" s="69"/>
      <c r="F10" s="70"/>
      <c r="G10" s="71"/>
      <c r="H10" s="26">
        <f>+'06-04-2026'!J70</f>
        <v>352.5</v>
      </c>
      <c r="I10" s="29">
        <f t="shared" si="7"/>
        <v>2308.9</v>
      </c>
      <c r="J10" s="26">
        <f>+'06-04-2026'!J90</f>
        <v>265.5</v>
      </c>
      <c r="K10" s="30">
        <f t="shared" si="8"/>
        <v>2043.4</v>
      </c>
      <c r="L10" s="70"/>
      <c r="M10" s="21">
        <f>M9+K10-P10</f>
        <v>3972.2999999999993</v>
      </c>
      <c r="N10" s="59"/>
      <c r="O10" s="59"/>
      <c r="P10" s="201">
        <v>7700</v>
      </c>
      <c r="Q10" s="61"/>
      <c r="R10" s="72">
        <f t="shared" si="1"/>
        <v>59384.9</v>
      </c>
      <c r="S10" s="71">
        <f t="shared" si="0"/>
        <v>63357.2</v>
      </c>
      <c r="T10" s="72"/>
      <c r="U10" s="73"/>
      <c r="V10" s="67">
        <f>+'06-04-2026'!M31</f>
        <v>65</v>
      </c>
      <c r="Z10" s="76"/>
      <c r="AA10" s="76"/>
      <c r="AB10" s="76"/>
    </row>
    <row r="11" spans="1:28" s="74" customFormat="1" ht="19.5" thickBot="1" x14ac:dyDescent="0.35">
      <c r="A11" s="66">
        <v>46119</v>
      </c>
      <c r="B11" s="26">
        <f>+'07-04-2026'!J60</f>
        <v>0</v>
      </c>
      <c r="C11" s="26">
        <f>+'07-04-2026'!J23</f>
        <v>2671.2000000000003</v>
      </c>
      <c r="D11" s="26">
        <f t="shared" ref="D11" si="9">B11+C11</f>
        <v>2671.2000000000003</v>
      </c>
      <c r="E11" s="69"/>
      <c r="F11" s="70"/>
      <c r="G11" s="71"/>
      <c r="H11" s="26">
        <f>+'07-04-2026'!J70</f>
        <v>481</v>
      </c>
      <c r="I11" s="29">
        <f t="shared" ref="I11" si="10">D11+G11+H11</f>
        <v>3152.2000000000003</v>
      </c>
      <c r="J11" s="26">
        <f>+'07-04-2026'!J90</f>
        <v>28.9</v>
      </c>
      <c r="K11" s="30">
        <f t="shared" ref="K11" si="11">I11-J11</f>
        <v>3123.3</v>
      </c>
      <c r="L11" s="70"/>
      <c r="M11" s="21">
        <f t="shared" ref="M11" si="12">M10+K11</f>
        <v>7095.5999999999995</v>
      </c>
      <c r="N11" s="59"/>
      <c r="O11" s="59"/>
      <c r="P11" s="61"/>
      <c r="Q11" s="59"/>
      <c r="R11" s="72">
        <f t="shared" si="1"/>
        <v>59384.9</v>
      </c>
      <c r="S11" s="71">
        <f t="shared" si="0"/>
        <v>66480.5</v>
      </c>
      <c r="T11" s="72"/>
      <c r="U11" s="73"/>
      <c r="V11" s="67">
        <f>+'07-04-2026'!M30</f>
        <v>645</v>
      </c>
      <c r="Y11" s="82" t="s">
        <v>20</v>
      </c>
      <c r="AA11" s="78"/>
      <c r="AB11" s="76"/>
    </row>
    <row r="12" spans="1:28" s="74" customFormat="1" ht="19.5" thickBot="1" x14ac:dyDescent="0.35">
      <c r="A12" s="66">
        <v>46120</v>
      </c>
      <c r="B12" s="26">
        <f>+'08-04-2026'!J97</f>
        <v>545</v>
      </c>
      <c r="C12" s="26">
        <f>+'08-04-2026'!J50</f>
        <v>6016.199999999998</v>
      </c>
      <c r="D12" s="26">
        <f t="shared" ref="D12" si="13">B12+C12</f>
        <v>6561.199999999998</v>
      </c>
      <c r="E12" s="69"/>
      <c r="F12" s="70"/>
      <c r="G12" s="71"/>
      <c r="H12" s="26">
        <f>+'08-04-2026'!J109</f>
        <v>496</v>
      </c>
      <c r="I12" s="29">
        <f t="shared" ref="I12" si="14">D12+G12+H12</f>
        <v>7057.199999999998</v>
      </c>
      <c r="J12" s="26">
        <f>+'08-04-2026'!J132</f>
        <v>1492.5</v>
      </c>
      <c r="K12" s="30">
        <f t="shared" ref="K12" si="15">I12-J12</f>
        <v>5564.699999999998</v>
      </c>
      <c r="L12" s="70"/>
      <c r="M12" s="21">
        <f>M11+K12</f>
        <v>12660.299999999997</v>
      </c>
      <c r="N12" s="59"/>
      <c r="O12" s="59"/>
      <c r="P12" s="61"/>
      <c r="Q12" s="59"/>
      <c r="R12" s="72">
        <f t="shared" si="1"/>
        <v>59384.9</v>
      </c>
      <c r="S12" s="71">
        <f t="shared" si="0"/>
        <v>72045.2</v>
      </c>
      <c r="T12" s="72"/>
      <c r="U12" s="73"/>
      <c r="V12" s="67">
        <f>+'08-04-2026'!M76</f>
        <v>2074.4</v>
      </c>
      <c r="Z12" s="40">
        <v>200</v>
      </c>
      <c r="AA12" s="191">
        <f>Y12*Z12</f>
        <v>0</v>
      </c>
    </row>
    <row r="13" spans="1:28" s="271" customFormat="1" ht="19.5" thickBot="1" x14ac:dyDescent="0.35">
      <c r="A13" s="259">
        <v>46121</v>
      </c>
      <c r="B13" s="260">
        <f>+'09-04-2026'!J105</f>
        <v>0</v>
      </c>
      <c r="C13" s="260">
        <f>+'09-04-2026'!J27</f>
        <v>1131.5000000000002</v>
      </c>
      <c r="D13" s="260">
        <f t="shared" ref="D13:D14" si="16">B13+C13</f>
        <v>1131.5000000000002</v>
      </c>
      <c r="E13" s="272"/>
      <c r="F13" s="273"/>
      <c r="G13" s="269"/>
      <c r="H13" s="260">
        <f>+'09-04-2026'!J78</f>
        <v>495</v>
      </c>
      <c r="I13" s="262">
        <f t="shared" ref="I13:I14" si="17">D13+G13+H13</f>
        <v>1626.5000000000002</v>
      </c>
      <c r="J13" s="260">
        <f>+'09-04-2026'!J99</f>
        <v>1353.1</v>
      </c>
      <c r="K13" s="263">
        <f t="shared" ref="K13:K14" si="18">I13-J13</f>
        <v>273.40000000000032</v>
      </c>
      <c r="L13" s="274"/>
      <c r="M13" s="265">
        <f>M12+K13-P13</f>
        <v>6933.6999999999971</v>
      </c>
      <c r="N13" s="266"/>
      <c r="O13" s="266"/>
      <c r="P13" s="201">
        <v>6000</v>
      </c>
      <c r="Q13" s="266"/>
      <c r="R13" s="268">
        <f t="shared" si="1"/>
        <v>65384.9</v>
      </c>
      <c r="S13" s="269">
        <f t="shared" si="0"/>
        <v>72318.600000000006</v>
      </c>
      <c r="T13" s="268"/>
      <c r="U13" s="270"/>
      <c r="V13" s="67">
        <f>+'09-04-2026'!M36</f>
        <v>642.79999999999995</v>
      </c>
      <c r="W13" s="74"/>
      <c r="X13" s="74"/>
      <c r="Y13" s="74">
        <v>30</v>
      </c>
      <c r="Z13" s="40">
        <v>100</v>
      </c>
      <c r="AA13" s="191">
        <f t="shared" ref="AA13:AA18" si="19">Y13*Z13</f>
        <v>3000</v>
      </c>
      <c r="AB13" s="74"/>
    </row>
    <row r="14" spans="1:28" s="74" customFormat="1" ht="19.5" thickBot="1" x14ac:dyDescent="0.35">
      <c r="A14" s="66">
        <v>46122</v>
      </c>
      <c r="B14" s="26">
        <f>+'10-04-2026'!J60</f>
        <v>807</v>
      </c>
      <c r="C14" s="26">
        <f>+'10-04-2026'!J22</f>
        <v>382</v>
      </c>
      <c r="D14" s="26">
        <f t="shared" si="16"/>
        <v>1189</v>
      </c>
      <c r="E14" s="26">
        <f>+'10-04-2026'!J67</f>
        <v>1916</v>
      </c>
      <c r="F14" s="26">
        <f>+'10-04-2026'!J68</f>
        <v>2645</v>
      </c>
      <c r="G14" s="71">
        <f>F14+E14</f>
        <v>4561</v>
      </c>
      <c r="H14" s="26">
        <f>+'10-04-2026'!J72</f>
        <v>502</v>
      </c>
      <c r="I14" s="29">
        <f t="shared" si="17"/>
        <v>6252</v>
      </c>
      <c r="J14" s="26">
        <f>+'10-04-2026'!J90</f>
        <v>111.5</v>
      </c>
      <c r="K14" s="30">
        <f t="shared" si="18"/>
        <v>6140.5</v>
      </c>
      <c r="L14" s="70"/>
      <c r="M14" s="21">
        <f t="shared" si="5"/>
        <v>13074.199999999997</v>
      </c>
      <c r="N14" s="59"/>
      <c r="O14" s="59"/>
      <c r="P14" s="61"/>
      <c r="Q14" s="282">
        <v>34000</v>
      </c>
      <c r="R14" s="72">
        <f t="shared" si="1"/>
        <v>31384.9</v>
      </c>
      <c r="S14" s="71">
        <f t="shared" si="0"/>
        <v>44459.1</v>
      </c>
      <c r="T14" s="72"/>
      <c r="U14" s="73"/>
      <c r="V14" s="67">
        <f>+'10-04-2026'!M29</f>
        <v>756</v>
      </c>
      <c r="Y14" s="74">
        <v>104</v>
      </c>
      <c r="Z14" s="40">
        <v>50</v>
      </c>
      <c r="AA14" s="191">
        <f t="shared" si="19"/>
        <v>5200</v>
      </c>
    </row>
    <row r="15" spans="1:28" s="74" customFormat="1" ht="19.5" thickBot="1" x14ac:dyDescent="0.35">
      <c r="A15" s="66">
        <v>46123</v>
      </c>
      <c r="B15" s="26">
        <f>+'11-04-2026'!J57</f>
        <v>0</v>
      </c>
      <c r="C15" s="26">
        <f>+'11-04-2026'!J22</f>
        <v>105</v>
      </c>
      <c r="D15" s="26">
        <f t="shared" ref="D15" si="20">B15+C15</f>
        <v>105</v>
      </c>
      <c r="E15" s="69"/>
      <c r="F15" s="70"/>
      <c r="G15" s="71"/>
      <c r="H15" s="26">
        <f>+'11-04-2026'!J69</f>
        <v>508.5</v>
      </c>
      <c r="I15" s="29">
        <f t="shared" ref="I15" si="21">D15+G15+H15</f>
        <v>613.5</v>
      </c>
      <c r="J15" s="26">
        <f>+'11-04-2026'!J89</f>
        <v>300</v>
      </c>
      <c r="K15" s="30">
        <f t="shared" ref="K15" si="22">I15-J15</f>
        <v>313.5</v>
      </c>
      <c r="L15" s="75"/>
      <c r="M15" s="21">
        <f>M14+K15-P15</f>
        <v>4887.6999999999971</v>
      </c>
      <c r="N15" s="61"/>
      <c r="O15" s="59"/>
      <c r="P15" s="201">
        <v>8500</v>
      </c>
      <c r="Q15" s="59"/>
      <c r="R15" s="72">
        <f t="shared" si="1"/>
        <v>39884.9</v>
      </c>
      <c r="S15" s="71">
        <f t="shared" si="0"/>
        <v>44772.6</v>
      </c>
      <c r="T15" s="72"/>
      <c r="U15" s="73"/>
      <c r="V15" s="67">
        <f>+'11-04-2026'!M29</f>
        <v>1500</v>
      </c>
      <c r="Y15" s="74">
        <v>1</v>
      </c>
      <c r="Z15" s="40">
        <v>20</v>
      </c>
      <c r="AA15" s="191">
        <f t="shared" si="19"/>
        <v>20</v>
      </c>
    </row>
    <row r="16" spans="1:28" s="74" customFormat="1" ht="19.5" thickBot="1" x14ac:dyDescent="0.35">
      <c r="A16" s="66">
        <v>46124</v>
      </c>
      <c r="B16" s="26">
        <f>+'11-04-2026'!J58</f>
        <v>0</v>
      </c>
      <c r="C16" s="26">
        <f>+'11-04-2026'!J23</f>
        <v>0</v>
      </c>
      <c r="D16" s="26">
        <f t="shared" ref="D16:D17" si="23">B16+C16</f>
        <v>0</v>
      </c>
      <c r="E16" s="67"/>
      <c r="F16" s="67"/>
      <c r="G16" s="71"/>
      <c r="H16" s="26">
        <f>+'12-04-2026'!J69</f>
        <v>566</v>
      </c>
      <c r="I16" s="29">
        <f t="shared" ref="I16:I17" si="24">D16+G16+H16</f>
        <v>566</v>
      </c>
      <c r="J16" s="26">
        <f>+'11-04-2026'!J90</f>
        <v>0</v>
      </c>
      <c r="K16" s="30">
        <f t="shared" ref="K16:K17" si="25">I16-J16</f>
        <v>566</v>
      </c>
      <c r="L16" s="75"/>
      <c r="M16" s="21">
        <f t="shared" si="5"/>
        <v>5453.6999999999971</v>
      </c>
      <c r="N16" s="59"/>
      <c r="O16" s="59"/>
      <c r="P16" s="61"/>
      <c r="Q16" s="59"/>
      <c r="R16" s="72">
        <f t="shared" si="1"/>
        <v>39884.9</v>
      </c>
      <c r="S16" s="71">
        <f t="shared" si="0"/>
        <v>45338.6</v>
      </c>
      <c r="T16" s="72"/>
      <c r="U16" s="73"/>
      <c r="V16" s="67">
        <f>+'12-04-2026'!M42</f>
        <v>0</v>
      </c>
      <c r="Y16" s="74">
        <v>3</v>
      </c>
      <c r="Z16" s="40">
        <v>10</v>
      </c>
      <c r="AA16" s="191">
        <f t="shared" si="19"/>
        <v>30</v>
      </c>
    </row>
    <row r="17" spans="1:28" s="74" customFormat="1" ht="19.5" thickBot="1" x14ac:dyDescent="0.35">
      <c r="A17" s="66">
        <v>46125</v>
      </c>
      <c r="B17" s="26">
        <f>+'13-04-2026'!J57</f>
        <v>141.9</v>
      </c>
      <c r="C17" s="26">
        <f>+'13-04-2026'!J22</f>
        <v>20</v>
      </c>
      <c r="D17" s="26">
        <f t="shared" si="23"/>
        <v>161.9</v>
      </c>
      <c r="E17" s="67"/>
      <c r="F17" s="67"/>
      <c r="G17" s="68"/>
      <c r="H17" s="26">
        <f>+'13-04-2026'!J69</f>
        <v>349</v>
      </c>
      <c r="I17" s="29">
        <f t="shared" si="24"/>
        <v>510.9</v>
      </c>
      <c r="J17" s="26">
        <f>+'13-04-2026'!J89</f>
        <v>1084.4000000000001</v>
      </c>
      <c r="K17" s="30">
        <f t="shared" si="25"/>
        <v>-573.50000000000011</v>
      </c>
      <c r="L17" s="70"/>
      <c r="M17" s="21">
        <f t="shared" si="5"/>
        <v>4880.1999999999971</v>
      </c>
      <c r="N17" s="59"/>
      <c r="O17" s="59"/>
      <c r="P17" s="61"/>
      <c r="Q17" s="61"/>
      <c r="R17" s="72">
        <f t="shared" si="1"/>
        <v>39884.9</v>
      </c>
      <c r="S17" s="71">
        <f t="shared" si="0"/>
        <v>44765.1</v>
      </c>
      <c r="T17" s="72"/>
      <c r="U17" s="73"/>
      <c r="V17" s="67">
        <f>+'13-04-2026'!M29</f>
        <v>36.4</v>
      </c>
      <c r="Z17" s="40">
        <v>1</v>
      </c>
      <c r="AA17" s="191">
        <f t="shared" si="19"/>
        <v>0</v>
      </c>
    </row>
    <row r="18" spans="1:28" s="74" customFormat="1" ht="19.5" thickBot="1" x14ac:dyDescent="0.35">
      <c r="A18" s="66">
        <v>46126</v>
      </c>
      <c r="B18" s="26">
        <f>+'14-04-2026'!J57</f>
        <v>65</v>
      </c>
      <c r="C18" s="26">
        <f>+'14-04-2026'!J22</f>
        <v>680</v>
      </c>
      <c r="D18" s="26">
        <f t="shared" ref="D18" si="26">B18+C18</f>
        <v>745</v>
      </c>
      <c r="E18" s="67"/>
      <c r="F18" s="67"/>
      <c r="G18" s="71"/>
      <c r="H18" s="26">
        <f>+'14-04-2026'!J69</f>
        <v>494.5</v>
      </c>
      <c r="I18" s="29">
        <f t="shared" ref="I18" si="27">D18+G18+H18</f>
        <v>1239.5</v>
      </c>
      <c r="J18" s="26">
        <f>+'14-04-2026'!J89</f>
        <v>10</v>
      </c>
      <c r="K18" s="30">
        <f t="shared" ref="K18" si="28">I18-J18</f>
        <v>1229.5</v>
      </c>
      <c r="L18" s="75"/>
      <c r="M18" s="21">
        <f t="shared" si="5"/>
        <v>6109.6999999999971</v>
      </c>
      <c r="N18" s="59"/>
      <c r="O18" s="59"/>
      <c r="P18" s="61"/>
      <c r="Q18" s="59"/>
      <c r="R18" s="72">
        <f t="shared" si="1"/>
        <v>39884.9</v>
      </c>
      <c r="S18" s="71">
        <f t="shared" si="0"/>
        <v>45994.6</v>
      </c>
      <c r="T18" s="72"/>
      <c r="U18" s="73"/>
      <c r="V18" s="67">
        <f>+'14-04-2026'!M29</f>
        <v>60</v>
      </c>
      <c r="Y18" s="79"/>
      <c r="Z18" s="40">
        <v>1</v>
      </c>
      <c r="AA18" s="191">
        <f t="shared" si="19"/>
        <v>0</v>
      </c>
    </row>
    <row r="19" spans="1:28" s="74" customFormat="1" ht="19.5" thickBot="1" x14ac:dyDescent="0.35">
      <c r="A19" s="66">
        <v>46127</v>
      </c>
      <c r="B19" s="26">
        <f>+'15-04-2026'!J88</f>
        <v>0</v>
      </c>
      <c r="C19" s="26">
        <f>+'15-04-2026'!J43</f>
        <v>5796.2999999999984</v>
      </c>
      <c r="D19" s="26">
        <f t="shared" ref="D19" si="29">B19+C19</f>
        <v>5796.2999999999984</v>
      </c>
      <c r="E19" s="67"/>
      <c r="F19" s="67"/>
      <c r="G19" s="71"/>
      <c r="H19" s="26">
        <f>+'15-04-2026'!J100</f>
        <v>491</v>
      </c>
      <c r="I19" s="29">
        <f t="shared" ref="I19" si="30">D19+G19+H19</f>
        <v>6287.2999999999984</v>
      </c>
      <c r="J19" s="26">
        <f>+'15-04-2026'!J124</f>
        <v>6750</v>
      </c>
      <c r="K19" s="30">
        <f t="shared" ref="K19" si="31">I19-J19</f>
        <v>-462.70000000000164</v>
      </c>
      <c r="L19" s="75"/>
      <c r="M19" s="21">
        <f t="shared" si="5"/>
        <v>5646.9999999999955</v>
      </c>
      <c r="N19" s="59"/>
      <c r="O19" s="59"/>
      <c r="P19" s="61"/>
      <c r="Q19" s="61"/>
      <c r="R19" s="72">
        <f t="shared" si="1"/>
        <v>39884.9</v>
      </c>
      <c r="S19" s="71">
        <f t="shared" si="0"/>
        <v>45531.899999999994</v>
      </c>
      <c r="T19" s="72"/>
      <c r="U19" s="73"/>
      <c r="V19" s="67">
        <f>+'15-04-2026'!M60</f>
        <v>1415.8999999999996</v>
      </c>
      <c r="X19" s="79" t="s">
        <v>21</v>
      </c>
      <c r="Y19" s="81">
        <v>98.8</v>
      </c>
      <c r="Z19" s="40">
        <v>1</v>
      </c>
      <c r="AA19" s="191">
        <f>Y19*Z19</f>
        <v>98.8</v>
      </c>
    </row>
    <row r="20" spans="1:28" s="271" customFormat="1" ht="19.5" thickBot="1" x14ac:dyDescent="0.35">
      <c r="A20" s="259">
        <v>46128</v>
      </c>
      <c r="B20" s="260">
        <f>+'16-04-2026'!J49</f>
        <v>90</v>
      </c>
      <c r="C20" s="260">
        <f>+'16-04-2026'!J17</f>
        <v>2778</v>
      </c>
      <c r="D20" s="260">
        <f t="shared" ref="D20" si="32">B20+C20</f>
        <v>2868</v>
      </c>
      <c r="E20" s="260"/>
      <c r="F20" s="260"/>
      <c r="G20" s="269"/>
      <c r="H20" s="260">
        <f>+'16-04-2026'!J61</f>
        <v>486</v>
      </c>
      <c r="I20" s="262">
        <f t="shared" ref="I20" si="33">D20+G20+H20</f>
        <v>3354</v>
      </c>
      <c r="J20" s="260">
        <f>+'16-04-2026'!J81</f>
        <v>150.9</v>
      </c>
      <c r="K20" s="263">
        <f t="shared" ref="K20" si="34">I20-J20</f>
        <v>3203.1</v>
      </c>
      <c r="L20" s="274"/>
      <c r="M20" s="265">
        <f t="shared" si="5"/>
        <v>8850.0999999999949</v>
      </c>
      <c r="N20" s="266"/>
      <c r="O20" s="266"/>
      <c r="P20" s="338"/>
      <c r="Q20" s="266"/>
      <c r="R20" s="268">
        <f t="shared" si="1"/>
        <v>39884.9</v>
      </c>
      <c r="S20" s="269">
        <f t="shared" si="0"/>
        <v>48735</v>
      </c>
      <c r="T20" s="268"/>
      <c r="U20" s="270"/>
      <c r="V20" s="67">
        <f>+'16-04-2026'!M46</f>
        <v>0</v>
      </c>
      <c r="W20" s="74"/>
      <c r="X20" s="79" t="s">
        <v>22</v>
      </c>
      <c r="Y20" s="81">
        <v>100</v>
      </c>
      <c r="Z20" s="40">
        <v>1</v>
      </c>
      <c r="AA20" s="191">
        <f t="shared" ref="AA20:AA21" si="35">Y20*Z20</f>
        <v>100</v>
      </c>
    </row>
    <row r="21" spans="1:28" s="74" customFormat="1" ht="19.5" thickBot="1" x14ac:dyDescent="0.35">
      <c r="A21" s="66">
        <v>46129</v>
      </c>
      <c r="B21" s="26">
        <f>+'17-04-2026'!K58</f>
        <v>476.9</v>
      </c>
      <c r="C21" s="26">
        <f>+'17-04-2026'!K23</f>
        <v>484.6</v>
      </c>
      <c r="D21" s="26">
        <f>B21+C21</f>
        <v>961.5</v>
      </c>
      <c r="E21" s="26">
        <f>+'17-04-2026'!K65</f>
        <v>1834</v>
      </c>
      <c r="F21" s="26">
        <f>+'17-04-2026'!K66</f>
        <v>2745</v>
      </c>
      <c r="G21" s="71">
        <f>F21+E21</f>
        <v>4579</v>
      </c>
      <c r="H21" s="26">
        <f>+'17-04-2026'!K70</f>
        <v>521</v>
      </c>
      <c r="I21" s="29">
        <f>D21+G21+H21</f>
        <v>6061.5</v>
      </c>
      <c r="J21" s="26">
        <f>+'17-04-2026'!K124</f>
        <v>0</v>
      </c>
      <c r="K21" s="30">
        <f>I21-J21</f>
        <v>6061.5</v>
      </c>
      <c r="L21" s="75"/>
      <c r="M21" s="21">
        <f>M20+K21-P21</f>
        <v>6911.5999999999949</v>
      </c>
      <c r="N21" s="59"/>
      <c r="O21" s="59"/>
      <c r="P21" s="201">
        <v>8000</v>
      </c>
      <c r="Q21" s="59"/>
      <c r="R21" s="72">
        <f t="shared" si="1"/>
        <v>47884.9</v>
      </c>
      <c r="S21" s="71">
        <f t="shared" si="0"/>
        <v>54796.5</v>
      </c>
      <c r="T21" s="72"/>
      <c r="U21" s="73"/>
      <c r="V21" s="67">
        <f>+'17-04-2026'!N30</f>
        <v>30</v>
      </c>
      <c r="X21" s="79" t="s">
        <v>23</v>
      </c>
      <c r="Y21" s="81">
        <v>200</v>
      </c>
      <c r="Z21" s="40">
        <v>1</v>
      </c>
      <c r="AA21" s="191">
        <f t="shared" si="35"/>
        <v>200</v>
      </c>
    </row>
    <row r="22" spans="1:28" s="74" customFormat="1" ht="19.5" thickBot="1" x14ac:dyDescent="0.35">
      <c r="A22" s="66">
        <v>46130</v>
      </c>
      <c r="B22" s="26">
        <f>+'18-04-2026'!K58</f>
        <v>0</v>
      </c>
      <c r="C22" s="26">
        <f>+'18-04-2026'!K23</f>
        <v>71.599999999999994</v>
      </c>
      <c r="D22" s="26">
        <f t="shared" ref="D22" si="36">B22+C22</f>
        <v>71.599999999999994</v>
      </c>
      <c r="E22" s="69"/>
      <c r="F22" s="70"/>
      <c r="G22" s="71"/>
      <c r="H22" s="26">
        <f>+'18-04-2026'!K70</f>
        <v>491</v>
      </c>
      <c r="I22" s="29">
        <f t="shared" ref="I22" si="37">D22+G22+H22</f>
        <v>562.6</v>
      </c>
      <c r="J22" s="26">
        <f>+'18-04-2026'!K90</f>
        <v>410</v>
      </c>
      <c r="K22" s="30">
        <f t="shared" ref="K22" si="38">I22-J22</f>
        <v>152.60000000000002</v>
      </c>
      <c r="L22" s="75"/>
      <c r="M22" s="21">
        <f t="shared" si="5"/>
        <v>7064.1999999999953</v>
      </c>
      <c r="N22" s="61"/>
      <c r="O22" s="59"/>
      <c r="P22" s="201">
        <v>960</v>
      </c>
      <c r="Q22" s="61"/>
      <c r="R22" s="72">
        <f t="shared" si="1"/>
        <v>48844.9</v>
      </c>
      <c r="S22" s="71">
        <f t="shared" si="0"/>
        <v>55909.1</v>
      </c>
      <c r="T22" s="72"/>
      <c r="U22" s="73"/>
      <c r="V22" s="67">
        <f>+'18-04-2026'!N30</f>
        <v>30</v>
      </c>
      <c r="X22" s="79" t="s">
        <v>877</v>
      </c>
      <c r="Y22" s="38">
        <v>400</v>
      </c>
      <c r="Z22" s="40">
        <v>1</v>
      </c>
      <c r="AA22" s="191">
        <f>Y22*Z22</f>
        <v>400</v>
      </c>
    </row>
    <row r="23" spans="1:28" s="74" customFormat="1" ht="19.5" thickBot="1" x14ac:dyDescent="0.35">
      <c r="A23" s="66">
        <v>46131</v>
      </c>
      <c r="B23" s="26">
        <f>+'18-04-2026'!J24</f>
        <v>0</v>
      </c>
      <c r="C23" s="26">
        <f>+'18-04-2026'!K24</f>
        <v>0</v>
      </c>
      <c r="D23" s="26">
        <f t="shared" ref="D23" si="39">B23+C23</f>
        <v>0</v>
      </c>
      <c r="E23" s="67"/>
      <c r="F23" s="67"/>
      <c r="G23" s="71"/>
      <c r="H23" s="26">
        <f>+'19-04-2026'!K70</f>
        <v>486</v>
      </c>
      <c r="I23" s="29">
        <f t="shared" ref="I23:I24" si="40">D23+G23+H23</f>
        <v>486</v>
      </c>
      <c r="J23" s="26">
        <f>+'18-04-2026'!K102</f>
        <v>0</v>
      </c>
      <c r="K23" s="30">
        <f t="shared" ref="K23:K24" si="41">I23-J23</f>
        <v>486</v>
      </c>
      <c r="L23" s="75"/>
      <c r="M23" s="21">
        <f t="shared" si="5"/>
        <v>7550.1999999999953</v>
      </c>
      <c r="N23" s="64"/>
      <c r="O23" s="64"/>
      <c r="P23" s="61"/>
      <c r="Q23" s="59"/>
      <c r="R23" s="72">
        <f t="shared" si="1"/>
        <v>48844.9</v>
      </c>
      <c r="S23" s="71">
        <f t="shared" si="0"/>
        <v>56395.1</v>
      </c>
      <c r="T23" s="72"/>
      <c r="U23" s="73"/>
      <c r="V23" s="67">
        <f>+'19-04-2026'!M49</f>
        <v>0</v>
      </c>
      <c r="AA23" s="78">
        <f>SUM(AA12:AA22)</f>
        <v>9048.7999999999993</v>
      </c>
    </row>
    <row r="24" spans="1:28" s="74" customFormat="1" ht="19.5" thickBot="1" x14ac:dyDescent="0.35">
      <c r="A24" s="66">
        <v>46132</v>
      </c>
      <c r="B24" s="26">
        <f>+'18-04-2026'!J25</f>
        <v>0</v>
      </c>
      <c r="C24" s="26">
        <f>+'20-04-2026'!K25</f>
        <v>1025.7</v>
      </c>
      <c r="D24" s="26">
        <f t="shared" ref="D24" si="42">B24+C24</f>
        <v>1025.7</v>
      </c>
      <c r="E24" s="67"/>
      <c r="F24" s="67"/>
      <c r="G24" s="68"/>
      <c r="H24" s="26">
        <f>+'20-04-2026'!K72</f>
        <v>342</v>
      </c>
      <c r="I24" s="29">
        <f t="shared" si="40"/>
        <v>1367.7</v>
      </c>
      <c r="J24" s="26">
        <f>+'20-04-2026'!K92</f>
        <v>647</v>
      </c>
      <c r="K24" s="30">
        <f t="shared" si="41"/>
        <v>720.7</v>
      </c>
      <c r="L24" s="80"/>
      <c r="M24" s="21">
        <f t="shared" si="5"/>
        <v>8270.899999999996</v>
      </c>
      <c r="N24" s="59"/>
      <c r="O24" s="59"/>
      <c r="P24" s="61"/>
      <c r="Q24" s="59"/>
      <c r="R24" s="72">
        <f t="shared" si="1"/>
        <v>48844.9</v>
      </c>
      <c r="S24" s="71">
        <f t="shared" si="0"/>
        <v>57115.799999999996</v>
      </c>
      <c r="T24" s="72"/>
      <c r="U24" s="73"/>
      <c r="V24" s="67">
        <f>+'20-04-2026'!N32</f>
        <v>1266.1999999999998</v>
      </c>
    </row>
    <row r="25" spans="1:28" s="74" customFormat="1" ht="19.5" thickBot="1" x14ac:dyDescent="0.35">
      <c r="A25" s="66">
        <v>46133</v>
      </c>
      <c r="B25" s="26">
        <f>+'21-04-2026'!K58</f>
        <v>1042.5</v>
      </c>
      <c r="C25" s="26">
        <f>+'21-04-2026'!K23</f>
        <v>440.1</v>
      </c>
      <c r="D25" s="26">
        <f t="shared" ref="D25" si="43">B25+C25</f>
        <v>1482.6</v>
      </c>
      <c r="E25" s="67"/>
      <c r="F25" s="67"/>
      <c r="G25" s="71"/>
      <c r="H25" s="26">
        <f>+'21-04-2026'!K70</f>
        <v>542.5</v>
      </c>
      <c r="I25" s="29">
        <f t="shared" ref="I25" si="44">D25+G25+H25</f>
        <v>2025.1</v>
      </c>
      <c r="J25" s="26">
        <f>+'21-04-2026'!K90</f>
        <v>931</v>
      </c>
      <c r="K25" s="30">
        <f t="shared" ref="K25" si="45">I25-J25</f>
        <v>1094.0999999999999</v>
      </c>
      <c r="L25" s="77"/>
      <c r="M25" s="21">
        <f t="shared" si="5"/>
        <v>9364.9999999999964</v>
      </c>
      <c r="N25" s="59"/>
      <c r="O25" s="59"/>
      <c r="P25" s="61"/>
      <c r="Q25" s="61"/>
      <c r="R25" s="72">
        <f t="shared" si="1"/>
        <v>48844.9</v>
      </c>
      <c r="S25" s="71">
        <f t="shared" si="0"/>
        <v>58209.899999999994</v>
      </c>
      <c r="T25" s="72"/>
      <c r="U25" s="73"/>
      <c r="V25" s="67">
        <f>+'21-04-2026'!M51</f>
        <v>0</v>
      </c>
    </row>
    <row r="26" spans="1:28" ht="19.5" thickBot="1" x14ac:dyDescent="0.35">
      <c r="A26" s="27">
        <v>46134</v>
      </c>
      <c r="B26" s="26">
        <f>+'22-04-2026'!K96</f>
        <v>2355.4</v>
      </c>
      <c r="C26" s="26">
        <f>+'22-04-2026'!K45</f>
        <v>3627.6</v>
      </c>
      <c r="D26" s="26">
        <f t="shared" ref="D26" si="46">B26+C26</f>
        <v>5983</v>
      </c>
      <c r="E26" s="26"/>
      <c r="F26" s="26"/>
      <c r="G26" s="24"/>
      <c r="H26" s="26">
        <f>+'22-04-2026'!K108</f>
        <v>538</v>
      </c>
      <c r="I26" s="29">
        <f>D26+G26+H26</f>
        <v>6521</v>
      </c>
      <c r="J26" s="26">
        <f>+'22-04-2026'!K128</f>
        <v>1216</v>
      </c>
      <c r="K26" s="30">
        <f>I26-J26</f>
        <v>5305</v>
      </c>
      <c r="L26" s="37"/>
      <c r="M26" s="21">
        <f>M25+K26</f>
        <v>14669.999999999996</v>
      </c>
      <c r="N26" s="61"/>
      <c r="O26" s="59"/>
      <c r="P26" s="61"/>
      <c r="Q26" s="59"/>
      <c r="R26" s="23">
        <f>SUM(P26+O26+N26)-Q26-L26+R25</f>
        <v>48844.9</v>
      </c>
      <c r="S26" s="24">
        <f t="shared" si="0"/>
        <v>63514.899999999994</v>
      </c>
      <c r="T26" s="23"/>
      <c r="U26" s="25"/>
      <c r="V26" s="67">
        <f>+'22-04-2026'!N68</f>
        <v>1572.7</v>
      </c>
      <c r="W26" s="74"/>
      <c r="X26" s="74"/>
      <c r="AB26" s="74"/>
    </row>
    <row r="27" spans="1:28" ht="19.5" thickBot="1" x14ac:dyDescent="0.35">
      <c r="A27" s="27">
        <v>46135</v>
      </c>
      <c r="B27" s="26">
        <f>+'23-04-2026'!K58</f>
        <v>1349.7</v>
      </c>
      <c r="C27" s="26">
        <f>+'23-04-2026'!K23</f>
        <v>69.5</v>
      </c>
      <c r="D27" s="26">
        <f t="shared" ref="D27" si="47">B27+C27</f>
        <v>1419.2</v>
      </c>
      <c r="E27" s="26"/>
      <c r="F27" s="26"/>
      <c r="G27" s="28"/>
      <c r="H27" s="26">
        <f>+'23-04-2026'!K70</f>
        <v>546</v>
      </c>
      <c r="I27" s="29">
        <f>D27+G27+H27</f>
        <v>1965.2</v>
      </c>
      <c r="J27" s="26">
        <f>+'23-04-2026'!K91</f>
        <v>867.30000000000007</v>
      </c>
      <c r="K27" s="30">
        <f>I27-J27</f>
        <v>1097.9000000000001</v>
      </c>
      <c r="L27" s="1"/>
      <c r="M27" s="21">
        <f>M26+K27-P27</f>
        <v>6767.899999999996</v>
      </c>
      <c r="N27" s="59"/>
      <c r="O27" s="59"/>
      <c r="P27" s="201">
        <v>9000</v>
      </c>
      <c r="Q27" s="59"/>
      <c r="R27" s="23">
        <f>SUM(P27+O27+N27)-Q27-L27+R26</f>
        <v>57844.9</v>
      </c>
      <c r="S27" s="24">
        <f t="shared" si="0"/>
        <v>64612.799999999996</v>
      </c>
      <c r="T27" s="23"/>
      <c r="U27" s="25"/>
      <c r="V27" s="67">
        <f>+'23-04-2026'!N30</f>
        <v>565</v>
      </c>
      <c r="W27" s="74"/>
      <c r="AA27" s="41">
        <f>M35-AA23</f>
        <v>0</v>
      </c>
    </row>
    <row r="28" spans="1:28" ht="19.5" thickBot="1" x14ac:dyDescent="0.35">
      <c r="A28" s="27">
        <v>46136</v>
      </c>
      <c r="B28" s="26">
        <f>+'24-04-2026'!K58</f>
        <v>94.3</v>
      </c>
      <c r="C28" s="26">
        <f>+'24-04-2026'!K23</f>
        <v>371.2</v>
      </c>
      <c r="D28" s="26">
        <f t="shared" ref="D28:D29" si="48">B28+C28</f>
        <v>465.5</v>
      </c>
      <c r="E28" s="26">
        <f>+'24-04-2026'!K65</f>
        <v>1495</v>
      </c>
      <c r="F28" s="26">
        <f>+'24-04-2026'!K66</f>
        <v>2220</v>
      </c>
      <c r="G28" s="71">
        <f>F28+E28</f>
        <v>3715</v>
      </c>
      <c r="H28" s="26">
        <f>+'24-04-2026'!K70</f>
        <v>520</v>
      </c>
      <c r="I28" s="29">
        <f>D28+G28+H28</f>
        <v>4700.5</v>
      </c>
      <c r="J28" s="26">
        <f>+'24-04-2026'!K90</f>
        <v>132.9</v>
      </c>
      <c r="K28" s="30">
        <f>I28-J28</f>
        <v>4567.6000000000004</v>
      </c>
      <c r="L28" s="1"/>
      <c r="M28" s="21">
        <f>M27+K28</f>
        <v>11335.499999999996</v>
      </c>
      <c r="N28" s="59"/>
      <c r="O28" s="59"/>
      <c r="P28" s="61"/>
      <c r="Q28" s="282">
        <v>29600</v>
      </c>
      <c r="R28" s="23">
        <f t="shared" si="1"/>
        <v>28244.9</v>
      </c>
      <c r="S28" s="24">
        <f t="shared" si="0"/>
        <v>39580.399999999994</v>
      </c>
      <c r="T28" s="23"/>
      <c r="U28" s="25"/>
      <c r="V28" s="67">
        <f>+'17-04-2026'!M54</f>
        <v>0</v>
      </c>
    </row>
    <row r="29" spans="1:28" ht="19.5" thickBot="1" x14ac:dyDescent="0.35">
      <c r="A29" s="27">
        <v>46137</v>
      </c>
      <c r="B29" s="26">
        <f>+'25-04-2026'!K58</f>
        <v>237.8</v>
      </c>
      <c r="C29" s="26">
        <f>+'25-04-2026'!K23</f>
        <v>71.5</v>
      </c>
      <c r="D29" s="26">
        <f t="shared" si="48"/>
        <v>309.3</v>
      </c>
      <c r="E29" s="35"/>
      <c r="F29" s="36"/>
      <c r="G29" s="24"/>
      <c r="H29" s="26">
        <f>+'25-04-2026'!K70</f>
        <v>521.5</v>
      </c>
      <c r="I29" s="29">
        <f>D29+G29+H29</f>
        <v>830.8</v>
      </c>
      <c r="J29" s="26">
        <f>+'25-04-2026'!K90</f>
        <v>30</v>
      </c>
      <c r="K29" s="30">
        <f>I29-J29</f>
        <v>800.8</v>
      </c>
      <c r="L29" s="37"/>
      <c r="M29" s="21">
        <f t="shared" ref="M29:M35" si="49">M28+K29</f>
        <v>12136.299999999996</v>
      </c>
      <c r="N29" s="61"/>
      <c r="O29" s="59"/>
      <c r="P29" s="59"/>
      <c r="Q29" s="61"/>
      <c r="R29" s="23">
        <f t="shared" si="1"/>
        <v>28244.9</v>
      </c>
      <c r="S29" s="24">
        <f t="shared" si="0"/>
        <v>40381.199999999997</v>
      </c>
      <c r="T29" s="23"/>
      <c r="U29" s="25"/>
      <c r="V29" s="67">
        <f>+'17-04-2026'!M55</f>
        <v>0</v>
      </c>
      <c r="X29" s="46" t="s">
        <v>25</v>
      </c>
      <c r="Y29" s="46" t="s">
        <v>26</v>
      </c>
    </row>
    <row r="30" spans="1:28" s="45" customFormat="1" ht="19.5" thickBot="1" x14ac:dyDescent="0.35">
      <c r="A30" s="27">
        <v>46138</v>
      </c>
      <c r="B30" s="26">
        <f>+'26-04-2026'!K59</f>
        <v>0</v>
      </c>
      <c r="C30" s="26">
        <f>+'26-04-2026'!K24</f>
        <v>0</v>
      </c>
      <c r="D30" s="26">
        <f t="shared" ref="D30:D31" si="50">B30+C30</f>
        <v>0</v>
      </c>
      <c r="E30" s="35"/>
      <c r="F30" s="36"/>
      <c r="G30" s="24"/>
      <c r="H30" s="26">
        <f>+'26-04-2026'!K70</f>
        <v>598</v>
      </c>
      <c r="I30" s="29">
        <f t="shared" ref="I30:I31" si="51">D30+G30+H30</f>
        <v>598</v>
      </c>
      <c r="J30" s="26">
        <f>+'26-04-2026'!K91</f>
        <v>0</v>
      </c>
      <c r="K30" s="30">
        <f t="shared" ref="K30:K31" si="52">I30-J30</f>
        <v>598</v>
      </c>
      <c r="L30" s="37"/>
      <c r="M30" s="21">
        <f t="shared" si="49"/>
        <v>12734.299999999996</v>
      </c>
      <c r="N30" s="60"/>
      <c r="O30" s="65"/>
      <c r="P30" s="60"/>
      <c r="Q30" s="60"/>
      <c r="R30" s="23">
        <f t="shared" si="1"/>
        <v>28244.9</v>
      </c>
      <c r="S30" s="42">
        <f t="shared" si="0"/>
        <v>40979.199999999997</v>
      </c>
      <c r="T30" s="43"/>
      <c r="U30" s="44"/>
      <c r="V30" s="67">
        <f>+'17-04-2026'!M56</f>
        <v>0</v>
      </c>
      <c r="X30" s="84">
        <v>3</v>
      </c>
      <c r="Y30" s="431">
        <v>5</v>
      </c>
      <c r="Z30">
        <f>+X30*Y30</f>
        <v>15</v>
      </c>
    </row>
    <row r="31" spans="1:28" ht="19.5" thickBot="1" x14ac:dyDescent="0.35">
      <c r="A31" s="27">
        <v>46139</v>
      </c>
      <c r="B31" s="26">
        <f>+'27-04-2026'!K61</f>
        <v>566</v>
      </c>
      <c r="C31" s="26">
        <f>+'27-04-2026'!K25</f>
        <v>199.29999999999998</v>
      </c>
      <c r="D31" s="26">
        <f t="shared" si="50"/>
        <v>765.3</v>
      </c>
      <c r="E31" s="26"/>
      <c r="F31" s="26"/>
      <c r="G31" s="28"/>
      <c r="H31" s="26">
        <f>+'27-04-2026'!K73</f>
        <v>335.5</v>
      </c>
      <c r="I31" s="29">
        <f t="shared" si="51"/>
        <v>1100.8</v>
      </c>
      <c r="J31" s="26">
        <f>+'27-04-2026'!K93</f>
        <v>2685.5</v>
      </c>
      <c r="K31" s="30">
        <f t="shared" si="52"/>
        <v>-1584.7</v>
      </c>
      <c r="L31" s="37"/>
      <c r="M31" s="21">
        <f t="shared" si="49"/>
        <v>11149.599999999995</v>
      </c>
      <c r="N31" s="59"/>
      <c r="O31" s="59"/>
      <c r="P31" s="59"/>
      <c r="Q31" s="59"/>
      <c r="R31" s="23">
        <f t="shared" si="1"/>
        <v>28244.9</v>
      </c>
      <c r="S31" s="24">
        <f t="shared" si="0"/>
        <v>39394.5</v>
      </c>
      <c r="T31" s="23"/>
      <c r="U31" s="25"/>
      <c r="V31" s="67">
        <f>+'17-04-2026'!M57</f>
        <v>0</v>
      </c>
      <c r="X31" s="84">
        <v>2</v>
      </c>
      <c r="Y31" s="431">
        <v>2</v>
      </c>
      <c r="Z31">
        <f t="shared" ref="Z31:Z35" si="53">+X31*Y31</f>
        <v>4</v>
      </c>
    </row>
    <row r="32" spans="1:28" ht="19.5" thickBot="1" x14ac:dyDescent="0.35">
      <c r="A32" s="27">
        <v>46140</v>
      </c>
      <c r="B32" s="26">
        <f>+'28-04-2026'!K60</f>
        <v>1490.7</v>
      </c>
      <c r="C32" s="26">
        <f>+'28-04-2026'!K24</f>
        <v>469.5</v>
      </c>
      <c r="D32" s="26">
        <f t="shared" ref="D32" si="54">B32+C32</f>
        <v>1960.2</v>
      </c>
      <c r="E32" s="26"/>
      <c r="F32" s="26"/>
      <c r="G32" s="24"/>
      <c r="H32" s="26">
        <f>+'28-04-2026'!K72</f>
        <v>539</v>
      </c>
      <c r="I32" s="29">
        <f t="shared" ref="I32" si="55">D32+G32+H32</f>
        <v>2499.1999999999998</v>
      </c>
      <c r="J32" s="26">
        <f>+'28-04-2026'!K92</f>
        <v>200</v>
      </c>
      <c r="K32" s="30">
        <f t="shared" ref="K32" si="56">I32-J32</f>
        <v>2299.1999999999998</v>
      </c>
      <c r="L32" s="1"/>
      <c r="M32" s="21">
        <f t="shared" si="49"/>
        <v>13448.799999999996</v>
      </c>
      <c r="N32" s="59"/>
      <c r="O32" s="468">
        <v>121.2</v>
      </c>
      <c r="P32" s="61"/>
      <c r="Q32" s="59"/>
      <c r="R32" s="23">
        <f t="shared" si="1"/>
        <v>28366.100000000002</v>
      </c>
      <c r="S32" s="24">
        <f t="shared" si="0"/>
        <v>41814.899999999994</v>
      </c>
      <c r="T32" s="23"/>
      <c r="U32" s="25"/>
      <c r="V32" s="67">
        <f>+'17-04-2026'!M58</f>
        <v>0</v>
      </c>
      <c r="X32" s="84">
        <v>6</v>
      </c>
      <c r="Y32" s="431">
        <v>1</v>
      </c>
      <c r="Z32">
        <f t="shared" si="53"/>
        <v>6</v>
      </c>
    </row>
    <row r="33" spans="1:26" ht="19.5" thickBot="1" x14ac:dyDescent="0.35">
      <c r="A33" s="27">
        <v>46141</v>
      </c>
      <c r="B33" s="26">
        <f>+'29-04-2026'!K73</f>
        <v>2378.2999999999997</v>
      </c>
      <c r="C33" s="26">
        <f>+'29-04-2026'!K32</f>
        <v>2769.6</v>
      </c>
      <c r="D33" s="26">
        <f t="shared" ref="D33" si="57">B33+C33</f>
        <v>5147.8999999999996</v>
      </c>
      <c r="E33" s="26">
        <f>+'29-04-2026'!K80</f>
        <v>1907</v>
      </c>
      <c r="F33" s="26">
        <f>+'29-04-2026'!K81</f>
        <v>1350</v>
      </c>
      <c r="G33" s="71">
        <f>F33+E33</f>
        <v>3257</v>
      </c>
      <c r="H33" s="26">
        <f>+'29-04-2026'!K85</f>
        <v>534</v>
      </c>
      <c r="I33" s="29">
        <f t="shared" ref="I33" si="58">D33+G33+H33</f>
        <v>8938.9</v>
      </c>
      <c r="J33" s="26">
        <f>+'29-04-2026'!K105</f>
        <v>309.60000000000002</v>
      </c>
      <c r="K33" s="30">
        <f t="shared" ref="K33" si="59">I33-J33</f>
        <v>8629.2999999999993</v>
      </c>
      <c r="L33" s="1"/>
      <c r="M33" s="21">
        <f t="shared" si="49"/>
        <v>22078.099999999995</v>
      </c>
      <c r="N33" s="59"/>
      <c r="O33" s="59"/>
      <c r="P33" s="59"/>
      <c r="Q33" s="59"/>
      <c r="R33" s="23">
        <f t="shared" si="1"/>
        <v>28366.100000000002</v>
      </c>
      <c r="S33" s="24">
        <f t="shared" si="0"/>
        <v>50444.2</v>
      </c>
      <c r="T33" s="23"/>
      <c r="U33" s="25"/>
      <c r="V33" s="67">
        <f>+'17-04-2026'!M59</f>
        <v>0</v>
      </c>
      <c r="X33" s="84">
        <v>15</v>
      </c>
      <c r="Y33" s="431">
        <v>0.5</v>
      </c>
      <c r="Z33">
        <f t="shared" si="53"/>
        <v>7.5</v>
      </c>
    </row>
    <row r="34" spans="1:26" ht="19.5" thickBot="1" x14ac:dyDescent="0.35">
      <c r="A34" s="27">
        <v>46142</v>
      </c>
      <c r="B34" s="26">
        <f>+'30-04-2026'!K64</f>
        <v>2302.5000000000005</v>
      </c>
      <c r="C34" s="26">
        <f>+'30-04-2026'!K24</f>
        <v>650.29999999999995</v>
      </c>
      <c r="D34" s="26">
        <f t="shared" ref="D34" si="60">B34+C34</f>
        <v>2952.8</v>
      </c>
      <c r="E34" s="26"/>
      <c r="F34" s="26"/>
      <c r="G34" s="24"/>
      <c r="H34" s="26">
        <f>+'30-04-2026'!K76</f>
        <v>525.5</v>
      </c>
      <c r="I34" s="29">
        <f t="shared" ref="I34" si="61">D34+G34+H34</f>
        <v>3478.3</v>
      </c>
      <c r="J34" s="26">
        <f>+'30-04-2026'!K105</f>
        <v>16507.599999999999</v>
      </c>
      <c r="K34" s="30">
        <f t="shared" ref="K34" si="62">I34-J34</f>
        <v>-13029.3</v>
      </c>
      <c r="L34" s="1"/>
      <c r="M34" s="21">
        <f t="shared" si="49"/>
        <v>9048.7999999999956</v>
      </c>
      <c r="N34" s="22"/>
      <c r="O34" s="22"/>
      <c r="P34" s="22"/>
      <c r="Q34" s="22"/>
      <c r="R34" s="23">
        <f t="shared" si="1"/>
        <v>28366.100000000002</v>
      </c>
      <c r="S34" s="24">
        <f t="shared" si="0"/>
        <v>37414.899999999994</v>
      </c>
      <c r="T34" s="23"/>
      <c r="U34" s="25"/>
      <c r="V34" s="26">
        <f>+'17-04-2026'!M60</f>
        <v>0</v>
      </c>
      <c r="X34" s="84">
        <v>15</v>
      </c>
      <c r="Y34" s="431">
        <v>0.2</v>
      </c>
      <c r="Z34">
        <f t="shared" si="53"/>
        <v>3</v>
      </c>
    </row>
    <row r="35" spans="1:26" ht="19.5" thickBot="1" x14ac:dyDescent="0.35">
      <c r="A35" s="27"/>
      <c r="B35" s="26"/>
      <c r="C35" s="26"/>
      <c r="D35" s="28"/>
      <c r="E35" s="35"/>
      <c r="F35" s="35"/>
      <c r="G35" s="24"/>
      <c r="H35" s="26"/>
      <c r="I35" s="29"/>
      <c r="J35" s="26"/>
      <c r="K35" s="30"/>
      <c r="L35" s="1"/>
      <c r="M35" s="21">
        <f t="shared" si="49"/>
        <v>9048.7999999999956</v>
      </c>
      <c r="N35" s="34"/>
      <c r="O35" s="29"/>
      <c r="P35" s="22"/>
      <c r="Q35" s="22"/>
      <c r="R35" s="23">
        <f t="shared" si="1"/>
        <v>28366.100000000002</v>
      </c>
      <c r="S35" s="24">
        <f t="shared" si="0"/>
        <v>37414.899999999994</v>
      </c>
      <c r="T35" s="23"/>
      <c r="U35" s="25"/>
      <c r="V35" s="26">
        <f>+'17-04-2026'!M61</f>
        <v>0</v>
      </c>
      <c r="X35" s="84">
        <v>38</v>
      </c>
      <c r="Y35" s="431">
        <v>0.1</v>
      </c>
      <c r="Z35">
        <f t="shared" si="53"/>
        <v>3.8000000000000003</v>
      </c>
    </row>
    <row r="36" spans="1:26" ht="19.5" thickBot="1" x14ac:dyDescent="0.35">
      <c r="A36" s="27"/>
      <c r="B36" s="48">
        <f>SUM(B5:B35)</f>
        <v>13943</v>
      </c>
      <c r="C36" s="48">
        <f>SUM(C5:C35)</f>
        <v>35089.499999999993</v>
      </c>
      <c r="D36" s="48">
        <f t="shared" ref="D36:K36" si="63">SUM(D5:D35)</f>
        <v>49032.5</v>
      </c>
      <c r="E36" s="48">
        <f t="shared" si="63"/>
        <v>7152</v>
      </c>
      <c r="F36" s="48">
        <f t="shared" si="63"/>
        <v>8960</v>
      </c>
      <c r="G36" s="48">
        <f t="shared" si="63"/>
        <v>16112</v>
      </c>
      <c r="H36" s="48">
        <f t="shared" si="63"/>
        <v>14307.5</v>
      </c>
      <c r="I36" s="48">
        <f t="shared" si="63"/>
        <v>79451.999999999985</v>
      </c>
      <c r="J36" s="48">
        <f t="shared" si="63"/>
        <v>36770.1</v>
      </c>
      <c r="K36" s="48">
        <f t="shared" si="63"/>
        <v>42681.899999999994</v>
      </c>
      <c r="L36" s="49"/>
      <c r="M36" s="24">
        <f>I36+M4-J36</f>
        <v>48248.799999999981</v>
      </c>
      <c r="N36" s="50">
        <f>N4+N9+N22+N15+N21+N23+N29+N30</f>
        <v>1774</v>
      </c>
      <c r="O36" s="50">
        <f>SUM(O4:O35)</f>
        <v>9273.8000000000011</v>
      </c>
      <c r="P36" s="51">
        <f>SUM(P4:P35)</f>
        <v>80918.3</v>
      </c>
      <c r="Q36" s="51">
        <f>SUM(Q4:Q35)</f>
        <v>63600</v>
      </c>
      <c r="R36" s="49"/>
      <c r="S36" s="52"/>
      <c r="T36" s="53">
        <f>SUM(T4:T35)</f>
        <v>5266</v>
      </c>
      <c r="U36" s="25"/>
      <c r="V36" s="54">
        <f>SUM(V5:V35)</f>
        <v>11159.4</v>
      </c>
      <c r="Y36" s="47"/>
      <c r="Z36" s="56"/>
    </row>
    <row r="37" spans="1:26" x14ac:dyDescent="0.25">
      <c r="Z37">
        <f>SUM(Z30:Z36)</f>
        <v>39.299999999999997</v>
      </c>
    </row>
    <row r="38" spans="1:26" x14ac:dyDescent="0.25">
      <c r="Y38" s="429" t="s">
        <v>722</v>
      </c>
      <c r="Z38" s="430">
        <v>59.5</v>
      </c>
    </row>
    <row r="39" spans="1:26" ht="18.75" x14ac:dyDescent="0.3">
      <c r="K39" s="41"/>
      <c r="P39" s="55">
        <f>P36-Q36</f>
        <v>17318.300000000003</v>
      </c>
      <c r="Z39">
        <f>Z37+Z38</f>
        <v>98.8</v>
      </c>
    </row>
    <row r="41" spans="1:26" ht="15.75" thickBot="1" x14ac:dyDescent="0.3">
      <c r="M41" s="41"/>
    </row>
    <row r="42" spans="1:26" ht="24" thickBot="1" x14ac:dyDescent="0.4">
      <c r="B42" s="57" t="s">
        <v>27</v>
      </c>
      <c r="C42" s="555" t="s">
        <v>28</v>
      </c>
      <c r="D42" s="555"/>
      <c r="E42" s="555"/>
      <c r="F42" s="556"/>
      <c r="M42" s="41">
        <f>S35-M35</f>
        <v>28366.1</v>
      </c>
    </row>
    <row r="43" spans="1:26" ht="24" thickBot="1" x14ac:dyDescent="0.4">
      <c r="B43" s="58" t="s">
        <v>29</v>
      </c>
      <c r="C43" s="542" t="s">
        <v>30</v>
      </c>
      <c r="D43" s="543"/>
      <c r="E43" s="543"/>
      <c r="F43" s="544"/>
      <c r="K43" s="41"/>
    </row>
    <row r="48" spans="1:26" x14ac:dyDescent="0.25">
      <c r="P48" s="39"/>
    </row>
  </sheetData>
  <mergeCells count="6">
    <mergeCell ref="C43:F43"/>
    <mergeCell ref="B2:D2"/>
    <mergeCell ref="E2:G2"/>
    <mergeCell ref="H2:T2"/>
    <mergeCell ref="B4:L4"/>
    <mergeCell ref="C42:F4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01-04-2026</vt:lpstr>
      <vt:lpstr>02-04-2026</vt:lpstr>
      <vt:lpstr>03-04-2026</vt:lpstr>
      <vt:lpstr>04-04-2026</vt:lpstr>
      <vt:lpstr>05-04-2026</vt:lpstr>
      <vt:lpstr>06-04-2026</vt:lpstr>
      <vt:lpstr>07-04-2026</vt:lpstr>
      <vt:lpstr>08-04-2026</vt:lpstr>
      <vt:lpstr>09-04-2026</vt:lpstr>
      <vt:lpstr>10-04-2026</vt:lpstr>
      <vt:lpstr>11-04-2026</vt:lpstr>
      <vt:lpstr>12-04-2026</vt:lpstr>
      <vt:lpstr>13-04-2026</vt:lpstr>
      <vt:lpstr>14-04-2026</vt:lpstr>
      <vt:lpstr>15-04-2026</vt:lpstr>
      <vt:lpstr>16-04-2026</vt:lpstr>
      <vt:lpstr>17-04-2026</vt:lpstr>
      <vt:lpstr>18-04-2026</vt:lpstr>
      <vt:lpstr>19-04-2026</vt:lpstr>
      <vt:lpstr>20-04-2026</vt:lpstr>
      <vt:lpstr>21-04-2026</vt:lpstr>
      <vt:lpstr>22-04-2026</vt:lpstr>
      <vt:lpstr>23-04-2026</vt:lpstr>
      <vt:lpstr>24-04-2026</vt:lpstr>
      <vt:lpstr>25-04-2026</vt:lpstr>
      <vt:lpstr>26-04-2026</vt:lpstr>
      <vt:lpstr>27-04-2026</vt:lpstr>
      <vt:lpstr>28-04-2026</vt:lpstr>
      <vt:lpstr>29-04-2026</vt:lpstr>
      <vt:lpstr>30-04-2026</vt:lpstr>
      <vt:lpstr>ARQUEO RESUMIDO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cooperativa primero de mayo</dc:creator>
  <cp:lastModifiedBy>cooperativa primero de mayo</cp:lastModifiedBy>
  <cp:lastPrinted>2026-05-01T01:32:15Z</cp:lastPrinted>
  <dcterms:created xsi:type="dcterms:W3CDTF">2026-03-30T23:57:20Z</dcterms:created>
  <dcterms:modified xsi:type="dcterms:W3CDTF">2026-05-01T01:32:18Z</dcterms:modified>
</cp:coreProperties>
</file>